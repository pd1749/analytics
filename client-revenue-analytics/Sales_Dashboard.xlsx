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_Data" sheetId="1" state="visible" r:id="rId3"/>
    <sheet name="2_Clean_Data" sheetId="2" state="visible" r:id="rId4"/>
    <sheet name="3_Dashboard" sheetId="3" state="visible" r:id="rId5"/>
    <sheet name="4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<sst xmlns="http://schemas.openxmlformats.org/spreadsheetml/2006/main" count="18117" uniqueCount="4000">
  <si>
    <t xml:space="preserve">Customer Last Name</t>
  </si>
  <si>
    <t xml:space="preserve">Customer First Name</t>
  </si>
  <si>
    <t xml:space="preserve">Customer ID</t>
  </si>
  <si>
    <t xml:space="preserve">Service Category</t>
  </si>
  <si>
    <t xml:space="preserve">Order Date</t>
  </si>
  <si>
    <t xml:space="preserve">Quantity Ordered</t>
  </si>
  <si>
    <t xml:space="preserve">Order Status</t>
  </si>
  <si>
    <t xml:space="preserve">State</t>
  </si>
  <si>
    <t xml:space="preserve">Address </t>
  </si>
  <si>
    <t xml:space="preserve">City</t>
  </si>
  <si>
    <t xml:space="preserve">Postal Code</t>
  </si>
  <si>
    <t xml:space="preserve">Sales Price (Per unit)</t>
  </si>
  <si>
    <t xml:space="preserve">Sale Price </t>
  </si>
  <si>
    <t xml:space="preserve">Phone</t>
  </si>
  <si>
    <t xml:space="preserve">Hughes</t>
  </si>
  <si>
    <t xml:space="preserve">Lewis</t>
  </si>
  <si>
    <t xml:space="preserve">Interview Prep</t>
  </si>
  <si>
    <t xml:space="preserve">5/6/2024</t>
  </si>
  <si>
    <t xml:space="preserve">Delivered</t>
  </si>
  <si>
    <t xml:space="preserve">WA</t>
  </si>
  <si>
    <t xml:space="preserve">54113 Main Street</t>
  </si>
  <si>
    <t xml:space="preserve">Broome</t>
  </si>
  <si>
    <t xml:space="preserve">+61 8 9929 7089</t>
  </si>
  <si>
    <t xml:space="preserve">Gomez</t>
  </si>
  <si>
    <t xml:space="preserve">Ali</t>
  </si>
  <si>
    <t xml:space="preserve">Resume + LinkedIn Profile</t>
  </si>
  <si>
    <t xml:space="preserve">7/18/2024</t>
  </si>
  <si>
    <t xml:space="preserve">In Progress</t>
  </si>
  <si>
    <t xml:space="preserve">ACT</t>
  </si>
  <si>
    <t xml:space="preserve">31652 Main Street</t>
  </si>
  <si>
    <t xml:space="preserve">Canberra</t>
  </si>
  <si>
    <t xml:space="preserve">+61 2 2684 3193</t>
  </si>
  <si>
    <t xml:space="preserve">Beck</t>
  </si>
  <si>
    <t xml:space="preserve">Mila</t>
  </si>
  <si>
    <t xml:space="preserve">LinkedIn profile</t>
  </si>
  <si>
    <t xml:space="preserve">7/14/2024</t>
  </si>
  <si>
    <t xml:space="preserve">NSW</t>
  </si>
  <si>
    <t xml:space="preserve">35446 King Street</t>
  </si>
  <si>
    <t xml:space="preserve">Newcastle</t>
  </si>
  <si>
    <t xml:space="preserve">+61 6 6279 4893</t>
  </si>
  <si>
    <t xml:space="preserve">Juarez</t>
  </si>
  <si>
    <t xml:space="preserve">Ryleigh</t>
  </si>
  <si>
    <t xml:space="preserve">6/26/2024</t>
  </si>
  <si>
    <t xml:space="preserve">VIC</t>
  </si>
  <si>
    <t xml:space="preserve">67535 Park Avenue</t>
  </si>
  <si>
    <t xml:space="preserve">Ballarat</t>
  </si>
  <si>
    <t xml:space="preserve">+61 9 6193 6662</t>
  </si>
  <si>
    <t xml:space="preserve">Preston</t>
  </si>
  <si>
    <t xml:space="preserve">Leonidas</t>
  </si>
  <si>
    <t xml:space="preserve">Networking Strategy</t>
  </si>
  <si>
    <t xml:space="preserve">11/28/2024</t>
  </si>
  <si>
    <t xml:space="preserve">Service Booked</t>
  </si>
  <si>
    <t xml:space="preserve">QLD</t>
  </si>
  <si>
    <t xml:space="preserve">78361 Elizabeth Street</t>
  </si>
  <si>
    <t xml:space="preserve">Gold Coast</t>
  </si>
  <si>
    <t xml:space="preserve">+61 8 2149 9223</t>
  </si>
  <si>
    <t xml:space="preserve">Jacobs</t>
  </si>
  <si>
    <t xml:space="preserve">Hayden</t>
  </si>
  <si>
    <t xml:space="preserve">6/6/2024</t>
  </si>
  <si>
    <t xml:space="preserve">SA</t>
  </si>
  <si>
    <t xml:space="preserve">12937 George Street</t>
  </si>
  <si>
    <t xml:space="preserve">Mount Gambier</t>
  </si>
  <si>
    <t xml:space="preserve">+61 7 3754 9016</t>
  </si>
  <si>
    <t xml:space="preserve">Knox</t>
  </si>
  <si>
    <t xml:space="preserve">Brooke</t>
  </si>
  <si>
    <t xml:space="preserve">3/18/2024</t>
  </si>
  <si>
    <t xml:space="preserve">55276 Main Street</t>
  </si>
  <si>
    <t xml:space="preserve">Geelong</t>
  </si>
  <si>
    <t xml:space="preserve">+61 2 5999 8075</t>
  </si>
  <si>
    <t xml:space="preserve">Rice</t>
  </si>
  <si>
    <t xml:space="preserve">Diana</t>
  </si>
  <si>
    <t xml:space="preserve">10/26/2024</t>
  </si>
  <si>
    <t xml:space="preserve">72499 Main Street</t>
  </si>
  <si>
    <t xml:space="preserve">Fremantle</t>
  </si>
  <si>
    <t xml:space="preserve">+61 8 5174 1777</t>
  </si>
  <si>
    <t xml:space="preserve">Valencia</t>
  </si>
  <si>
    <t xml:space="preserve">Rosalie</t>
  </si>
  <si>
    <t xml:space="preserve">2/8/2024</t>
  </si>
  <si>
    <t xml:space="preserve">TAS</t>
  </si>
  <si>
    <t xml:space="preserve">67620 Main Street</t>
  </si>
  <si>
    <t xml:space="preserve">Launceston</t>
  </si>
  <si>
    <t xml:space="preserve">+61 2 3646 7756</t>
  </si>
  <si>
    <t xml:space="preserve">Pierce</t>
  </si>
  <si>
    <t xml:space="preserve">Andre</t>
  </si>
  <si>
    <t xml:space="preserve">12/9/2024</t>
  </si>
  <si>
    <t xml:space="preserve">36501 Main Street</t>
  </si>
  <si>
    <t xml:space="preserve">Hobart</t>
  </si>
  <si>
    <t xml:space="preserve">+61 7 5771 9670</t>
  </si>
  <si>
    <t xml:space="preserve">Olson</t>
  </si>
  <si>
    <t xml:space="preserve">Walter</t>
  </si>
  <si>
    <t xml:space="preserve">5/2/2024</t>
  </si>
  <si>
    <t xml:space="preserve">32742 Park Avenue</t>
  </si>
  <si>
    <t xml:space="preserve">Cairns</t>
  </si>
  <si>
    <t xml:space="preserve">+61 4 3247 8562</t>
  </si>
  <si>
    <t xml:space="preserve">Malone</t>
  </si>
  <si>
    <t xml:space="preserve">Nayeli</t>
  </si>
  <si>
    <t xml:space="preserve">1/25/2024</t>
  </si>
  <si>
    <t xml:space="preserve">Cancelled</t>
  </si>
  <si>
    <t xml:space="preserve">64128 Main Street</t>
  </si>
  <si>
    <t xml:space="preserve">Adelaide</t>
  </si>
  <si>
    <t xml:space="preserve">+61 6 6035 7957</t>
  </si>
  <si>
    <t xml:space="preserve">Holt</t>
  </si>
  <si>
    <t xml:space="preserve">Thea</t>
  </si>
  <si>
    <t xml:space="preserve">7/13/2024</t>
  </si>
  <si>
    <t xml:space="preserve">74442 Park Avenue</t>
  </si>
  <si>
    <t xml:space="preserve">+61 5 4315 9069</t>
  </si>
  <si>
    <t xml:space="preserve">Briggs</t>
  </si>
  <si>
    <t xml:space="preserve">Devin</t>
  </si>
  <si>
    <t xml:space="preserve">Mentoring program</t>
  </si>
  <si>
    <t xml:space="preserve">1/26/2024</t>
  </si>
  <si>
    <t xml:space="preserve">27685 George Street</t>
  </si>
  <si>
    <t xml:space="preserve">Melbourne</t>
  </si>
  <si>
    <t xml:space="preserve">+61 6 4872 6400</t>
  </si>
  <si>
    <t xml:space="preserve">Woodard</t>
  </si>
  <si>
    <t xml:space="preserve">Destiny</t>
  </si>
  <si>
    <t xml:space="preserve">6/30/2024</t>
  </si>
  <si>
    <t xml:space="preserve">52948 Elizabeth Street</t>
  </si>
  <si>
    <t xml:space="preserve">+61 6 3685 2382</t>
  </si>
  <si>
    <t xml:space="preserve">Fuentes</t>
  </si>
  <si>
    <t xml:space="preserve">Rylee</t>
  </si>
  <si>
    <t xml:space="preserve">8/13/2024</t>
  </si>
  <si>
    <t xml:space="preserve">NT</t>
  </si>
  <si>
    <t xml:space="preserve">65429 Park Avenue</t>
  </si>
  <si>
    <t xml:space="preserve">Darwin</t>
  </si>
  <si>
    <t xml:space="preserve">+61 3 1281 9764</t>
  </si>
  <si>
    <t xml:space="preserve">Shaffer</t>
  </si>
  <si>
    <t xml:space="preserve">Luka</t>
  </si>
  <si>
    <t xml:space="preserve">12/19/2024</t>
  </si>
  <si>
    <t xml:space="preserve">69927 Elizabeth Street</t>
  </si>
  <si>
    <t xml:space="preserve">+61 2 8353 1443</t>
  </si>
  <si>
    <t xml:space="preserve">Berry</t>
  </si>
  <si>
    <t xml:space="preserve">Colt</t>
  </si>
  <si>
    <t xml:space="preserve">8/20/2024</t>
  </si>
  <si>
    <t xml:space="preserve">20473 Elizabeth Street</t>
  </si>
  <si>
    <t xml:space="preserve">+61 7 3818 3446</t>
  </si>
  <si>
    <t xml:space="preserve">Klein</t>
  </si>
  <si>
    <t xml:space="preserve">Madelynn</t>
  </si>
  <si>
    <t xml:space="preserve">6/12/2024</t>
  </si>
  <si>
    <t xml:space="preserve">23352 Main Street</t>
  </si>
  <si>
    <t xml:space="preserve">+61 9 3972 9212</t>
  </si>
  <si>
    <t xml:space="preserve">Landry</t>
  </si>
  <si>
    <t xml:space="preserve">Edward</t>
  </si>
  <si>
    <t xml:space="preserve">1/17/2024</t>
  </si>
  <si>
    <t xml:space="preserve">50269 Elizabeth Street</t>
  </si>
  <si>
    <t xml:space="preserve">+61 4 6693 3445</t>
  </si>
  <si>
    <t xml:space="preserve">Weaver</t>
  </si>
  <si>
    <t xml:space="preserve">Cash</t>
  </si>
  <si>
    <t xml:space="preserve">Resume (service fee)</t>
  </si>
  <si>
    <t xml:space="preserve">11/19/2024</t>
  </si>
  <si>
    <t xml:space="preserve">2111 King Street</t>
  </si>
  <si>
    <t xml:space="preserve">+61 6 4641 4524</t>
  </si>
  <si>
    <t xml:space="preserve">Solomon</t>
  </si>
  <si>
    <t xml:space="preserve">Ronin</t>
  </si>
  <si>
    <t xml:space="preserve">6/15/2024</t>
  </si>
  <si>
    <t xml:space="preserve">49044 Main Street</t>
  </si>
  <si>
    <t xml:space="preserve">+61 4 4909 1170</t>
  </si>
  <si>
    <t xml:space="preserve">Benjamin</t>
  </si>
  <si>
    <t xml:space="preserve">Frank</t>
  </si>
  <si>
    <t xml:space="preserve">4/18/2024</t>
  </si>
  <si>
    <t xml:space="preserve">31985 Park Avenue</t>
  </si>
  <si>
    <t xml:space="preserve">+61 9 2069 3039</t>
  </si>
  <si>
    <t xml:space="preserve">Herrera</t>
  </si>
  <si>
    <t xml:space="preserve">Olive</t>
  </si>
  <si>
    <t xml:space="preserve">1/28/2024</t>
  </si>
  <si>
    <t xml:space="preserve">79707 Elizabeth Street</t>
  </si>
  <si>
    <t xml:space="preserve">+61 3 7245 8172</t>
  </si>
  <si>
    <t xml:space="preserve">Bryan</t>
  </si>
  <si>
    <t xml:space="preserve">Noa</t>
  </si>
  <si>
    <t xml:space="preserve">9/23/2024</t>
  </si>
  <si>
    <t xml:space="preserve">12506 Main Street</t>
  </si>
  <si>
    <t xml:space="preserve">Wollongong</t>
  </si>
  <si>
    <t xml:space="preserve">+61 3 2697 1777</t>
  </si>
  <si>
    <t xml:space="preserve">Cook</t>
  </si>
  <si>
    <t xml:space="preserve">Collin</t>
  </si>
  <si>
    <t xml:space="preserve">8/12/2024</t>
  </si>
  <si>
    <t xml:space="preserve">15349 Main Street</t>
  </si>
  <si>
    <t xml:space="preserve">Perth</t>
  </si>
  <si>
    <t xml:space="preserve">+61 2 6247 7968</t>
  </si>
  <si>
    <t xml:space="preserve">Thompson</t>
  </si>
  <si>
    <t xml:space="preserve">Kane</t>
  </si>
  <si>
    <t xml:space="preserve">1/10/2024</t>
  </si>
  <si>
    <t xml:space="preserve">91039 Park Avenue</t>
  </si>
  <si>
    <t xml:space="preserve">Brisbane</t>
  </si>
  <si>
    <t xml:space="preserve">+61 2 3558 5728</t>
  </si>
  <si>
    <t xml:space="preserve">James</t>
  </si>
  <si>
    <t xml:space="preserve">2/26/2024</t>
  </si>
  <si>
    <t xml:space="preserve">63839 Elizabeth Street</t>
  </si>
  <si>
    <t xml:space="preserve">+61 4 3819 3436</t>
  </si>
  <si>
    <t xml:space="preserve">Arias</t>
  </si>
  <si>
    <t xml:space="preserve">Sawyer</t>
  </si>
  <si>
    <t xml:space="preserve">8/25/2024</t>
  </si>
  <si>
    <t xml:space="preserve">75988 King Street</t>
  </si>
  <si>
    <t xml:space="preserve">Sydney</t>
  </si>
  <si>
    <t xml:space="preserve">+61 8 6187 1974</t>
  </si>
  <si>
    <t xml:space="preserve">Vincent</t>
  </si>
  <si>
    <t xml:space="preserve">Isabelle</t>
  </si>
  <si>
    <t xml:space="preserve">3/9/2024</t>
  </si>
  <si>
    <t xml:space="preserve">7523 George Street</t>
  </si>
  <si>
    <t xml:space="preserve">+61 2 5223 7219</t>
  </si>
  <si>
    <t xml:space="preserve">Quintana</t>
  </si>
  <si>
    <t xml:space="preserve">Raya</t>
  </si>
  <si>
    <t xml:space="preserve">12/20/2024</t>
  </si>
  <si>
    <t xml:space="preserve">79218 Park Avenue</t>
  </si>
  <si>
    <t xml:space="preserve">+61 4 7114 5580</t>
  </si>
  <si>
    <t xml:space="preserve">Anderson</t>
  </si>
  <si>
    <t xml:space="preserve">Kaiden</t>
  </si>
  <si>
    <t xml:space="preserve">10/23/2024</t>
  </si>
  <si>
    <t xml:space="preserve">82168 King Street</t>
  </si>
  <si>
    <t xml:space="preserve">+61 5 3648 6335</t>
  </si>
  <si>
    <t xml:space="preserve">Chan</t>
  </si>
  <si>
    <t xml:space="preserve">Shiloh</t>
  </si>
  <si>
    <t xml:space="preserve">12/14/2024</t>
  </si>
  <si>
    <t xml:space="preserve">47390 George Street</t>
  </si>
  <si>
    <t xml:space="preserve">+61 7 4459 6057</t>
  </si>
  <si>
    <t xml:space="preserve">Foster</t>
  </si>
  <si>
    <t xml:space="preserve">Layla</t>
  </si>
  <si>
    <t xml:space="preserve">8/26/2024</t>
  </si>
  <si>
    <t xml:space="preserve">65566 Elizabeth Street</t>
  </si>
  <si>
    <t xml:space="preserve">+61 3 3537 4490</t>
  </si>
  <si>
    <t xml:space="preserve">Giles</t>
  </si>
  <si>
    <t xml:space="preserve">Sarai</t>
  </si>
  <si>
    <t xml:space="preserve">9/1/2024</t>
  </si>
  <si>
    <t xml:space="preserve">22831 Park Avenue</t>
  </si>
  <si>
    <t xml:space="preserve">+61 2 9478 4516</t>
  </si>
  <si>
    <t xml:space="preserve">Morris</t>
  </si>
  <si>
    <t xml:space="preserve">Kason</t>
  </si>
  <si>
    <t xml:space="preserve">12/7/2024</t>
  </si>
  <si>
    <t xml:space="preserve">32286 Park Avenue</t>
  </si>
  <si>
    <t xml:space="preserve">+61 6 4136 2298</t>
  </si>
  <si>
    <t xml:space="preserve">Avery</t>
  </si>
  <si>
    <t xml:space="preserve">Aspen</t>
  </si>
  <si>
    <t xml:space="preserve">1/6/2024</t>
  </si>
  <si>
    <t xml:space="preserve">40586 Park Avenue</t>
  </si>
  <si>
    <t xml:space="preserve">+61 6 1603 7513</t>
  </si>
  <si>
    <t xml:space="preserve">Fitzgerald</t>
  </si>
  <si>
    <t xml:space="preserve">Cade</t>
  </si>
  <si>
    <t xml:space="preserve">6/7/2024</t>
  </si>
  <si>
    <t xml:space="preserve">33763 King Street</t>
  </si>
  <si>
    <t xml:space="preserve">+61 4 8640 6144</t>
  </si>
  <si>
    <t xml:space="preserve">Sharp</t>
  </si>
  <si>
    <t xml:space="preserve">Collins</t>
  </si>
  <si>
    <t xml:space="preserve">9/20/2024</t>
  </si>
  <si>
    <t xml:space="preserve">91716 Park Avenue</t>
  </si>
  <si>
    <t xml:space="preserve">+61 7 7556 5559</t>
  </si>
  <si>
    <t xml:space="preserve">Richmond</t>
  </si>
  <si>
    <t xml:space="preserve">Jayce</t>
  </si>
  <si>
    <t xml:space="preserve">5/19/2024</t>
  </si>
  <si>
    <t xml:space="preserve">70325 King Street</t>
  </si>
  <si>
    <t xml:space="preserve">+61 9 7387 7435</t>
  </si>
  <si>
    <t xml:space="preserve">Hinton</t>
  </si>
  <si>
    <t xml:space="preserve">Josiah</t>
  </si>
  <si>
    <t xml:space="preserve">10/7/2024</t>
  </si>
  <si>
    <t xml:space="preserve">15417 Elizabeth Street</t>
  </si>
  <si>
    <t xml:space="preserve">+61 3 1125 8801</t>
  </si>
  <si>
    <t xml:space="preserve">Morales</t>
  </si>
  <si>
    <t xml:space="preserve">Helen</t>
  </si>
  <si>
    <t xml:space="preserve">9/15/2024</t>
  </si>
  <si>
    <t xml:space="preserve">20665 King Street</t>
  </si>
  <si>
    <t xml:space="preserve">+61 2 8707 1256</t>
  </si>
  <si>
    <t xml:space="preserve">Mccormick</t>
  </si>
  <si>
    <t xml:space="preserve">Alani</t>
  </si>
  <si>
    <t xml:space="preserve">11/9/2024</t>
  </si>
  <si>
    <t xml:space="preserve">14702 George Street</t>
  </si>
  <si>
    <t xml:space="preserve">+61 4 4894 3292</t>
  </si>
  <si>
    <t xml:space="preserve">Winters</t>
  </si>
  <si>
    <t xml:space="preserve">Francis</t>
  </si>
  <si>
    <t xml:space="preserve">12/22/2024</t>
  </si>
  <si>
    <t xml:space="preserve">36211 George Street</t>
  </si>
  <si>
    <t xml:space="preserve">+61 4 4846 8091</t>
  </si>
  <si>
    <t xml:space="preserve">Ochoa</t>
  </si>
  <si>
    <t xml:space="preserve">Wyatt</t>
  </si>
  <si>
    <t xml:space="preserve">9/28/2024</t>
  </si>
  <si>
    <t xml:space="preserve">33911 Elizabeth Street</t>
  </si>
  <si>
    <t xml:space="preserve">+61 3 5429 9394</t>
  </si>
  <si>
    <t xml:space="preserve">Rollins</t>
  </si>
  <si>
    <t xml:space="preserve">Leah</t>
  </si>
  <si>
    <t xml:space="preserve">2/9/2024</t>
  </si>
  <si>
    <t xml:space="preserve">88519 Main Street</t>
  </si>
  <si>
    <t xml:space="preserve">+61 3 4274 6770</t>
  </si>
  <si>
    <t xml:space="preserve">Buck</t>
  </si>
  <si>
    <t xml:space="preserve">5/24/2024</t>
  </si>
  <si>
    <t xml:space="preserve">38317 Park Avenue</t>
  </si>
  <si>
    <t xml:space="preserve">+61 3 5456 4663</t>
  </si>
  <si>
    <t xml:space="preserve">Blevins</t>
  </si>
  <si>
    <t xml:space="preserve">Madilyn</t>
  </si>
  <si>
    <t xml:space="preserve">8/1/2024</t>
  </si>
  <si>
    <t xml:space="preserve">67995 Park Avenue</t>
  </si>
  <si>
    <t xml:space="preserve">+61 2 3230 4597</t>
  </si>
  <si>
    <t xml:space="preserve">Parsons</t>
  </si>
  <si>
    <t xml:space="preserve">Jared</t>
  </si>
  <si>
    <t xml:space="preserve">2/18/2024</t>
  </si>
  <si>
    <t xml:space="preserve">91009 Park Avenue</t>
  </si>
  <si>
    <t xml:space="preserve">Whyalla</t>
  </si>
  <si>
    <t xml:space="preserve">+61 4 5733 1690</t>
  </si>
  <si>
    <t xml:space="preserve">Flores</t>
  </si>
  <si>
    <t xml:space="preserve">Jackson</t>
  </si>
  <si>
    <t xml:space="preserve">3/17/2024</t>
  </si>
  <si>
    <t xml:space="preserve">8270 Elizabeth Street</t>
  </si>
  <si>
    <t xml:space="preserve">+61 4 4793 3785</t>
  </si>
  <si>
    <t xml:space="preserve">Collier</t>
  </si>
  <si>
    <t xml:space="preserve">Abigail</t>
  </si>
  <si>
    <t xml:space="preserve">2/2/2024</t>
  </si>
  <si>
    <t xml:space="preserve">30245 Main Street</t>
  </si>
  <si>
    <t xml:space="preserve">+61 5 9847 1946</t>
  </si>
  <si>
    <t xml:space="preserve">Harvey</t>
  </si>
  <si>
    <t xml:space="preserve">Greyson</t>
  </si>
  <si>
    <t xml:space="preserve">1/30/2024</t>
  </si>
  <si>
    <t xml:space="preserve">3616 Main Street</t>
  </si>
  <si>
    <t xml:space="preserve">+61 2 9438 9181</t>
  </si>
  <si>
    <t xml:space="preserve">Hunter</t>
  </si>
  <si>
    <t xml:space="preserve">Luca</t>
  </si>
  <si>
    <t xml:space="preserve">11/1/2024</t>
  </si>
  <si>
    <t xml:space="preserve">37556 Park Avenue</t>
  </si>
  <si>
    <t xml:space="preserve">+61 3 9100 4349</t>
  </si>
  <si>
    <t xml:space="preserve">Mariana</t>
  </si>
  <si>
    <t xml:space="preserve">8/27/2024</t>
  </si>
  <si>
    <t xml:space="preserve">64859 Park Avenue</t>
  </si>
  <si>
    <t xml:space="preserve">Alice Springs</t>
  </si>
  <si>
    <t xml:space="preserve">+61 2 7743 5562</t>
  </si>
  <si>
    <t xml:space="preserve">Mcdaniel</t>
  </si>
  <si>
    <t xml:space="preserve">Eliza</t>
  </si>
  <si>
    <t xml:space="preserve">10/24/2024</t>
  </si>
  <si>
    <t xml:space="preserve">51450 Park Avenue</t>
  </si>
  <si>
    <t xml:space="preserve">+61 6 1800 8105</t>
  </si>
  <si>
    <t xml:space="preserve">Atkins</t>
  </si>
  <si>
    <t xml:space="preserve">Molly</t>
  </si>
  <si>
    <t xml:space="preserve">2/4/2024</t>
  </si>
  <si>
    <t xml:space="preserve">98776 King Street</t>
  </si>
  <si>
    <t xml:space="preserve">+61 8 4482 1286</t>
  </si>
  <si>
    <t xml:space="preserve">Maldonado</t>
  </si>
  <si>
    <t xml:space="preserve">Arielle</t>
  </si>
  <si>
    <t xml:space="preserve">3/20/2024</t>
  </si>
  <si>
    <t xml:space="preserve">79405 George Street</t>
  </si>
  <si>
    <t xml:space="preserve">+61 3 2068 2596</t>
  </si>
  <si>
    <t xml:space="preserve">Trevino</t>
  </si>
  <si>
    <t xml:space="preserve">Demi</t>
  </si>
  <si>
    <t xml:space="preserve">11/16/2024</t>
  </si>
  <si>
    <t xml:space="preserve">12747 Main Street</t>
  </si>
  <si>
    <t xml:space="preserve">+61 8 7435 8384</t>
  </si>
  <si>
    <t xml:space="preserve">Mckenna</t>
  </si>
  <si>
    <t xml:space="preserve">6/4/2024</t>
  </si>
  <si>
    <t xml:space="preserve">62504 Main Street</t>
  </si>
  <si>
    <t xml:space="preserve">+61 6 8086 1334</t>
  </si>
  <si>
    <t xml:space="preserve">Baldwin</t>
  </si>
  <si>
    <t xml:space="preserve">Adalynn</t>
  </si>
  <si>
    <t xml:space="preserve">4/22/2024</t>
  </si>
  <si>
    <t xml:space="preserve">6714 King Street</t>
  </si>
  <si>
    <t xml:space="preserve">+61 2 3492 5141</t>
  </si>
  <si>
    <t xml:space="preserve">Silva</t>
  </si>
  <si>
    <t xml:space="preserve">9/21/2024</t>
  </si>
  <si>
    <t xml:space="preserve">40939 Elizabeth Street</t>
  </si>
  <si>
    <t xml:space="preserve">+61 6 6452 8362</t>
  </si>
  <si>
    <t xml:space="preserve">Watts</t>
  </si>
  <si>
    <t xml:space="preserve">Bailey</t>
  </si>
  <si>
    <t xml:space="preserve">9/5/2024</t>
  </si>
  <si>
    <t xml:space="preserve">6565 King Street</t>
  </si>
  <si>
    <t xml:space="preserve">+61 8 6113 5419</t>
  </si>
  <si>
    <t xml:space="preserve">Russell</t>
  </si>
  <si>
    <t xml:space="preserve">Bentley</t>
  </si>
  <si>
    <t xml:space="preserve">48408 Park Avenue</t>
  </si>
  <si>
    <t xml:space="preserve">+61 9 4440 7340</t>
  </si>
  <si>
    <t xml:space="preserve">Harrington</t>
  </si>
  <si>
    <t xml:space="preserve">Lillian</t>
  </si>
  <si>
    <t xml:space="preserve">3/31/2024</t>
  </si>
  <si>
    <t xml:space="preserve">83494 Main Street</t>
  </si>
  <si>
    <t xml:space="preserve">+61 7 1636 2524</t>
  </si>
  <si>
    <t xml:space="preserve">Fleming</t>
  </si>
  <si>
    <t xml:space="preserve">Kayden</t>
  </si>
  <si>
    <t xml:space="preserve">1/22/2024</t>
  </si>
  <si>
    <t xml:space="preserve">23176 Park Avenue</t>
  </si>
  <si>
    <t xml:space="preserve">+61 3 5550 3211</t>
  </si>
  <si>
    <t xml:space="preserve">Manuel</t>
  </si>
  <si>
    <t xml:space="preserve">12/10/2024</t>
  </si>
  <si>
    <t xml:space="preserve">9679 Elizabeth Street</t>
  </si>
  <si>
    <t xml:space="preserve">+61 2 4555 5372</t>
  </si>
  <si>
    <t xml:space="preserve">Nicholson</t>
  </si>
  <si>
    <t xml:space="preserve">Hattie</t>
  </si>
  <si>
    <t xml:space="preserve">5/28/2024</t>
  </si>
  <si>
    <t xml:space="preserve">4179 Elizabeth Street</t>
  </si>
  <si>
    <t xml:space="preserve">+61 7 1631 2802</t>
  </si>
  <si>
    <t xml:space="preserve">Guerra</t>
  </si>
  <si>
    <t xml:space="preserve">Legacy</t>
  </si>
  <si>
    <t xml:space="preserve">3/3/2024</t>
  </si>
  <si>
    <t xml:space="preserve">56068 Elizabeth Street</t>
  </si>
  <si>
    <t xml:space="preserve">+61 8 7187 1753</t>
  </si>
  <si>
    <t xml:space="preserve">Correa</t>
  </si>
  <si>
    <t xml:space="preserve">Brantley</t>
  </si>
  <si>
    <t xml:space="preserve">7/2/2024</t>
  </si>
  <si>
    <t xml:space="preserve">25920 George Street</t>
  </si>
  <si>
    <t xml:space="preserve">+61 7 3920 3959</t>
  </si>
  <si>
    <t xml:space="preserve">Carey</t>
  </si>
  <si>
    <t xml:space="preserve">Rosie</t>
  </si>
  <si>
    <t xml:space="preserve">10/29/2024</t>
  </si>
  <si>
    <t xml:space="preserve">48249 George Street</t>
  </si>
  <si>
    <t xml:space="preserve">+61 3 1862 1493</t>
  </si>
  <si>
    <t xml:space="preserve">Heaven</t>
  </si>
  <si>
    <t xml:space="preserve">12/31/2024</t>
  </si>
  <si>
    <t xml:space="preserve">20434 Park Avenue</t>
  </si>
  <si>
    <t xml:space="preserve">+61 6 1890 9215</t>
  </si>
  <si>
    <t xml:space="preserve">Carroll</t>
  </si>
  <si>
    <t xml:space="preserve">Chance</t>
  </si>
  <si>
    <t xml:space="preserve">7/12/2024</t>
  </si>
  <si>
    <t xml:space="preserve">51302 Main Street</t>
  </si>
  <si>
    <t xml:space="preserve">+61 5 6362 5705</t>
  </si>
  <si>
    <t xml:space="preserve">Bautista</t>
  </si>
  <si>
    <t xml:space="preserve">Parker</t>
  </si>
  <si>
    <t xml:space="preserve">9/7/2024</t>
  </si>
  <si>
    <t xml:space="preserve">82031 King Street</t>
  </si>
  <si>
    <t xml:space="preserve">Devonport</t>
  </si>
  <si>
    <t xml:space="preserve">+61 3 8660 5395</t>
  </si>
  <si>
    <t xml:space="preserve">Fox</t>
  </si>
  <si>
    <t xml:space="preserve">Kamari</t>
  </si>
  <si>
    <t xml:space="preserve">14561 George Street</t>
  </si>
  <si>
    <t xml:space="preserve">+61 8 8950 5310</t>
  </si>
  <si>
    <t xml:space="preserve">Wong</t>
  </si>
  <si>
    <t xml:space="preserve">Emerson</t>
  </si>
  <si>
    <t xml:space="preserve">4/14/2024</t>
  </si>
  <si>
    <t xml:space="preserve">98908 Park Avenue</t>
  </si>
  <si>
    <t xml:space="preserve">+61 9 5739 8952</t>
  </si>
  <si>
    <t xml:space="preserve">Rubio</t>
  </si>
  <si>
    <t xml:space="preserve">Tatum</t>
  </si>
  <si>
    <t xml:space="preserve">8/29/2024</t>
  </si>
  <si>
    <t xml:space="preserve">13507 Park Avenue</t>
  </si>
  <si>
    <t xml:space="preserve">+61 8 5349 5901</t>
  </si>
  <si>
    <t xml:space="preserve">Sanchez</t>
  </si>
  <si>
    <t xml:space="preserve">3/10/2024</t>
  </si>
  <si>
    <t xml:space="preserve">78027 Main Street</t>
  </si>
  <si>
    <t xml:space="preserve">+61 4 3688 5969</t>
  </si>
  <si>
    <t xml:space="preserve">Dean</t>
  </si>
  <si>
    <t xml:space="preserve">Gunner</t>
  </si>
  <si>
    <t xml:space="preserve">9/26/2024</t>
  </si>
  <si>
    <t xml:space="preserve">55885 Main Street</t>
  </si>
  <si>
    <t xml:space="preserve">+61 9 4216 6909</t>
  </si>
  <si>
    <t xml:space="preserve">Pham</t>
  </si>
  <si>
    <t xml:space="preserve">Willa</t>
  </si>
  <si>
    <t xml:space="preserve">12/16/2024</t>
  </si>
  <si>
    <t xml:space="preserve">73120 Main Street</t>
  </si>
  <si>
    <t xml:space="preserve">+61 7 9022 6640</t>
  </si>
  <si>
    <t xml:space="preserve">Mata</t>
  </si>
  <si>
    <t xml:space="preserve">Cooper</t>
  </si>
  <si>
    <t xml:space="preserve">8/23/2024</t>
  </si>
  <si>
    <t xml:space="preserve">87984 George Street</t>
  </si>
  <si>
    <t xml:space="preserve">+61 4 6601 4396</t>
  </si>
  <si>
    <t xml:space="preserve">Mason</t>
  </si>
  <si>
    <t xml:space="preserve">Jude</t>
  </si>
  <si>
    <t xml:space="preserve">8/10/2024</t>
  </si>
  <si>
    <t xml:space="preserve">70539 King Street</t>
  </si>
  <si>
    <t xml:space="preserve">+61 7 5735 2927</t>
  </si>
  <si>
    <t xml:space="preserve">Ari</t>
  </si>
  <si>
    <t xml:space="preserve">8/14/2024</t>
  </si>
  <si>
    <t xml:space="preserve">71136 Elizabeth Street</t>
  </si>
  <si>
    <t xml:space="preserve">+61 3 8666 1404</t>
  </si>
  <si>
    <t xml:space="preserve">Watson</t>
  </si>
  <si>
    <t xml:space="preserve">Alessandra</t>
  </si>
  <si>
    <t xml:space="preserve">11/30/2024</t>
  </si>
  <si>
    <t xml:space="preserve">15346 Main Street</t>
  </si>
  <si>
    <t xml:space="preserve">+61 5 6939 1328</t>
  </si>
  <si>
    <t xml:space="preserve">Coleman</t>
  </si>
  <si>
    <t xml:space="preserve">Callen</t>
  </si>
  <si>
    <t xml:space="preserve">12/4/2024</t>
  </si>
  <si>
    <t xml:space="preserve">56751 George Street</t>
  </si>
  <si>
    <t xml:space="preserve">+61 8 3728 5894</t>
  </si>
  <si>
    <t xml:space="preserve">Clay</t>
  </si>
  <si>
    <t xml:space="preserve">Aria</t>
  </si>
  <si>
    <t xml:space="preserve">7/15/2024</t>
  </si>
  <si>
    <t xml:space="preserve">39289 Elizabeth Street</t>
  </si>
  <si>
    <t xml:space="preserve">+61 6 3418 1922</t>
  </si>
  <si>
    <t xml:space="preserve">Truong</t>
  </si>
  <si>
    <t xml:space="preserve">Nina</t>
  </si>
  <si>
    <t xml:space="preserve">4/29/2024</t>
  </si>
  <si>
    <t xml:space="preserve">69174 King Street</t>
  </si>
  <si>
    <t xml:space="preserve">+61 8 2910 7914</t>
  </si>
  <si>
    <t xml:space="preserve">Saunders</t>
  </si>
  <si>
    <t xml:space="preserve">Freya</t>
  </si>
  <si>
    <t xml:space="preserve">1/23/2024</t>
  </si>
  <si>
    <t xml:space="preserve">64778 Elizabeth Street</t>
  </si>
  <si>
    <t xml:space="preserve">+61 4 5434 3125</t>
  </si>
  <si>
    <t xml:space="preserve">Ballard</t>
  </si>
  <si>
    <t xml:space="preserve">Amir</t>
  </si>
  <si>
    <t xml:space="preserve">4/16/2024</t>
  </si>
  <si>
    <t xml:space="preserve">61223 Elizabeth Street</t>
  </si>
  <si>
    <t xml:space="preserve">+61 2 1302 4663</t>
  </si>
  <si>
    <t xml:space="preserve">Weber</t>
  </si>
  <si>
    <t xml:space="preserve">7/1/2024</t>
  </si>
  <si>
    <t xml:space="preserve">95202 Park Avenue</t>
  </si>
  <si>
    <t xml:space="preserve">+61 3 3577 1687</t>
  </si>
  <si>
    <t xml:space="preserve">Delarosa</t>
  </si>
  <si>
    <t xml:space="preserve">Joaquin</t>
  </si>
  <si>
    <t xml:space="preserve">9/25/2024</t>
  </si>
  <si>
    <t xml:space="preserve">59287 King Street</t>
  </si>
  <si>
    <t xml:space="preserve">+61 9 7901 6154</t>
  </si>
  <si>
    <t xml:space="preserve">Gallagher</t>
  </si>
  <si>
    <t xml:space="preserve">Adaline</t>
  </si>
  <si>
    <t xml:space="preserve">11/13/2024</t>
  </si>
  <si>
    <t xml:space="preserve">91161 George Street</t>
  </si>
  <si>
    <t xml:space="preserve">+61 8 9703 5285</t>
  </si>
  <si>
    <t xml:space="preserve">Rosales</t>
  </si>
  <si>
    <t xml:space="preserve">3/8/2024</t>
  </si>
  <si>
    <t xml:space="preserve">83685 Main Street</t>
  </si>
  <si>
    <t xml:space="preserve">+61 2 8881 2797</t>
  </si>
  <si>
    <t xml:space="preserve">Luna</t>
  </si>
  <si>
    <t xml:space="preserve">Denver</t>
  </si>
  <si>
    <t xml:space="preserve">3/27/2024</t>
  </si>
  <si>
    <t xml:space="preserve">71474 George Street</t>
  </si>
  <si>
    <t xml:space="preserve">+61 7 3849 8517</t>
  </si>
  <si>
    <t xml:space="preserve">Jaramillo</t>
  </si>
  <si>
    <t xml:space="preserve">Emanuel</t>
  </si>
  <si>
    <t xml:space="preserve">8/15/2024</t>
  </si>
  <si>
    <t xml:space="preserve">76265 Park Avenue</t>
  </si>
  <si>
    <t xml:space="preserve">+61 6 5402 6258</t>
  </si>
  <si>
    <t xml:space="preserve">Crawford</t>
  </si>
  <si>
    <t xml:space="preserve">Hugo</t>
  </si>
  <si>
    <t xml:space="preserve">4/24/2024</t>
  </si>
  <si>
    <t xml:space="preserve">73847 Main Street</t>
  </si>
  <si>
    <t xml:space="preserve">+61 2 1395 7503</t>
  </si>
  <si>
    <t xml:space="preserve">Austin</t>
  </si>
  <si>
    <t xml:space="preserve">Margaret</t>
  </si>
  <si>
    <t xml:space="preserve">1932 Main Street</t>
  </si>
  <si>
    <t xml:space="preserve">+61 8 3901 2578</t>
  </si>
  <si>
    <t xml:space="preserve">Weiss</t>
  </si>
  <si>
    <t xml:space="preserve">Raphael</t>
  </si>
  <si>
    <t xml:space="preserve">5/18/2024</t>
  </si>
  <si>
    <t xml:space="preserve">53572 George Street</t>
  </si>
  <si>
    <t xml:space="preserve">+61 4 2614 2207</t>
  </si>
  <si>
    <t xml:space="preserve">Cardenas</t>
  </si>
  <si>
    <t xml:space="preserve">Myles</t>
  </si>
  <si>
    <t xml:space="preserve">11/23/2024</t>
  </si>
  <si>
    <t xml:space="preserve">30861 Main Street</t>
  </si>
  <si>
    <t xml:space="preserve">+61 2 7447 5070</t>
  </si>
  <si>
    <t xml:space="preserve">Cruz</t>
  </si>
  <si>
    <t xml:space="preserve">Alexis</t>
  </si>
  <si>
    <t xml:space="preserve">5/26/2024</t>
  </si>
  <si>
    <t xml:space="preserve">48778 Park Avenue</t>
  </si>
  <si>
    <t xml:space="preserve">+61 7 3269 4746</t>
  </si>
  <si>
    <t xml:space="preserve">Mcbride</t>
  </si>
  <si>
    <t xml:space="preserve">Ellis</t>
  </si>
  <si>
    <t xml:space="preserve">11/20/2024</t>
  </si>
  <si>
    <t xml:space="preserve">25494 King Street</t>
  </si>
  <si>
    <t xml:space="preserve">+61 9 3545 4286</t>
  </si>
  <si>
    <t xml:space="preserve">Singh</t>
  </si>
  <si>
    <t xml:space="preserve">Zuri</t>
  </si>
  <si>
    <t xml:space="preserve">4/25/2024</t>
  </si>
  <si>
    <t xml:space="preserve">63594 Elizabeth Street</t>
  </si>
  <si>
    <t xml:space="preserve">+61 6 1507 3766</t>
  </si>
  <si>
    <t xml:space="preserve">Annie</t>
  </si>
  <si>
    <t xml:space="preserve">50808 King Street</t>
  </si>
  <si>
    <t xml:space="preserve">+61 6 4695 4722</t>
  </si>
  <si>
    <t xml:space="preserve">Garcia</t>
  </si>
  <si>
    <t xml:space="preserve">Dakota</t>
  </si>
  <si>
    <t xml:space="preserve">12/25/2024</t>
  </si>
  <si>
    <t xml:space="preserve">42884 George Street</t>
  </si>
  <si>
    <t xml:space="preserve">+61 7 6592 8091</t>
  </si>
  <si>
    <t xml:space="preserve">Luke</t>
  </si>
  <si>
    <t xml:space="preserve">7/20/2024</t>
  </si>
  <si>
    <t xml:space="preserve">95531 Main Street</t>
  </si>
  <si>
    <t xml:space="preserve">+61 7 8539 7050</t>
  </si>
  <si>
    <t xml:space="preserve">Frye</t>
  </si>
  <si>
    <t xml:space="preserve">Jasiah</t>
  </si>
  <si>
    <t xml:space="preserve">6/10/2024</t>
  </si>
  <si>
    <t xml:space="preserve">16269 King Street</t>
  </si>
  <si>
    <t xml:space="preserve">+61 3 3040 9752</t>
  </si>
  <si>
    <t xml:space="preserve">Xiong</t>
  </si>
  <si>
    <t xml:space="preserve">Selah</t>
  </si>
  <si>
    <t xml:space="preserve">7/17/2024</t>
  </si>
  <si>
    <t xml:space="preserve">3487 King Street</t>
  </si>
  <si>
    <t xml:space="preserve">+61 7 1593 9784</t>
  </si>
  <si>
    <t xml:space="preserve">Pearson</t>
  </si>
  <si>
    <t xml:space="preserve">Amira</t>
  </si>
  <si>
    <t xml:space="preserve">3099 Park Avenue</t>
  </si>
  <si>
    <t xml:space="preserve">+61 6 3768 2860</t>
  </si>
  <si>
    <t xml:space="preserve">Castaneda</t>
  </si>
  <si>
    <t xml:space="preserve">10/16/2024</t>
  </si>
  <si>
    <t xml:space="preserve">98534 Main Street</t>
  </si>
  <si>
    <t xml:space="preserve">+61 2 6480 2898</t>
  </si>
  <si>
    <t xml:space="preserve">Jarvis</t>
  </si>
  <si>
    <t xml:space="preserve">Adelina</t>
  </si>
  <si>
    <t xml:space="preserve">4/30/2024</t>
  </si>
  <si>
    <t xml:space="preserve">76592 George Street</t>
  </si>
  <si>
    <t xml:space="preserve">+61 3 4656 7360</t>
  </si>
  <si>
    <t xml:space="preserve">Fields</t>
  </si>
  <si>
    <t xml:space="preserve">Adelynn</t>
  </si>
  <si>
    <t xml:space="preserve">2/21/2024</t>
  </si>
  <si>
    <t xml:space="preserve">82936 Elizabeth Street</t>
  </si>
  <si>
    <t xml:space="preserve">+61 7 4900 6201</t>
  </si>
  <si>
    <t xml:space="preserve">Keller</t>
  </si>
  <si>
    <t xml:space="preserve">Miguel</t>
  </si>
  <si>
    <t xml:space="preserve">7/16/2024</t>
  </si>
  <si>
    <t xml:space="preserve">86447 Main Street</t>
  </si>
  <si>
    <t xml:space="preserve">+61 6 8714 3821</t>
  </si>
  <si>
    <t xml:space="preserve">Clara</t>
  </si>
  <si>
    <t xml:space="preserve">7/7/2024</t>
  </si>
  <si>
    <t xml:space="preserve">5229 Park Avenue</t>
  </si>
  <si>
    <t xml:space="preserve">+61 9 6012 6163</t>
  </si>
  <si>
    <t xml:space="preserve">12/27/2024</t>
  </si>
  <si>
    <t xml:space="preserve">50484 George Street</t>
  </si>
  <si>
    <t xml:space="preserve">+61 9 2865 3419</t>
  </si>
  <si>
    <t xml:space="preserve">Bartlett</t>
  </si>
  <si>
    <t xml:space="preserve">Joshua</t>
  </si>
  <si>
    <t xml:space="preserve">7/8/2024</t>
  </si>
  <si>
    <t xml:space="preserve">75404 Elizabeth Street</t>
  </si>
  <si>
    <t xml:space="preserve">+61 2 2849 9015</t>
  </si>
  <si>
    <t xml:space="preserve">Kate</t>
  </si>
  <si>
    <t xml:space="preserve">1/14/2024</t>
  </si>
  <si>
    <t xml:space="preserve">70259 Main Street</t>
  </si>
  <si>
    <t xml:space="preserve">+61 5 1573 1844</t>
  </si>
  <si>
    <t xml:space="preserve">Flynn</t>
  </si>
  <si>
    <t xml:space="preserve">Daphne</t>
  </si>
  <si>
    <t xml:space="preserve">3/14/2024</t>
  </si>
  <si>
    <t xml:space="preserve">23875 Elizabeth Street</t>
  </si>
  <si>
    <t xml:space="preserve">+61 5 2774 5791</t>
  </si>
  <si>
    <t xml:space="preserve">Elise</t>
  </si>
  <si>
    <t xml:space="preserve">15337 Elizabeth Street</t>
  </si>
  <si>
    <t xml:space="preserve">+61 3 9180 5756</t>
  </si>
  <si>
    <t xml:space="preserve">Townsend</t>
  </si>
  <si>
    <t xml:space="preserve">Charles</t>
  </si>
  <si>
    <t xml:space="preserve">21261 Elizabeth Street</t>
  </si>
  <si>
    <t xml:space="preserve">+61 2 2601 5037</t>
  </si>
  <si>
    <t xml:space="preserve">Pollard</t>
  </si>
  <si>
    <t xml:space="preserve">Rory</t>
  </si>
  <si>
    <t xml:space="preserve">11/25/2024</t>
  </si>
  <si>
    <t xml:space="preserve">92297 Elizabeth Street</t>
  </si>
  <si>
    <t xml:space="preserve">+61 9 5347 3197</t>
  </si>
  <si>
    <t xml:space="preserve">Clark</t>
  </si>
  <si>
    <t xml:space="preserve">Zion</t>
  </si>
  <si>
    <t xml:space="preserve">6/5/2024</t>
  </si>
  <si>
    <t xml:space="preserve">68017 Main Street</t>
  </si>
  <si>
    <t xml:space="preserve">+61 4 4586 1728</t>
  </si>
  <si>
    <t xml:space="preserve">Randolph</t>
  </si>
  <si>
    <t xml:space="preserve">40096 George Street</t>
  </si>
  <si>
    <t xml:space="preserve">+61 4 3356 9902</t>
  </si>
  <si>
    <t xml:space="preserve">Edgar</t>
  </si>
  <si>
    <t xml:space="preserve">77866 Elizabeth Street</t>
  </si>
  <si>
    <t xml:space="preserve">+61 2 3917 9548</t>
  </si>
  <si>
    <t xml:space="preserve">Johnston</t>
  </si>
  <si>
    <t xml:space="preserve">Ace</t>
  </si>
  <si>
    <t xml:space="preserve">4/17/2024</t>
  </si>
  <si>
    <t xml:space="preserve">50865 Park Avenue</t>
  </si>
  <si>
    <t xml:space="preserve">+61 8 2589 3473</t>
  </si>
  <si>
    <t xml:space="preserve">Kemp</t>
  </si>
  <si>
    <t xml:space="preserve">Amy</t>
  </si>
  <si>
    <t xml:space="preserve">8/28/2024</t>
  </si>
  <si>
    <t xml:space="preserve">76983 Main Street</t>
  </si>
  <si>
    <t xml:space="preserve">+61 7 2265 7067</t>
  </si>
  <si>
    <t xml:space="preserve">Berger</t>
  </si>
  <si>
    <t xml:space="preserve">Avianna</t>
  </si>
  <si>
    <t xml:space="preserve">2/10/2024</t>
  </si>
  <si>
    <t xml:space="preserve">79205 King Street</t>
  </si>
  <si>
    <t xml:space="preserve">+61 6 1192 5957</t>
  </si>
  <si>
    <t xml:space="preserve">Hogan</t>
  </si>
  <si>
    <t xml:space="preserve">Bryce</t>
  </si>
  <si>
    <t xml:space="preserve">95057 George Street</t>
  </si>
  <si>
    <t xml:space="preserve">+61 7 9133 7546</t>
  </si>
  <si>
    <t xml:space="preserve">Princeton</t>
  </si>
  <si>
    <t xml:space="preserve">4/6/2024</t>
  </si>
  <si>
    <t xml:space="preserve">91500 George Street</t>
  </si>
  <si>
    <t xml:space="preserve">+61 9 3571 6748</t>
  </si>
  <si>
    <t xml:space="preserve">Griffin</t>
  </si>
  <si>
    <t xml:space="preserve">Isabella</t>
  </si>
  <si>
    <t xml:space="preserve">60329 Main Street</t>
  </si>
  <si>
    <t xml:space="preserve">+61 2 4485 1979</t>
  </si>
  <si>
    <t xml:space="preserve">Costa</t>
  </si>
  <si>
    <t xml:space="preserve">Charlie</t>
  </si>
  <si>
    <t xml:space="preserve">12/13/2024</t>
  </si>
  <si>
    <t xml:space="preserve">81659 King Street</t>
  </si>
  <si>
    <t xml:space="preserve">+61 3 3035 2375</t>
  </si>
  <si>
    <t xml:space="preserve">Schmitt</t>
  </si>
  <si>
    <t xml:space="preserve">Aliyah</t>
  </si>
  <si>
    <t xml:space="preserve">94708 Elizabeth Street</t>
  </si>
  <si>
    <t xml:space="preserve">+61 2 1570 2706</t>
  </si>
  <si>
    <t xml:space="preserve">Holloway</t>
  </si>
  <si>
    <t xml:space="preserve">Raven</t>
  </si>
  <si>
    <t xml:space="preserve">1/1/2024</t>
  </si>
  <si>
    <t xml:space="preserve">75058 King Street</t>
  </si>
  <si>
    <t xml:space="preserve">+61 2 4909 4507</t>
  </si>
  <si>
    <t xml:space="preserve">Kirby</t>
  </si>
  <si>
    <t xml:space="preserve">Malik</t>
  </si>
  <si>
    <t xml:space="preserve">1/19/2024</t>
  </si>
  <si>
    <t xml:space="preserve">9218 Elizabeth Street</t>
  </si>
  <si>
    <t xml:space="preserve">+61 9 3631 8970</t>
  </si>
  <si>
    <t xml:space="preserve">Schwartz</t>
  </si>
  <si>
    <t xml:space="preserve">Kylo</t>
  </si>
  <si>
    <t xml:space="preserve">78520 Park Avenue</t>
  </si>
  <si>
    <t xml:space="preserve">+61 8 7579 9079</t>
  </si>
  <si>
    <t xml:space="preserve">Salazar</t>
  </si>
  <si>
    <t xml:space="preserve">Jeremy</t>
  </si>
  <si>
    <t xml:space="preserve">8/17/2024</t>
  </si>
  <si>
    <t xml:space="preserve">21614 King Street</t>
  </si>
  <si>
    <t xml:space="preserve">+61 8 3186 1254</t>
  </si>
  <si>
    <t xml:space="preserve">Oscar</t>
  </si>
  <si>
    <t xml:space="preserve">9856 King Street</t>
  </si>
  <si>
    <t xml:space="preserve">+61 3 5206 7089</t>
  </si>
  <si>
    <t xml:space="preserve">Montgomery</t>
  </si>
  <si>
    <t xml:space="preserve">9/11/2024</t>
  </si>
  <si>
    <t xml:space="preserve">27793 Park Avenue</t>
  </si>
  <si>
    <t xml:space="preserve">+61 6 4646 9808</t>
  </si>
  <si>
    <t xml:space="preserve">Vo</t>
  </si>
  <si>
    <t xml:space="preserve">Kai</t>
  </si>
  <si>
    <t xml:space="preserve">10/3/2024</t>
  </si>
  <si>
    <t xml:space="preserve">92479 George Street</t>
  </si>
  <si>
    <t xml:space="preserve">+61 4 8872 4964</t>
  </si>
  <si>
    <t xml:space="preserve">Velazquez</t>
  </si>
  <si>
    <t xml:space="preserve">Nico</t>
  </si>
  <si>
    <t xml:space="preserve">5/17/2024</t>
  </si>
  <si>
    <t xml:space="preserve">36128 Park Avenue</t>
  </si>
  <si>
    <t xml:space="preserve">+61 2 1213 2983</t>
  </si>
  <si>
    <t xml:space="preserve">Vasquez</t>
  </si>
  <si>
    <t xml:space="preserve">Lucy</t>
  </si>
  <si>
    <t xml:space="preserve">6/23/2024</t>
  </si>
  <si>
    <t xml:space="preserve">55514 Main Street</t>
  </si>
  <si>
    <t xml:space="preserve">+61 8 6491 7251</t>
  </si>
  <si>
    <t xml:space="preserve">Shepherd</t>
  </si>
  <si>
    <t xml:space="preserve">Charli</t>
  </si>
  <si>
    <t xml:space="preserve">2/22/2024</t>
  </si>
  <si>
    <t xml:space="preserve">92328 George Street</t>
  </si>
  <si>
    <t xml:space="preserve">+61 3 7088 1359</t>
  </si>
  <si>
    <t xml:space="preserve">Meyer</t>
  </si>
  <si>
    <t xml:space="preserve">Evie</t>
  </si>
  <si>
    <t xml:space="preserve">80522 King Street</t>
  </si>
  <si>
    <t xml:space="preserve">+61 3 4709 6126</t>
  </si>
  <si>
    <t xml:space="preserve">Powell</t>
  </si>
  <si>
    <t xml:space="preserve">7/27/2024</t>
  </si>
  <si>
    <t xml:space="preserve">76884 Park Avenue</t>
  </si>
  <si>
    <t xml:space="preserve">+61 2 4964 6632</t>
  </si>
  <si>
    <t xml:space="preserve">Walton</t>
  </si>
  <si>
    <t xml:space="preserve">Erick</t>
  </si>
  <si>
    <t xml:space="preserve">7/22/2024</t>
  </si>
  <si>
    <t xml:space="preserve">77854 Elizabeth Street</t>
  </si>
  <si>
    <t xml:space="preserve">+61 9 5466 4896</t>
  </si>
  <si>
    <t xml:space="preserve">Guzman</t>
  </si>
  <si>
    <t xml:space="preserve">Emery</t>
  </si>
  <si>
    <t xml:space="preserve">12/24/2024</t>
  </si>
  <si>
    <t xml:space="preserve">35500 King Street</t>
  </si>
  <si>
    <t xml:space="preserve">+61 7 5231 4873</t>
  </si>
  <si>
    <t xml:space="preserve">Rose</t>
  </si>
  <si>
    <t xml:space="preserve">Annabelle</t>
  </si>
  <si>
    <t xml:space="preserve">12/11/2024</t>
  </si>
  <si>
    <t xml:space="preserve">28331 Elizabeth Street</t>
  </si>
  <si>
    <t xml:space="preserve">+61 2 3936 4942</t>
  </si>
  <si>
    <t xml:space="preserve">Schmidt</t>
  </si>
  <si>
    <t xml:space="preserve">Spencer</t>
  </si>
  <si>
    <t xml:space="preserve">2/23/2024</t>
  </si>
  <si>
    <t xml:space="preserve">87107 Main Street</t>
  </si>
  <si>
    <t xml:space="preserve">+61 7 7052 5237</t>
  </si>
  <si>
    <t xml:space="preserve">Callie</t>
  </si>
  <si>
    <t xml:space="preserve">1/18/2024</t>
  </si>
  <si>
    <t xml:space="preserve">40071 King Street</t>
  </si>
  <si>
    <t xml:space="preserve">+61 2 3445 4248</t>
  </si>
  <si>
    <t xml:space="preserve">Chavez</t>
  </si>
  <si>
    <t xml:space="preserve">Cecilia</t>
  </si>
  <si>
    <t xml:space="preserve">32850 Main Street</t>
  </si>
  <si>
    <t xml:space="preserve">+61 8 1649 5175</t>
  </si>
  <si>
    <t xml:space="preserve">Blackwell</t>
  </si>
  <si>
    <t xml:space="preserve">Finley</t>
  </si>
  <si>
    <t xml:space="preserve">11/18/2024</t>
  </si>
  <si>
    <t xml:space="preserve">44041 King Street</t>
  </si>
  <si>
    <t xml:space="preserve">+61 9 7606 1481</t>
  </si>
  <si>
    <t xml:space="preserve">Faith</t>
  </si>
  <si>
    <t xml:space="preserve">9/8/2024</t>
  </si>
  <si>
    <t xml:space="preserve">84443 Elizabeth Street</t>
  </si>
  <si>
    <t xml:space="preserve">+61 6 9431 5985</t>
  </si>
  <si>
    <t xml:space="preserve">Solis</t>
  </si>
  <si>
    <t xml:space="preserve">Mary</t>
  </si>
  <si>
    <t xml:space="preserve">8/16/2024</t>
  </si>
  <si>
    <t xml:space="preserve">77843 Main Street</t>
  </si>
  <si>
    <t xml:space="preserve">+61 3 1576 2190</t>
  </si>
  <si>
    <t xml:space="preserve">Abel</t>
  </si>
  <si>
    <t xml:space="preserve">4/8/2024</t>
  </si>
  <si>
    <t xml:space="preserve">70867 Elizabeth Street</t>
  </si>
  <si>
    <t xml:space="preserve">+61 8 3044 6852</t>
  </si>
  <si>
    <t xml:space="preserve">Acevedo</t>
  </si>
  <si>
    <t xml:space="preserve">63867 Elizabeth Street</t>
  </si>
  <si>
    <t xml:space="preserve">+61 6 1636 2846</t>
  </si>
  <si>
    <t xml:space="preserve">Annalise</t>
  </si>
  <si>
    <t xml:space="preserve">12/3/2024</t>
  </si>
  <si>
    <t xml:space="preserve">18895 George Street</t>
  </si>
  <si>
    <t xml:space="preserve">+61 2 9735 4987</t>
  </si>
  <si>
    <t xml:space="preserve">Cohen</t>
  </si>
  <si>
    <t xml:space="preserve">London</t>
  </si>
  <si>
    <t xml:space="preserve">6/19/2024</t>
  </si>
  <si>
    <t xml:space="preserve">25084 Park Avenue</t>
  </si>
  <si>
    <t xml:space="preserve">+61 6 3338 8997</t>
  </si>
  <si>
    <t xml:space="preserve">Espinosa</t>
  </si>
  <si>
    <t xml:space="preserve">Myla</t>
  </si>
  <si>
    <t xml:space="preserve">84382 King Street</t>
  </si>
  <si>
    <t xml:space="preserve">+61 9 3586 5040</t>
  </si>
  <si>
    <t xml:space="preserve">10/12/2024</t>
  </si>
  <si>
    <t xml:space="preserve">52326 King Street</t>
  </si>
  <si>
    <t xml:space="preserve">+61 8 8998 5233</t>
  </si>
  <si>
    <t xml:space="preserve">Thornton</t>
  </si>
  <si>
    <t xml:space="preserve">Bodie</t>
  </si>
  <si>
    <t xml:space="preserve">12/8/2024</t>
  </si>
  <si>
    <t xml:space="preserve">51229 Main Street</t>
  </si>
  <si>
    <t xml:space="preserve">+61 5 6036 7076</t>
  </si>
  <si>
    <t xml:space="preserve">10/5/2024</t>
  </si>
  <si>
    <t xml:space="preserve">92727 Elizabeth Street</t>
  </si>
  <si>
    <t xml:space="preserve">+61 7 2750 4125</t>
  </si>
  <si>
    <t xml:space="preserve">Ross</t>
  </si>
  <si>
    <t xml:space="preserve">Delilah</t>
  </si>
  <si>
    <t xml:space="preserve">11/24/2024</t>
  </si>
  <si>
    <t xml:space="preserve">13468 Main Street</t>
  </si>
  <si>
    <t xml:space="preserve">+61 2 3057 4306</t>
  </si>
  <si>
    <t xml:space="preserve">Mckay</t>
  </si>
  <si>
    <t xml:space="preserve">Serena</t>
  </si>
  <si>
    <t xml:space="preserve">6/28/2024</t>
  </si>
  <si>
    <t xml:space="preserve">97459 Main Street</t>
  </si>
  <si>
    <t xml:space="preserve">+61 9 8064 1833</t>
  </si>
  <si>
    <t xml:space="preserve">Asher</t>
  </si>
  <si>
    <t xml:space="preserve">4/7/2024</t>
  </si>
  <si>
    <t xml:space="preserve">95804 Elizabeth Street</t>
  </si>
  <si>
    <t xml:space="preserve">+61 3 3184 8150</t>
  </si>
  <si>
    <t xml:space="preserve">Galindo</t>
  </si>
  <si>
    <t xml:space="preserve">4/21/2024</t>
  </si>
  <si>
    <t xml:space="preserve">87491 King Street</t>
  </si>
  <si>
    <t xml:space="preserve">+61 5 9754 2178</t>
  </si>
  <si>
    <t xml:space="preserve">Aguilar</t>
  </si>
  <si>
    <t xml:space="preserve">Veronica</t>
  </si>
  <si>
    <t xml:space="preserve">2/16/2024</t>
  </si>
  <si>
    <t xml:space="preserve">58578 George Street</t>
  </si>
  <si>
    <t xml:space="preserve">+61 5 2771 9609</t>
  </si>
  <si>
    <t xml:space="preserve">Mahoney</t>
  </si>
  <si>
    <t xml:space="preserve">9/17/2024</t>
  </si>
  <si>
    <t xml:space="preserve">82114 George Street</t>
  </si>
  <si>
    <t xml:space="preserve">+61 3 7197 9043</t>
  </si>
  <si>
    <t xml:space="preserve">Reed</t>
  </si>
  <si>
    <t xml:space="preserve">Jayden</t>
  </si>
  <si>
    <t xml:space="preserve">31625 Park Avenue</t>
  </si>
  <si>
    <t xml:space="preserve">+61 4 5673 6955</t>
  </si>
  <si>
    <t xml:space="preserve">Carpenter</t>
  </si>
  <si>
    <t xml:space="preserve">Jordan</t>
  </si>
  <si>
    <t xml:space="preserve">1/7/2024</t>
  </si>
  <si>
    <t xml:space="preserve">82683 King Street</t>
  </si>
  <si>
    <t xml:space="preserve">+61 6 7035 7589</t>
  </si>
  <si>
    <t xml:space="preserve">Stokes</t>
  </si>
  <si>
    <t xml:space="preserve">Jace</t>
  </si>
  <si>
    <t xml:space="preserve">10/6/2024</t>
  </si>
  <si>
    <t xml:space="preserve">23809 Elizabeth Street</t>
  </si>
  <si>
    <t xml:space="preserve">+61 5 9949 9157</t>
  </si>
  <si>
    <t xml:space="preserve">Barrera</t>
  </si>
  <si>
    <t xml:space="preserve">6981 Main Street</t>
  </si>
  <si>
    <t xml:space="preserve">+61 3 6166 2541</t>
  </si>
  <si>
    <t xml:space="preserve">Pitts</t>
  </si>
  <si>
    <t xml:space="preserve">Michelle</t>
  </si>
  <si>
    <t xml:space="preserve">9746 Park Avenue</t>
  </si>
  <si>
    <t xml:space="preserve">+61 4 3317 6822</t>
  </si>
  <si>
    <t xml:space="preserve">Christian</t>
  </si>
  <si>
    <t xml:space="preserve">4/3/2024</t>
  </si>
  <si>
    <t xml:space="preserve">60581 Park Avenue</t>
  </si>
  <si>
    <t xml:space="preserve">+61 6 6915 5646</t>
  </si>
  <si>
    <t xml:space="preserve">Mccall</t>
  </si>
  <si>
    <t xml:space="preserve">Saylor</t>
  </si>
  <si>
    <t xml:space="preserve">3/21/2024</t>
  </si>
  <si>
    <t xml:space="preserve">47246 Main Street</t>
  </si>
  <si>
    <t xml:space="preserve">+61 8 9955 9053</t>
  </si>
  <si>
    <t xml:space="preserve">Martinez</t>
  </si>
  <si>
    <t xml:space="preserve">Samantha</t>
  </si>
  <si>
    <t xml:space="preserve">84519 Park Avenue</t>
  </si>
  <si>
    <t xml:space="preserve">+61 6 9567 1027</t>
  </si>
  <si>
    <t xml:space="preserve">Acosta</t>
  </si>
  <si>
    <t xml:space="preserve">11/11/2024</t>
  </si>
  <si>
    <t xml:space="preserve">85362 George Street</t>
  </si>
  <si>
    <t xml:space="preserve">+61 2 7266 8180</t>
  </si>
  <si>
    <t xml:space="preserve">Camilla</t>
  </si>
  <si>
    <t xml:space="preserve">11/2/2024</t>
  </si>
  <si>
    <t xml:space="preserve">35625 Park Avenue</t>
  </si>
  <si>
    <t xml:space="preserve">+61 2 6714 7732</t>
  </si>
  <si>
    <t xml:space="preserve">Rivers</t>
  </si>
  <si>
    <t xml:space="preserve">95668 Main Street</t>
  </si>
  <si>
    <t xml:space="preserve">+61 3 4500 7676</t>
  </si>
  <si>
    <t xml:space="preserve">Hoffman</t>
  </si>
  <si>
    <t xml:space="preserve">Melissa</t>
  </si>
  <si>
    <t xml:space="preserve">4/4/2024</t>
  </si>
  <si>
    <t xml:space="preserve">67626 Main Street</t>
  </si>
  <si>
    <t xml:space="preserve">+61 4 7423 5207</t>
  </si>
  <si>
    <t xml:space="preserve">Horn</t>
  </si>
  <si>
    <t xml:space="preserve">Mabel</t>
  </si>
  <si>
    <t xml:space="preserve">81591 Main Street</t>
  </si>
  <si>
    <t xml:space="preserve">+61 6 2538 4144</t>
  </si>
  <si>
    <t xml:space="preserve">Daniela</t>
  </si>
  <si>
    <t xml:space="preserve">79103 Park Avenue</t>
  </si>
  <si>
    <t xml:space="preserve">+61 9 2504 5508</t>
  </si>
  <si>
    <t xml:space="preserve">Bradshaw</t>
  </si>
  <si>
    <t xml:space="preserve">Dax</t>
  </si>
  <si>
    <t xml:space="preserve">11/3/2024</t>
  </si>
  <si>
    <t xml:space="preserve">24519 Main Street</t>
  </si>
  <si>
    <t xml:space="preserve">+61 3 8618 9130</t>
  </si>
  <si>
    <t xml:space="preserve">Boone</t>
  </si>
  <si>
    <t xml:space="preserve">Aitana</t>
  </si>
  <si>
    <t xml:space="preserve">3/4/2024</t>
  </si>
  <si>
    <t xml:space="preserve">91971 Park Avenue</t>
  </si>
  <si>
    <t xml:space="preserve">+61 2 8190 1793</t>
  </si>
  <si>
    <t xml:space="preserve">Roy</t>
  </si>
  <si>
    <t xml:space="preserve">Patrick</t>
  </si>
  <si>
    <t xml:space="preserve">4/9/2024</t>
  </si>
  <si>
    <t xml:space="preserve">84042 Park Avenue</t>
  </si>
  <si>
    <t xml:space="preserve">+61 6 3581 2528</t>
  </si>
  <si>
    <t xml:space="preserve">Mccarthy</t>
  </si>
  <si>
    <t xml:space="preserve">Calvin</t>
  </si>
  <si>
    <t xml:space="preserve">7/3/2024</t>
  </si>
  <si>
    <t xml:space="preserve">80596 Main Street</t>
  </si>
  <si>
    <t xml:space="preserve">+61 7 2994 9440</t>
  </si>
  <si>
    <t xml:space="preserve">Everett</t>
  </si>
  <si>
    <t xml:space="preserve">Lyra</t>
  </si>
  <si>
    <t xml:space="preserve">3/12/2024</t>
  </si>
  <si>
    <t xml:space="preserve">61026 Park Avenue</t>
  </si>
  <si>
    <t xml:space="preserve">+61 4 3151 3154</t>
  </si>
  <si>
    <t xml:space="preserve">Alvarado</t>
  </si>
  <si>
    <t xml:space="preserve">Zayn</t>
  </si>
  <si>
    <t xml:space="preserve">2/15/2024</t>
  </si>
  <si>
    <t xml:space="preserve">44704 Park Avenue</t>
  </si>
  <si>
    <t xml:space="preserve">+61 2 8240 3829</t>
  </si>
  <si>
    <t xml:space="preserve">Lynch</t>
  </si>
  <si>
    <t xml:space="preserve">Xander</t>
  </si>
  <si>
    <t xml:space="preserve">93495 Elizabeth Street</t>
  </si>
  <si>
    <t xml:space="preserve">+61 5 6136 5152</t>
  </si>
  <si>
    <t xml:space="preserve">Escobar</t>
  </si>
  <si>
    <t xml:space="preserve">Declan</t>
  </si>
  <si>
    <t xml:space="preserve">76917 Park Avenue</t>
  </si>
  <si>
    <t xml:space="preserve">+61 4 7131 2101</t>
  </si>
  <si>
    <t xml:space="preserve">Fisher</t>
  </si>
  <si>
    <t xml:space="preserve">Zara</t>
  </si>
  <si>
    <t xml:space="preserve">12/18/2024</t>
  </si>
  <si>
    <t xml:space="preserve">79066 George Street</t>
  </si>
  <si>
    <t xml:space="preserve">+61 9 9505 4724</t>
  </si>
  <si>
    <t xml:space="preserve">Gould</t>
  </si>
  <si>
    <t xml:space="preserve">7/25/2024</t>
  </si>
  <si>
    <t xml:space="preserve">92951 Elizabeth Street</t>
  </si>
  <si>
    <t xml:space="preserve">+61 2 3456 7586</t>
  </si>
  <si>
    <t xml:space="preserve">Contreras</t>
  </si>
  <si>
    <t xml:space="preserve">Addison</t>
  </si>
  <si>
    <t xml:space="preserve">96865 Park Avenue</t>
  </si>
  <si>
    <t xml:space="preserve">+61 8 4883 7717</t>
  </si>
  <si>
    <t xml:space="preserve">Burke</t>
  </si>
  <si>
    <t xml:space="preserve">31375 George Street</t>
  </si>
  <si>
    <t xml:space="preserve">+61 3 7387 1747</t>
  </si>
  <si>
    <t xml:space="preserve">Owens</t>
  </si>
  <si>
    <t xml:space="preserve">Maximus</t>
  </si>
  <si>
    <t xml:space="preserve">62344 Main Street</t>
  </si>
  <si>
    <t xml:space="preserve">+61 4 1752 6729</t>
  </si>
  <si>
    <t xml:space="preserve">Sadie</t>
  </si>
  <si>
    <t xml:space="preserve">3/23/2024</t>
  </si>
  <si>
    <t xml:space="preserve">9535 Park Avenue</t>
  </si>
  <si>
    <t xml:space="preserve">+61 9 5577 2262</t>
  </si>
  <si>
    <t xml:space="preserve">Sloane</t>
  </si>
  <si>
    <t xml:space="preserve">4523 George Street</t>
  </si>
  <si>
    <t xml:space="preserve">+61 7 6539 2509</t>
  </si>
  <si>
    <t xml:space="preserve">Reyna</t>
  </si>
  <si>
    <t xml:space="preserve">Heidi</t>
  </si>
  <si>
    <t xml:space="preserve">5/15/2024</t>
  </si>
  <si>
    <t xml:space="preserve">21571 Main Street</t>
  </si>
  <si>
    <t xml:space="preserve">+61 4 3452 1800</t>
  </si>
  <si>
    <t xml:space="preserve">Hallie</t>
  </si>
  <si>
    <t xml:space="preserve">9/10/2024</t>
  </si>
  <si>
    <t xml:space="preserve">70998 Park Avenue</t>
  </si>
  <si>
    <t xml:space="preserve">+61 7 6237 2109</t>
  </si>
  <si>
    <t xml:space="preserve">Jensen</t>
  </si>
  <si>
    <t xml:space="preserve">Jason</t>
  </si>
  <si>
    <t xml:space="preserve">8167 King Street</t>
  </si>
  <si>
    <t xml:space="preserve">+61 8 3965 4830</t>
  </si>
  <si>
    <t xml:space="preserve">Ayala</t>
  </si>
  <si>
    <t xml:space="preserve">Elaina</t>
  </si>
  <si>
    <t xml:space="preserve">15747 Park Avenue</t>
  </si>
  <si>
    <t xml:space="preserve">+61 7 7352 3406</t>
  </si>
  <si>
    <t xml:space="preserve">Genevieve</t>
  </si>
  <si>
    <t xml:space="preserve">38796 King Street</t>
  </si>
  <si>
    <t xml:space="preserve">+61 5 8029 9708</t>
  </si>
  <si>
    <t xml:space="preserve">Kirk</t>
  </si>
  <si>
    <t xml:space="preserve">Mathias</t>
  </si>
  <si>
    <t xml:space="preserve">10/9/2024</t>
  </si>
  <si>
    <t xml:space="preserve">72046 George Street</t>
  </si>
  <si>
    <t xml:space="preserve">+61 3 3758 3336</t>
  </si>
  <si>
    <t xml:space="preserve">Terrell</t>
  </si>
  <si>
    <t xml:space="preserve">5/13/2024</t>
  </si>
  <si>
    <t xml:space="preserve">87002 Park Avenue</t>
  </si>
  <si>
    <t xml:space="preserve">+61 3 2969 3359</t>
  </si>
  <si>
    <t xml:space="preserve">Norris</t>
  </si>
  <si>
    <t xml:space="preserve">Kobe</t>
  </si>
  <si>
    <t xml:space="preserve">67405 Main Street</t>
  </si>
  <si>
    <t xml:space="preserve">+61 2 7701 2644</t>
  </si>
  <si>
    <t xml:space="preserve">Huerta</t>
  </si>
  <si>
    <t xml:space="preserve">10/31/2024</t>
  </si>
  <si>
    <t xml:space="preserve">15747 Elizabeth Street</t>
  </si>
  <si>
    <t xml:space="preserve">+61 6 2915 6519</t>
  </si>
  <si>
    <t xml:space="preserve">Hail</t>
  </si>
  <si>
    <t xml:space="preserve">Raymond</t>
  </si>
  <si>
    <t xml:space="preserve">72041 King Street</t>
  </si>
  <si>
    <t xml:space="preserve">+61 6 4634 7533</t>
  </si>
  <si>
    <t xml:space="preserve">Bauer</t>
  </si>
  <si>
    <t xml:space="preserve">Melanie</t>
  </si>
  <si>
    <t xml:space="preserve">10/10/2024</t>
  </si>
  <si>
    <t xml:space="preserve">71842 George Street</t>
  </si>
  <si>
    <t xml:space="preserve">+61 5 4174 9967</t>
  </si>
  <si>
    <t xml:space="preserve">English</t>
  </si>
  <si>
    <t xml:space="preserve">58474 George Street</t>
  </si>
  <si>
    <t xml:space="preserve">+61 8 9010 3405</t>
  </si>
  <si>
    <t xml:space="preserve">Allen</t>
  </si>
  <si>
    <t xml:space="preserve">8/31/2024</t>
  </si>
  <si>
    <t xml:space="preserve">19470 Park Avenue</t>
  </si>
  <si>
    <t xml:space="preserve">+61 7 7390 8269</t>
  </si>
  <si>
    <t xml:space="preserve">Benson</t>
  </si>
  <si>
    <t xml:space="preserve">Victor</t>
  </si>
  <si>
    <t xml:space="preserve">18703 George Street</t>
  </si>
  <si>
    <t xml:space="preserve">+61 7 7986 1424</t>
  </si>
  <si>
    <t xml:space="preserve">Blankenship</t>
  </si>
  <si>
    <t xml:space="preserve">Gabriel</t>
  </si>
  <si>
    <t xml:space="preserve">3/6/2024</t>
  </si>
  <si>
    <t xml:space="preserve">74782 King Street</t>
  </si>
  <si>
    <t xml:space="preserve">+61 6 9826 5838</t>
  </si>
  <si>
    <t xml:space="preserve">Cunningham</t>
  </si>
  <si>
    <t xml:space="preserve">Julia</t>
  </si>
  <si>
    <t xml:space="preserve">3/5/2024</t>
  </si>
  <si>
    <t xml:space="preserve">56662 King Street</t>
  </si>
  <si>
    <t xml:space="preserve">+61 2 7558 4740</t>
  </si>
  <si>
    <t xml:space="preserve">Cantu</t>
  </si>
  <si>
    <t xml:space="preserve">9/18/2024</t>
  </si>
  <si>
    <t xml:space="preserve">33800 George Street</t>
  </si>
  <si>
    <t xml:space="preserve">+61 3 7806 9582</t>
  </si>
  <si>
    <t xml:space="preserve">Stewart</t>
  </si>
  <si>
    <t xml:space="preserve">Nylah</t>
  </si>
  <si>
    <t xml:space="preserve">72622 King Street</t>
  </si>
  <si>
    <t xml:space="preserve">+61 8 6360 8797</t>
  </si>
  <si>
    <t xml:space="preserve">Rich</t>
  </si>
  <si>
    <t xml:space="preserve">Paul</t>
  </si>
  <si>
    <t xml:space="preserve">3/13/2024</t>
  </si>
  <si>
    <t xml:space="preserve">56698 George Street</t>
  </si>
  <si>
    <t xml:space="preserve">+61 2 9769 1187</t>
  </si>
  <si>
    <t xml:space="preserve">Monroe</t>
  </si>
  <si>
    <t xml:space="preserve">Marco</t>
  </si>
  <si>
    <t xml:space="preserve">24900 Elizabeth Street</t>
  </si>
  <si>
    <t xml:space="preserve">+61 6 3126 8733</t>
  </si>
  <si>
    <t xml:space="preserve">Cherry</t>
  </si>
  <si>
    <t xml:space="preserve">Diego</t>
  </si>
  <si>
    <t xml:space="preserve">8/6/2024</t>
  </si>
  <si>
    <t xml:space="preserve">68827 Main Street</t>
  </si>
  <si>
    <t xml:space="preserve">+61 3 4611 4540</t>
  </si>
  <si>
    <t xml:space="preserve">Mitchell</t>
  </si>
  <si>
    <t xml:space="preserve">Ailani</t>
  </si>
  <si>
    <t xml:space="preserve">82476 King Street</t>
  </si>
  <si>
    <t xml:space="preserve">+61 2 1751 6920</t>
  </si>
  <si>
    <t xml:space="preserve">Dunlap</t>
  </si>
  <si>
    <t xml:space="preserve">11/15/2024</t>
  </si>
  <si>
    <t xml:space="preserve">99364 Main Street</t>
  </si>
  <si>
    <t xml:space="preserve">+61 6 5457 9565</t>
  </si>
  <si>
    <t xml:space="preserve">Alaina</t>
  </si>
  <si>
    <t xml:space="preserve">9/19/2024</t>
  </si>
  <si>
    <t xml:space="preserve">70198 Elizabeth Street</t>
  </si>
  <si>
    <t xml:space="preserve">+61 7 5958 7903</t>
  </si>
  <si>
    <t xml:space="preserve">Baker</t>
  </si>
  <si>
    <t xml:space="preserve">King</t>
  </si>
  <si>
    <t xml:space="preserve">12/5/2024</t>
  </si>
  <si>
    <t xml:space="preserve">95350 Elizabeth Street</t>
  </si>
  <si>
    <t xml:space="preserve">+61 3 3946 1798</t>
  </si>
  <si>
    <t xml:space="preserve">Sierra</t>
  </si>
  <si>
    <t xml:space="preserve">Dante</t>
  </si>
  <si>
    <t xml:space="preserve">4/28/2024</t>
  </si>
  <si>
    <t xml:space="preserve">87660 Elizabeth Street</t>
  </si>
  <si>
    <t xml:space="preserve">+61 3 8776 2770</t>
  </si>
  <si>
    <t xml:space="preserve">Griffith</t>
  </si>
  <si>
    <t xml:space="preserve">Kashton</t>
  </si>
  <si>
    <t xml:space="preserve">5589 Park Avenue</t>
  </si>
  <si>
    <t xml:space="preserve">+61 3 3845 6066</t>
  </si>
  <si>
    <t xml:space="preserve">Madison</t>
  </si>
  <si>
    <t xml:space="preserve">52198 Elizabeth Street</t>
  </si>
  <si>
    <t xml:space="preserve">+61 2 5542 6542</t>
  </si>
  <si>
    <t xml:space="preserve">Miles</t>
  </si>
  <si>
    <t xml:space="preserve">2/11/2024</t>
  </si>
  <si>
    <t xml:space="preserve">40604 King Street</t>
  </si>
  <si>
    <t xml:space="preserve">+61 4 1034 4670</t>
  </si>
  <si>
    <t xml:space="preserve">Booth</t>
  </si>
  <si>
    <t xml:space="preserve">Karter</t>
  </si>
  <si>
    <t xml:space="preserve">63957 King Street</t>
  </si>
  <si>
    <t xml:space="preserve">+61 4 8695 2168</t>
  </si>
  <si>
    <t xml:space="preserve">Fernando</t>
  </si>
  <si>
    <t xml:space="preserve">89320 King Street</t>
  </si>
  <si>
    <t xml:space="preserve">+61 2 3527 5145</t>
  </si>
  <si>
    <t xml:space="preserve">Marley</t>
  </si>
  <si>
    <t xml:space="preserve">83005 Elizabeth Street</t>
  </si>
  <si>
    <t xml:space="preserve">+61 4 7413 3436</t>
  </si>
  <si>
    <t xml:space="preserve">Sanders</t>
  </si>
  <si>
    <t xml:space="preserve">Lukas</t>
  </si>
  <si>
    <t xml:space="preserve">14286 George Street</t>
  </si>
  <si>
    <t xml:space="preserve">+61 7 8920 6050</t>
  </si>
  <si>
    <t xml:space="preserve">Orozco</t>
  </si>
  <si>
    <t xml:space="preserve">River</t>
  </si>
  <si>
    <t xml:space="preserve">36180 Park Avenue</t>
  </si>
  <si>
    <t xml:space="preserve">+61 9 9604 2224</t>
  </si>
  <si>
    <t xml:space="preserve">Nuñez</t>
  </si>
  <si>
    <t xml:space="preserve">Mackenzie</t>
  </si>
  <si>
    <t xml:space="preserve">40342 Elizabeth Street</t>
  </si>
  <si>
    <t xml:space="preserve">+61 2 7351 2472</t>
  </si>
  <si>
    <t xml:space="preserve">Dixon</t>
  </si>
  <si>
    <t xml:space="preserve">Stevie</t>
  </si>
  <si>
    <t xml:space="preserve">6497 George Street</t>
  </si>
  <si>
    <t xml:space="preserve">+61 3 3445 1836</t>
  </si>
  <si>
    <t xml:space="preserve">Rosemary</t>
  </si>
  <si>
    <t xml:space="preserve">70610 Main Street</t>
  </si>
  <si>
    <t xml:space="preserve">+61 9 9556 2575</t>
  </si>
  <si>
    <t xml:space="preserve">Ellison</t>
  </si>
  <si>
    <t xml:space="preserve">9/6/2024</t>
  </si>
  <si>
    <t xml:space="preserve">88071 Elizabeth Street</t>
  </si>
  <si>
    <t xml:space="preserve">+61 7 9920 4262</t>
  </si>
  <si>
    <t xml:space="preserve">Santiago</t>
  </si>
  <si>
    <t xml:space="preserve">23219 George Street</t>
  </si>
  <si>
    <t xml:space="preserve">+61 6 1213 4289</t>
  </si>
  <si>
    <t xml:space="preserve">Bean</t>
  </si>
  <si>
    <t xml:space="preserve">Cataleya</t>
  </si>
  <si>
    <t xml:space="preserve">66601 Park Avenue</t>
  </si>
  <si>
    <t xml:space="preserve">+61 3 4425 6625</t>
  </si>
  <si>
    <t xml:space="preserve">6/25/2024</t>
  </si>
  <si>
    <t xml:space="preserve">98545 Elizabeth Street</t>
  </si>
  <si>
    <t xml:space="preserve">+61 3 2472 9476</t>
  </si>
  <si>
    <t xml:space="preserve">Daisy</t>
  </si>
  <si>
    <t xml:space="preserve">16299 King Street</t>
  </si>
  <si>
    <t xml:space="preserve">+61 9 2905 3791</t>
  </si>
  <si>
    <t xml:space="preserve">Burton</t>
  </si>
  <si>
    <t xml:space="preserve">Grady</t>
  </si>
  <si>
    <t xml:space="preserve">84789 Main Street</t>
  </si>
  <si>
    <t xml:space="preserve">+61 3 1847 7499</t>
  </si>
  <si>
    <t xml:space="preserve">Thomas</t>
  </si>
  <si>
    <t xml:space="preserve">5/5/2024</t>
  </si>
  <si>
    <t xml:space="preserve">67667 Park Avenue</t>
  </si>
  <si>
    <t xml:space="preserve">+61 4 2886 2825</t>
  </si>
  <si>
    <t xml:space="preserve">Garza</t>
  </si>
  <si>
    <t xml:space="preserve">Natalia</t>
  </si>
  <si>
    <t xml:space="preserve">5/22/2024</t>
  </si>
  <si>
    <t xml:space="preserve">43934 Park Avenue</t>
  </si>
  <si>
    <t xml:space="preserve">+61 3 4517 5236</t>
  </si>
  <si>
    <t xml:space="preserve">Newman</t>
  </si>
  <si>
    <t xml:space="preserve">Celine</t>
  </si>
  <si>
    <t xml:space="preserve">75213 Main Street</t>
  </si>
  <si>
    <t xml:space="preserve">+61 2 6518 4178</t>
  </si>
  <si>
    <t xml:space="preserve">Robbins</t>
  </si>
  <si>
    <t xml:space="preserve">Alex</t>
  </si>
  <si>
    <t xml:space="preserve">5/16/2024</t>
  </si>
  <si>
    <t xml:space="preserve">29935 Main Street</t>
  </si>
  <si>
    <t xml:space="preserve">+61 3 4093 9473</t>
  </si>
  <si>
    <t xml:space="preserve">Sexton</t>
  </si>
  <si>
    <t xml:space="preserve">Meadow</t>
  </si>
  <si>
    <t xml:space="preserve">46175 Park Avenue</t>
  </si>
  <si>
    <t xml:space="preserve">+61 3 7293 1088</t>
  </si>
  <si>
    <t xml:space="preserve">Ponce</t>
  </si>
  <si>
    <t xml:space="preserve">Lucille</t>
  </si>
  <si>
    <t xml:space="preserve">14043 King Street</t>
  </si>
  <si>
    <t xml:space="preserve">+61 3 3373 3712</t>
  </si>
  <si>
    <t xml:space="preserve">Gonzales</t>
  </si>
  <si>
    <t xml:space="preserve">Cairo</t>
  </si>
  <si>
    <t xml:space="preserve">19685 Park Avenue</t>
  </si>
  <si>
    <t xml:space="preserve">+61 7 9640 2971</t>
  </si>
  <si>
    <t xml:space="preserve">Mejia</t>
  </si>
  <si>
    <t xml:space="preserve">Desmond</t>
  </si>
  <si>
    <t xml:space="preserve">51799 King Street</t>
  </si>
  <si>
    <t xml:space="preserve">+61 6 4484 3145</t>
  </si>
  <si>
    <t xml:space="preserve">Joy</t>
  </si>
  <si>
    <t xml:space="preserve">11/26/2024</t>
  </si>
  <si>
    <t xml:space="preserve">24866 George Street</t>
  </si>
  <si>
    <t xml:space="preserve">+61 8 4452 9285</t>
  </si>
  <si>
    <t xml:space="preserve">Bowers</t>
  </si>
  <si>
    <t xml:space="preserve">6/14/2024</t>
  </si>
  <si>
    <t xml:space="preserve">85866 Park Avenue</t>
  </si>
  <si>
    <t xml:space="preserve">+61 2 8619 1250</t>
  </si>
  <si>
    <t xml:space="preserve">Frazier</t>
  </si>
  <si>
    <t xml:space="preserve">Ella</t>
  </si>
  <si>
    <t xml:space="preserve">11/7/2024</t>
  </si>
  <si>
    <t xml:space="preserve">4375 Park Avenue</t>
  </si>
  <si>
    <t xml:space="preserve">+61 7 4908 1904</t>
  </si>
  <si>
    <t xml:space="preserve">Sparks</t>
  </si>
  <si>
    <t xml:space="preserve">69165 King Street</t>
  </si>
  <si>
    <t xml:space="preserve">+61 5 3183 4910</t>
  </si>
  <si>
    <t xml:space="preserve">Villarreal</t>
  </si>
  <si>
    <t xml:space="preserve">Damian</t>
  </si>
  <si>
    <t xml:space="preserve">4566 King Street</t>
  </si>
  <si>
    <t xml:space="preserve">+61 4 4772 1999</t>
  </si>
  <si>
    <t xml:space="preserve">2/28/2024</t>
  </si>
  <si>
    <t xml:space="preserve">40063 Elizabeth Street</t>
  </si>
  <si>
    <t xml:space="preserve">+61 3 4926 7730</t>
  </si>
  <si>
    <t xml:space="preserve">Lozano</t>
  </si>
  <si>
    <t xml:space="preserve">Lorenzo</t>
  </si>
  <si>
    <t xml:space="preserve">4/27/2024</t>
  </si>
  <si>
    <t xml:space="preserve">78175 Main Street</t>
  </si>
  <si>
    <t xml:space="preserve">+61 4 6823 8737</t>
  </si>
  <si>
    <t xml:space="preserve">Mcpherson</t>
  </si>
  <si>
    <t xml:space="preserve">Tucker</t>
  </si>
  <si>
    <t xml:space="preserve">42868 George Street</t>
  </si>
  <si>
    <t xml:space="preserve">+61 7 7282 1265</t>
  </si>
  <si>
    <t xml:space="preserve">Jade</t>
  </si>
  <si>
    <t xml:space="preserve">9/2/2024</t>
  </si>
  <si>
    <t xml:space="preserve">3101 Main Street</t>
  </si>
  <si>
    <t xml:space="preserve">+61 8 3270 4332</t>
  </si>
  <si>
    <t xml:space="preserve">Riley</t>
  </si>
  <si>
    <t xml:space="preserve">Amaya</t>
  </si>
  <si>
    <t xml:space="preserve">10096 King Street</t>
  </si>
  <si>
    <t xml:space="preserve">+61 2 5022 1308</t>
  </si>
  <si>
    <t xml:space="preserve">Bruce</t>
  </si>
  <si>
    <t xml:space="preserve">Adan</t>
  </si>
  <si>
    <t xml:space="preserve">25612 Park Avenue</t>
  </si>
  <si>
    <t xml:space="preserve">+61 6 5584 9269</t>
  </si>
  <si>
    <t xml:space="preserve">Williams</t>
  </si>
  <si>
    <t xml:space="preserve">36982 George Street</t>
  </si>
  <si>
    <t xml:space="preserve">+61 6 2198 6361</t>
  </si>
  <si>
    <t xml:space="preserve">Gideon</t>
  </si>
  <si>
    <t xml:space="preserve">87817 Park Avenue</t>
  </si>
  <si>
    <t xml:space="preserve">+61 9 8099 5014</t>
  </si>
  <si>
    <t xml:space="preserve">Bowen</t>
  </si>
  <si>
    <t xml:space="preserve">Ryker</t>
  </si>
  <si>
    <t xml:space="preserve">21769 Park Avenue</t>
  </si>
  <si>
    <t xml:space="preserve">+61 9 4992 4841</t>
  </si>
  <si>
    <t xml:space="preserve">Dorsey</t>
  </si>
  <si>
    <t xml:space="preserve">1/15/2024</t>
  </si>
  <si>
    <t xml:space="preserve">57226 Main Street</t>
  </si>
  <si>
    <t xml:space="preserve">+61 7 7758 6562</t>
  </si>
  <si>
    <t xml:space="preserve">Hartman</t>
  </si>
  <si>
    <t xml:space="preserve">67616 Elizabeth Street</t>
  </si>
  <si>
    <t xml:space="preserve">+61 7 3109 8008</t>
  </si>
  <si>
    <t xml:space="preserve">Brian</t>
  </si>
  <si>
    <t xml:space="preserve">6/24/2024</t>
  </si>
  <si>
    <t xml:space="preserve">28702 George Street</t>
  </si>
  <si>
    <t xml:space="preserve">+61 4 6123 6348</t>
  </si>
  <si>
    <t xml:space="preserve">Huang</t>
  </si>
  <si>
    <t xml:space="preserve">Amanda</t>
  </si>
  <si>
    <t xml:space="preserve">12/6/2024</t>
  </si>
  <si>
    <t xml:space="preserve">86465 King Street</t>
  </si>
  <si>
    <t xml:space="preserve">+61 9 4286 2796</t>
  </si>
  <si>
    <t xml:space="preserve">Marlee</t>
  </si>
  <si>
    <t xml:space="preserve">48526 Main Street</t>
  </si>
  <si>
    <t xml:space="preserve">+61 9 1722 1807</t>
  </si>
  <si>
    <t xml:space="preserve">Xiomara</t>
  </si>
  <si>
    <t xml:space="preserve">4/13/2024</t>
  </si>
  <si>
    <t xml:space="preserve">2688 Park Avenue</t>
  </si>
  <si>
    <t xml:space="preserve">+61 5 3246 1038</t>
  </si>
  <si>
    <t xml:space="preserve">Logan</t>
  </si>
  <si>
    <t xml:space="preserve">75054 Main Street</t>
  </si>
  <si>
    <t xml:space="preserve">+61 2 5840 5898</t>
  </si>
  <si>
    <t xml:space="preserve">Kaur</t>
  </si>
  <si>
    <t xml:space="preserve">Athena</t>
  </si>
  <si>
    <t xml:space="preserve">37590 King Street</t>
  </si>
  <si>
    <t xml:space="preserve">+61 6 2498 5764</t>
  </si>
  <si>
    <t xml:space="preserve">Conley</t>
  </si>
  <si>
    <t xml:space="preserve">Elsie</t>
  </si>
  <si>
    <t xml:space="preserve">88262 Park Avenue</t>
  </si>
  <si>
    <t xml:space="preserve">+61 2 9687 2093</t>
  </si>
  <si>
    <t xml:space="preserve">Kramer</t>
  </si>
  <si>
    <t xml:space="preserve">Emersyn</t>
  </si>
  <si>
    <t xml:space="preserve">68505 Elizabeth Street</t>
  </si>
  <si>
    <t xml:space="preserve">+61 3 5307 5826</t>
  </si>
  <si>
    <t xml:space="preserve">Crosby</t>
  </si>
  <si>
    <t xml:space="preserve">Talia</t>
  </si>
  <si>
    <t xml:space="preserve">60196 George Street</t>
  </si>
  <si>
    <t xml:space="preserve">+61 3 8566 6434</t>
  </si>
  <si>
    <t xml:space="preserve">Carson</t>
  </si>
  <si>
    <t xml:space="preserve">6/21/2024</t>
  </si>
  <si>
    <t xml:space="preserve">59304 King Street</t>
  </si>
  <si>
    <t xml:space="preserve">+61 8 8003 5827</t>
  </si>
  <si>
    <t xml:space="preserve">Duran</t>
  </si>
  <si>
    <t xml:space="preserve">Emilia</t>
  </si>
  <si>
    <t xml:space="preserve">15120 Park Avenue</t>
  </si>
  <si>
    <t xml:space="preserve">+61 6 6534 6776</t>
  </si>
  <si>
    <t xml:space="preserve">Velasquez</t>
  </si>
  <si>
    <t xml:space="preserve">11/10/2024</t>
  </si>
  <si>
    <t xml:space="preserve">81105 Park Avenue</t>
  </si>
  <si>
    <t xml:space="preserve">+61 9 5020 1131</t>
  </si>
  <si>
    <t xml:space="preserve">Booker</t>
  </si>
  <si>
    <t xml:space="preserve">93472 George Street</t>
  </si>
  <si>
    <t xml:space="preserve">+61 3 4212 3879</t>
  </si>
  <si>
    <t xml:space="preserve">9/4/2024</t>
  </si>
  <si>
    <t xml:space="preserve">88665 King Street</t>
  </si>
  <si>
    <t xml:space="preserve">+61 5 3952 8262</t>
  </si>
  <si>
    <t xml:space="preserve">Harding</t>
  </si>
  <si>
    <t xml:space="preserve">1/16/2024</t>
  </si>
  <si>
    <t xml:space="preserve">99787 Main Street</t>
  </si>
  <si>
    <t xml:space="preserve">+61 5 1871 7938</t>
  </si>
  <si>
    <t xml:space="preserve">Lowery</t>
  </si>
  <si>
    <t xml:space="preserve">10/20/2024</t>
  </si>
  <si>
    <t xml:space="preserve">58173 George Street</t>
  </si>
  <si>
    <t xml:space="preserve">+61 9 5969 8091</t>
  </si>
  <si>
    <t xml:space="preserve">Lexi</t>
  </si>
  <si>
    <t xml:space="preserve">62421 Main Street</t>
  </si>
  <si>
    <t xml:space="preserve">+61 2 4143 8435</t>
  </si>
  <si>
    <t xml:space="preserve">Byrd</t>
  </si>
  <si>
    <t xml:space="preserve">Charlotte</t>
  </si>
  <si>
    <t xml:space="preserve">4/5/2024</t>
  </si>
  <si>
    <t xml:space="preserve">66264 George Street</t>
  </si>
  <si>
    <t xml:space="preserve">+61 5 1327 8746</t>
  </si>
  <si>
    <t xml:space="preserve">Peters</t>
  </si>
  <si>
    <t xml:space="preserve">7/31/2024</t>
  </si>
  <si>
    <t xml:space="preserve">19032 George Street</t>
  </si>
  <si>
    <t xml:space="preserve">+61 8 7906 3910</t>
  </si>
  <si>
    <t xml:space="preserve">Estes</t>
  </si>
  <si>
    <t xml:space="preserve">Genesis</t>
  </si>
  <si>
    <t xml:space="preserve">2/12/2024</t>
  </si>
  <si>
    <t xml:space="preserve">112 Elizabeth Street</t>
  </si>
  <si>
    <t xml:space="preserve">+61 5 9799 7727</t>
  </si>
  <si>
    <t xml:space="preserve">Dodson</t>
  </si>
  <si>
    <t xml:space="preserve">Noah</t>
  </si>
  <si>
    <t xml:space="preserve">5/1/2024</t>
  </si>
  <si>
    <t xml:space="preserve">10013 George Street</t>
  </si>
  <si>
    <t xml:space="preserve">+61 7 2362 2722</t>
  </si>
  <si>
    <t xml:space="preserve">Chandler</t>
  </si>
  <si>
    <t xml:space="preserve">2/3/2024</t>
  </si>
  <si>
    <t xml:space="preserve">15242 Park Avenue</t>
  </si>
  <si>
    <t xml:space="preserve">+61 6 8657 8263</t>
  </si>
  <si>
    <t xml:space="preserve">Nolan</t>
  </si>
  <si>
    <t xml:space="preserve">3562 George Street</t>
  </si>
  <si>
    <t xml:space="preserve">+61 4 9873 1337</t>
  </si>
  <si>
    <t xml:space="preserve">Kimberly</t>
  </si>
  <si>
    <t xml:space="preserve">71615 Park Avenue</t>
  </si>
  <si>
    <t xml:space="preserve">+61 4 9990 4432</t>
  </si>
  <si>
    <t xml:space="preserve">Beil</t>
  </si>
  <si>
    <t xml:space="preserve">Kaleb</t>
  </si>
  <si>
    <t xml:space="preserve">80363 George Street</t>
  </si>
  <si>
    <t xml:space="preserve">+61 9 2100 9195</t>
  </si>
  <si>
    <t xml:space="preserve">Gibbs</t>
  </si>
  <si>
    <t xml:space="preserve">5/4/2024</t>
  </si>
  <si>
    <t xml:space="preserve">4570 Elizabeth Street</t>
  </si>
  <si>
    <t xml:space="preserve">+61 5 1284 3216</t>
  </si>
  <si>
    <t xml:space="preserve">Lennox</t>
  </si>
  <si>
    <t xml:space="preserve">3/11/2024</t>
  </si>
  <si>
    <t xml:space="preserve">68190 George Street</t>
  </si>
  <si>
    <t xml:space="preserve">+61 8 5090 9019</t>
  </si>
  <si>
    <t xml:space="preserve">Liam</t>
  </si>
  <si>
    <t xml:space="preserve">60423 George Street</t>
  </si>
  <si>
    <t xml:space="preserve">+61 9 7448 4994</t>
  </si>
  <si>
    <t xml:space="preserve">Damien</t>
  </si>
  <si>
    <t xml:space="preserve">7/23/2024</t>
  </si>
  <si>
    <t xml:space="preserve">75747 Park Avenue</t>
  </si>
  <si>
    <t xml:space="preserve">+61 5 5903 9622</t>
  </si>
  <si>
    <t xml:space="preserve">Black</t>
  </si>
  <si>
    <t xml:space="preserve">36432 Main Street</t>
  </si>
  <si>
    <t xml:space="preserve">+61 5 1368 8804</t>
  </si>
  <si>
    <t xml:space="preserve">Donovan</t>
  </si>
  <si>
    <t xml:space="preserve">11/17/2024</t>
  </si>
  <si>
    <t xml:space="preserve">25255 Park Avenue</t>
  </si>
  <si>
    <t xml:space="preserve">+61 4 5490 8093</t>
  </si>
  <si>
    <t xml:space="preserve">25308 Park Avenue</t>
  </si>
  <si>
    <t xml:space="preserve">+61 3 8829 8274</t>
  </si>
  <si>
    <t xml:space="preserve">Stanton</t>
  </si>
  <si>
    <t xml:space="preserve">Piper</t>
  </si>
  <si>
    <t xml:space="preserve">20758 Park Avenue</t>
  </si>
  <si>
    <t xml:space="preserve">+61 9 2280 7014</t>
  </si>
  <si>
    <t xml:space="preserve">10/11/2024</t>
  </si>
  <si>
    <t xml:space="preserve">97402 Main Street</t>
  </si>
  <si>
    <t xml:space="preserve">+61 2 5133 6518</t>
  </si>
  <si>
    <t xml:space="preserve">4083 Elizabeth Street</t>
  </si>
  <si>
    <t xml:space="preserve">+61 2 9313 3823</t>
  </si>
  <si>
    <t xml:space="preserve">Strong</t>
  </si>
  <si>
    <t xml:space="preserve">Oaklee</t>
  </si>
  <si>
    <t xml:space="preserve">28845 Elizabeth Street</t>
  </si>
  <si>
    <t xml:space="preserve">+61 3 1143 4289</t>
  </si>
  <si>
    <t xml:space="preserve">Sellers</t>
  </si>
  <si>
    <t xml:space="preserve">Gael</t>
  </si>
  <si>
    <t xml:space="preserve">95411 Park Avenue</t>
  </si>
  <si>
    <t xml:space="preserve">+61 2 9649 9859</t>
  </si>
  <si>
    <t xml:space="preserve">Prince</t>
  </si>
  <si>
    <t xml:space="preserve">6/16/2024</t>
  </si>
  <si>
    <t xml:space="preserve">42858 King Street</t>
  </si>
  <si>
    <t xml:space="preserve">+61 7 3522 1181</t>
  </si>
  <si>
    <t xml:space="preserve">Flowers</t>
  </si>
  <si>
    <t xml:space="preserve">Killian</t>
  </si>
  <si>
    <t xml:space="preserve">12/29/2024</t>
  </si>
  <si>
    <t xml:space="preserve">9065 Park Avenue</t>
  </si>
  <si>
    <t xml:space="preserve">+61 7 7273 7374</t>
  </si>
  <si>
    <t xml:space="preserve">Henry</t>
  </si>
  <si>
    <t xml:space="preserve">Cora</t>
  </si>
  <si>
    <t xml:space="preserve">13464 George Street</t>
  </si>
  <si>
    <t xml:space="preserve">+61 9 4336 5417</t>
  </si>
  <si>
    <t xml:space="preserve">Nash</t>
  </si>
  <si>
    <t xml:space="preserve">65163 King Street</t>
  </si>
  <si>
    <t xml:space="preserve">+61 5 3300 3302</t>
  </si>
  <si>
    <t xml:space="preserve">Waller</t>
  </si>
  <si>
    <t xml:space="preserve">76403 George Street</t>
  </si>
  <si>
    <t xml:space="preserve">+61 6 2050 9134</t>
  </si>
  <si>
    <t xml:space="preserve">37713 Elizabeth Street</t>
  </si>
  <si>
    <t xml:space="preserve">+61 2 8634 4007</t>
  </si>
  <si>
    <t xml:space="preserve">Tate</t>
  </si>
  <si>
    <t xml:space="preserve">4/23/2024</t>
  </si>
  <si>
    <t xml:space="preserve">6150 Park Avenue</t>
  </si>
  <si>
    <t xml:space="preserve">+61 7 6349 8069</t>
  </si>
  <si>
    <t xml:space="preserve">Peña</t>
  </si>
  <si>
    <t xml:space="preserve">Malachi</t>
  </si>
  <si>
    <t xml:space="preserve">67041 Park Avenue</t>
  </si>
  <si>
    <t xml:space="preserve">+61 7 5196 7639</t>
  </si>
  <si>
    <t xml:space="preserve">Daniels</t>
  </si>
  <si>
    <t xml:space="preserve">Lilith</t>
  </si>
  <si>
    <t xml:space="preserve">63374 Main Street</t>
  </si>
  <si>
    <t xml:space="preserve">+61 3 1640 3321</t>
  </si>
  <si>
    <t xml:space="preserve">59341 Park Avenue</t>
  </si>
  <si>
    <t xml:space="preserve">+61 4 1023 5906</t>
  </si>
  <si>
    <t xml:space="preserve">Gates</t>
  </si>
  <si>
    <t xml:space="preserve">Braxton</t>
  </si>
  <si>
    <t xml:space="preserve">22709 King Street</t>
  </si>
  <si>
    <t xml:space="preserve">+61 7 8557 1630</t>
  </si>
  <si>
    <t xml:space="preserve">Erickson</t>
  </si>
  <si>
    <t xml:space="preserve">40382 Elizabeth Street</t>
  </si>
  <si>
    <t xml:space="preserve">+61 6 3368 1313</t>
  </si>
  <si>
    <t xml:space="preserve">Cassidy</t>
  </si>
  <si>
    <t xml:space="preserve">9/27/2024</t>
  </si>
  <si>
    <t xml:space="preserve">44738 Main Street</t>
  </si>
  <si>
    <t xml:space="preserve">+61 2 5234 8935</t>
  </si>
  <si>
    <t xml:space="preserve">Odom</t>
  </si>
  <si>
    <t xml:space="preserve">4/19/2024</t>
  </si>
  <si>
    <t xml:space="preserve">11663 George Street</t>
  </si>
  <si>
    <t xml:space="preserve">+61 6 6411 2548</t>
  </si>
  <si>
    <t xml:space="preserve">Kelly</t>
  </si>
  <si>
    <t xml:space="preserve">Gregory</t>
  </si>
  <si>
    <t xml:space="preserve">8/21/2024</t>
  </si>
  <si>
    <t xml:space="preserve">14352 George Street</t>
  </si>
  <si>
    <t xml:space="preserve">+61 3 8840 7087</t>
  </si>
  <si>
    <t xml:space="preserve">Wagner</t>
  </si>
  <si>
    <t xml:space="preserve">Archer</t>
  </si>
  <si>
    <t xml:space="preserve">5/11/2024</t>
  </si>
  <si>
    <t xml:space="preserve">96397 Park Avenue</t>
  </si>
  <si>
    <t xml:space="preserve">+61 9 4500 6422</t>
  </si>
  <si>
    <t xml:space="preserve">Kennedy</t>
  </si>
  <si>
    <t xml:space="preserve">5/9/2024</t>
  </si>
  <si>
    <t xml:space="preserve">58819 George Street</t>
  </si>
  <si>
    <t xml:space="preserve">+61 7 1210 5446</t>
  </si>
  <si>
    <t xml:space="preserve">Weston</t>
  </si>
  <si>
    <t xml:space="preserve">59043 Elizabeth Street</t>
  </si>
  <si>
    <t xml:space="preserve">+61 7 6719 8414</t>
  </si>
  <si>
    <t xml:space="preserve">Case</t>
  </si>
  <si>
    <t xml:space="preserve">Alana</t>
  </si>
  <si>
    <t xml:space="preserve">3/22/2024</t>
  </si>
  <si>
    <t xml:space="preserve">69008 King Street</t>
  </si>
  <si>
    <t xml:space="preserve">+61 4 2106 2789</t>
  </si>
  <si>
    <t xml:space="preserve">Castillo</t>
  </si>
  <si>
    <t xml:space="preserve">Milani</t>
  </si>
  <si>
    <t xml:space="preserve">7/11/2024</t>
  </si>
  <si>
    <t xml:space="preserve">34383 Park Avenue</t>
  </si>
  <si>
    <t xml:space="preserve">+61 3 6647 6581</t>
  </si>
  <si>
    <t xml:space="preserve">Torres</t>
  </si>
  <si>
    <t xml:space="preserve">Karson</t>
  </si>
  <si>
    <t xml:space="preserve">41795 George Street</t>
  </si>
  <si>
    <t xml:space="preserve">+61 3 4440 2950</t>
  </si>
  <si>
    <t xml:space="preserve">12482 King Street</t>
  </si>
  <si>
    <t xml:space="preserve">+61 2 8618 2977</t>
  </si>
  <si>
    <t xml:space="preserve">Paxton</t>
  </si>
  <si>
    <t xml:space="preserve">71340 Elizabeth Street</t>
  </si>
  <si>
    <t xml:space="preserve">+61 9 2412 8119</t>
  </si>
  <si>
    <t xml:space="preserve">Parra</t>
  </si>
  <si>
    <t xml:space="preserve">Kingston</t>
  </si>
  <si>
    <t xml:space="preserve">94632 George Street</t>
  </si>
  <si>
    <t xml:space="preserve">+61 8 9300 6908</t>
  </si>
  <si>
    <t xml:space="preserve">Russo</t>
  </si>
  <si>
    <t xml:space="preserve">Olivia</t>
  </si>
  <si>
    <t xml:space="preserve">95907 George Street</t>
  </si>
  <si>
    <t xml:space="preserve">+61 3 9458 1914</t>
  </si>
  <si>
    <t xml:space="preserve">Mathews</t>
  </si>
  <si>
    <t xml:space="preserve">Kendall</t>
  </si>
  <si>
    <t xml:space="preserve">59008 King Street</t>
  </si>
  <si>
    <t xml:space="preserve">+61 9 2119 4832</t>
  </si>
  <si>
    <t xml:space="preserve">Tapia</t>
  </si>
  <si>
    <t xml:space="preserve">99844 George Street</t>
  </si>
  <si>
    <t xml:space="preserve">+61 5 5371 2920</t>
  </si>
  <si>
    <t xml:space="preserve">Roberson</t>
  </si>
  <si>
    <t xml:space="preserve">Fiona</t>
  </si>
  <si>
    <t xml:space="preserve">6/13/2024</t>
  </si>
  <si>
    <t xml:space="preserve">79637 Elizabeth Street</t>
  </si>
  <si>
    <t xml:space="preserve">+61 9 7054 9665</t>
  </si>
  <si>
    <t xml:space="preserve">Brinley</t>
  </si>
  <si>
    <t xml:space="preserve">5/30/2024</t>
  </si>
  <si>
    <t xml:space="preserve">97480 Elizabeth Street</t>
  </si>
  <si>
    <t xml:space="preserve">+61 4 1065 9506</t>
  </si>
  <si>
    <t xml:space="preserve">Macdonald</t>
  </si>
  <si>
    <t xml:space="preserve">Angelina</t>
  </si>
  <si>
    <t xml:space="preserve">55098 Elizabeth Street</t>
  </si>
  <si>
    <t xml:space="preserve">+61 2 1988 4731</t>
  </si>
  <si>
    <t xml:space="preserve">Hester</t>
  </si>
  <si>
    <t xml:space="preserve">Alora</t>
  </si>
  <si>
    <t xml:space="preserve">28167 Elizabeth Street</t>
  </si>
  <si>
    <t xml:space="preserve">+61 6 3150 6885</t>
  </si>
  <si>
    <t xml:space="preserve">Levy</t>
  </si>
  <si>
    <t xml:space="preserve">20808 Elizabeth Street</t>
  </si>
  <si>
    <t xml:space="preserve">+61 3 7821 3974</t>
  </si>
  <si>
    <t xml:space="preserve">Santana</t>
  </si>
  <si>
    <t xml:space="preserve">12/2/2024</t>
  </si>
  <si>
    <t xml:space="preserve">26056 King Street</t>
  </si>
  <si>
    <t xml:space="preserve">+61 7 6006 3452</t>
  </si>
  <si>
    <t xml:space="preserve">Deleon</t>
  </si>
  <si>
    <t xml:space="preserve">Daleyza</t>
  </si>
  <si>
    <t xml:space="preserve">11867 King Street</t>
  </si>
  <si>
    <t xml:space="preserve">+61 6 5775 5635</t>
  </si>
  <si>
    <t xml:space="preserve">Harrell</t>
  </si>
  <si>
    <t xml:space="preserve">Esteban</t>
  </si>
  <si>
    <t xml:space="preserve">52533 George Street</t>
  </si>
  <si>
    <t xml:space="preserve">+61 8 5398 4545</t>
  </si>
  <si>
    <t xml:space="preserve">Ashley</t>
  </si>
  <si>
    <t xml:space="preserve">Zaire</t>
  </si>
  <si>
    <t xml:space="preserve">8187 Elizabeth Street</t>
  </si>
  <si>
    <t xml:space="preserve">+61 8 6692 5490</t>
  </si>
  <si>
    <t xml:space="preserve">Miranda</t>
  </si>
  <si>
    <t xml:space="preserve">92421 Elizabeth Street</t>
  </si>
  <si>
    <t xml:space="preserve">+61 2 9690 7644</t>
  </si>
  <si>
    <t xml:space="preserve">Potter</t>
  </si>
  <si>
    <t xml:space="preserve">Niko</t>
  </si>
  <si>
    <t xml:space="preserve">58287 George Street</t>
  </si>
  <si>
    <t xml:space="preserve">+61 7 5046 8274</t>
  </si>
  <si>
    <t xml:space="preserve">Wilkins</t>
  </si>
  <si>
    <t xml:space="preserve">12/23/2024</t>
  </si>
  <si>
    <t xml:space="preserve">1150 Park Avenue</t>
  </si>
  <si>
    <t xml:space="preserve">+61 9 7457 6647</t>
  </si>
  <si>
    <t xml:space="preserve">Paris</t>
  </si>
  <si>
    <t xml:space="preserve">70834 George Street</t>
  </si>
  <si>
    <t xml:space="preserve">+61 3 9120 2817</t>
  </si>
  <si>
    <t xml:space="preserve">Hammond</t>
  </si>
  <si>
    <t xml:space="preserve">49586 Elizabeth Street</t>
  </si>
  <si>
    <t xml:space="preserve">+61 5 5286 2417</t>
  </si>
  <si>
    <t xml:space="preserve">16532 George Street</t>
  </si>
  <si>
    <t xml:space="preserve">+61 3 3116 8053</t>
  </si>
  <si>
    <t xml:space="preserve">Aylin</t>
  </si>
  <si>
    <t xml:space="preserve">12/30/2024</t>
  </si>
  <si>
    <t xml:space="preserve">97108 King Street</t>
  </si>
  <si>
    <t xml:space="preserve">+61 3 4947 5283</t>
  </si>
  <si>
    <t xml:space="preserve">Juliana</t>
  </si>
  <si>
    <t xml:space="preserve">18723 George Street</t>
  </si>
  <si>
    <t xml:space="preserve">+61 6 6394 2679</t>
  </si>
  <si>
    <t xml:space="preserve">Ramirez</t>
  </si>
  <si>
    <t xml:space="preserve">Robert</t>
  </si>
  <si>
    <t xml:space="preserve">2/24/2024</t>
  </si>
  <si>
    <t xml:space="preserve">37481 Main Street</t>
  </si>
  <si>
    <t xml:space="preserve">+61 4 9070 8038</t>
  </si>
  <si>
    <t xml:space="preserve">Reeves</t>
  </si>
  <si>
    <t xml:space="preserve">Ezequiel</t>
  </si>
  <si>
    <t xml:space="preserve">36464 George Street</t>
  </si>
  <si>
    <t xml:space="preserve">+61 7 3030 3275</t>
  </si>
  <si>
    <t xml:space="preserve">Dahlia</t>
  </si>
  <si>
    <t xml:space="preserve">6/17/2024</t>
  </si>
  <si>
    <t xml:space="preserve">56165 Park Avenue</t>
  </si>
  <si>
    <t xml:space="preserve">+61 8 7267 1640</t>
  </si>
  <si>
    <t xml:space="preserve">Maya</t>
  </si>
  <si>
    <t xml:space="preserve">40799 Park Avenue</t>
  </si>
  <si>
    <t xml:space="preserve">+61 8 8094 2946</t>
  </si>
  <si>
    <t xml:space="preserve">Ayla</t>
  </si>
  <si>
    <t xml:space="preserve">3/28/2024</t>
  </si>
  <si>
    <t xml:space="preserve">46981 King Street</t>
  </si>
  <si>
    <t xml:space="preserve">+61 2 7006 2780</t>
  </si>
  <si>
    <t xml:space="preserve">Wilson</t>
  </si>
  <si>
    <t xml:space="preserve">11/8/2024</t>
  </si>
  <si>
    <t xml:space="preserve">77176 Elizabeth Street</t>
  </si>
  <si>
    <t xml:space="preserve">+61 9 2184 6402</t>
  </si>
  <si>
    <t xml:space="preserve">Alejandro</t>
  </si>
  <si>
    <t xml:space="preserve">9/29/2024</t>
  </si>
  <si>
    <t xml:space="preserve">48102 Park Avenue</t>
  </si>
  <si>
    <t xml:space="preserve">+61 2 4745 3970</t>
  </si>
  <si>
    <t xml:space="preserve">Leon</t>
  </si>
  <si>
    <t xml:space="preserve">Elliott</t>
  </si>
  <si>
    <t xml:space="preserve">10/25/2024</t>
  </si>
  <si>
    <t xml:space="preserve">52113 Elizabeth Street</t>
  </si>
  <si>
    <t xml:space="preserve">+61 3 6601 4019</t>
  </si>
  <si>
    <t xml:space="preserve">Nasir</t>
  </si>
  <si>
    <t xml:space="preserve">70174 King Street</t>
  </si>
  <si>
    <t xml:space="preserve">+61 5 7953 3343</t>
  </si>
  <si>
    <t xml:space="preserve">Norman</t>
  </si>
  <si>
    <t xml:space="preserve">74413 Park Avenue</t>
  </si>
  <si>
    <t xml:space="preserve">+61 3 4860 1426</t>
  </si>
  <si>
    <t xml:space="preserve">27216 King Street</t>
  </si>
  <si>
    <t xml:space="preserve">+61 9 1519 7172</t>
  </si>
  <si>
    <t xml:space="preserve">Esme</t>
  </si>
  <si>
    <t xml:space="preserve">59012 King Street</t>
  </si>
  <si>
    <t xml:space="preserve">+61 8 6499 4080</t>
  </si>
  <si>
    <t xml:space="preserve">Vega</t>
  </si>
  <si>
    <t xml:space="preserve">Blake</t>
  </si>
  <si>
    <t xml:space="preserve">85293 King Street</t>
  </si>
  <si>
    <t xml:space="preserve">+61 5 6428 2775</t>
  </si>
  <si>
    <t xml:space="preserve">Oakley</t>
  </si>
  <si>
    <t xml:space="preserve">7/10/2024</t>
  </si>
  <si>
    <t xml:space="preserve">4594 Park Avenue</t>
  </si>
  <si>
    <t xml:space="preserve">+61 7 4679 4753</t>
  </si>
  <si>
    <t xml:space="preserve">Brynlee</t>
  </si>
  <si>
    <t xml:space="preserve">8/3/2024</t>
  </si>
  <si>
    <t xml:space="preserve">36000 Elizabeth Street</t>
  </si>
  <si>
    <t xml:space="preserve">+61 8 9620 5173</t>
  </si>
  <si>
    <t xml:space="preserve">11/22/2024</t>
  </si>
  <si>
    <t xml:space="preserve">68985 King Street</t>
  </si>
  <si>
    <t xml:space="preserve">+61 8 1111 9888</t>
  </si>
  <si>
    <t xml:space="preserve">Wallace</t>
  </si>
  <si>
    <t xml:space="preserve">Reid</t>
  </si>
  <si>
    <t xml:space="preserve">6/3/2024</t>
  </si>
  <si>
    <t xml:space="preserve">50011 Main Street</t>
  </si>
  <si>
    <t xml:space="preserve">+61 2 4908 9219</t>
  </si>
  <si>
    <t xml:space="preserve">Rebecca</t>
  </si>
  <si>
    <t xml:space="preserve">8/2/2024</t>
  </si>
  <si>
    <t xml:space="preserve">85432 George Street</t>
  </si>
  <si>
    <t xml:space="preserve">+61 4 4511 7994</t>
  </si>
  <si>
    <t xml:space="preserve">Palmer</t>
  </si>
  <si>
    <t xml:space="preserve">35139 Park Avenue</t>
  </si>
  <si>
    <t xml:space="preserve">+61 2 6796 8985</t>
  </si>
  <si>
    <t xml:space="preserve">Piñeda</t>
  </si>
  <si>
    <t xml:space="preserve">Kyler</t>
  </si>
  <si>
    <t xml:space="preserve">5/29/2024</t>
  </si>
  <si>
    <t xml:space="preserve">63743 King Street</t>
  </si>
  <si>
    <t xml:space="preserve">+61 9 9300 4147</t>
  </si>
  <si>
    <t xml:space="preserve">95347 Park Avenue</t>
  </si>
  <si>
    <t xml:space="preserve">+61 3 8784 3604</t>
  </si>
  <si>
    <t xml:space="preserve">Holden</t>
  </si>
  <si>
    <t xml:space="preserve">44917 Elizabeth Street</t>
  </si>
  <si>
    <t xml:space="preserve">+61 9 2445 2988</t>
  </si>
  <si>
    <t xml:space="preserve">Stafford</t>
  </si>
  <si>
    <t xml:space="preserve">10/17/2024</t>
  </si>
  <si>
    <t xml:space="preserve">74581 George Street</t>
  </si>
  <si>
    <t xml:space="preserve">+61 3 1130 2035</t>
  </si>
  <si>
    <t xml:space="preserve">Smith</t>
  </si>
  <si>
    <t xml:space="preserve">41826 King Street</t>
  </si>
  <si>
    <t xml:space="preserve">+61 9 3174 1558</t>
  </si>
  <si>
    <t xml:space="preserve">2/27/2024</t>
  </si>
  <si>
    <t xml:space="preserve">88447 George Street</t>
  </si>
  <si>
    <t xml:space="preserve">+61 5 6075 8503</t>
  </si>
  <si>
    <t xml:space="preserve">Hancock</t>
  </si>
  <si>
    <t xml:space="preserve">Norah</t>
  </si>
  <si>
    <t xml:space="preserve">10856 George Street</t>
  </si>
  <si>
    <t xml:space="preserve">+61 2 5819 9002</t>
  </si>
  <si>
    <t xml:space="preserve">Ruby</t>
  </si>
  <si>
    <t xml:space="preserve">75889 Park Avenue</t>
  </si>
  <si>
    <t xml:space="preserve">+61 8 5290 8659</t>
  </si>
  <si>
    <t xml:space="preserve">Boyle</t>
  </si>
  <si>
    <t xml:space="preserve">Morgan</t>
  </si>
  <si>
    <t xml:space="preserve">98743 Main Street</t>
  </si>
  <si>
    <t xml:space="preserve">+61 2 9924 8192</t>
  </si>
  <si>
    <t xml:space="preserve">Whitehead</t>
  </si>
  <si>
    <t xml:space="preserve">80263 George Street</t>
  </si>
  <si>
    <t xml:space="preserve">+61 8 7711 5584</t>
  </si>
  <si>
    <t xml:space="preserve">Bernal</t>
  </si>
  <si>
    <t xml:space="preserve">Koa</t>
  </si>
  <si>
    <t xml:space="preserve">3/2/2024</t>
  </si>
  <si>
    <t xml:space="preserve">55667 George Street</t>
  </si>
  <si>
    <t xml:space="preserve">+61 2 2252 8358</t>
  </si>
  <si>
    <t xml:space="preserve">Walsh</t>
  </si>
  <si>
    <t xml:space="preserve">3/19/2024</t>
  </si>
  <si>
    <t xml:space="preserve">12797 George Street</t>
  </si>
  <si>
    <t xml:space="preserve">+61 4 5636 4220</t>
  </si>
  <si>
    <t xml:space="preserve">Portillo</t>
  </si>
  <si>
    <t xml:space="preserve">7/28/2024</t>
  </si>
  <si>
    <t xml:space="preserve">2471 George Street</t>
  </si>
  <si>
    <t xml:space="preserve">+61 7 7463 1415</t>
  </si>
  <si>
    <t xml:space="preserve">3/26/2024</t>
  </si>
  <si>
    <t xml:space="preserve">23847 Park Avenue</t>
  </si>
  <si>
    <t xml:space="preserve">+61 7 5239 9452</t>
  </si>
  <si>
    <t xml:space="preserve">Kline</t>
  </si>
  <si>
    <t xml:space="preserve">Lana</t>
  </si>
  <si>
    <t xml:space="preserve">8/22/2024</t>
  </si>
  <si>
    <t xml:space="preserve">57972 Main Street</t>
  </si>
  <si>
    <t xml:space="preserve">+61 5 4500 9667</t>
  </si>
  <si>
    <t xml:space="preserve">Ahmed</t>
  </si>
  <si>
    <t xml:space="preserve">10/1/2024</t>
  </si>
  <si>
    <t xml:space="preserve">3322 King Street</t>
  </si>
  <si>
    <t xml:space="preserve">+61 7 7693 6077</t>
  </si>
  <si>
    <t xml:space="preserve">Laura</t>
  </si>
  <si>
    <t xml:space="preserve">8/11/2024</t>
  </si>
  <si>
    <t xml:space="preserve">29797 George Street</t>
  </si>
  <si>
    <t xml:space="preserve">+61 4 3669 2278</t>
  </si>
  <si>
    <t xml:space="preserve">Conner</t>
  </si>
  <si>
    <t xml:space="preserve">Arthur</t>
  </si>
  <si>
    <t xml:space="preserve">81022 George Street</t>
  </si>
  <si>
    <t xml:space="preserve">+61 8 7884 9125</t>
  </si>
  <si>
    <t xml:space="preserve">13624 Main Street</t>
  </si>
  <si>
    <t xml:space="preserve">+61 9 3338 2639</t>
  </si>
  <si>
    <t xml:space="preserve">Ávila</t>
  </si>
  <si>
    <t xml:space="preserve">14632 Main Street</t>
  </si>
  <si>
    <t xml:space="preserve">+61 7 2857 1484</t>
  </si>
  <si>
    <t xml:space="preserve">65657 George Street</t>
  </si>
  <si>
    <t xml:space="preserve">+61 9 1378 2610</t>
  </si>
  <si>
    <t xml:space="preserve">Peterson</t>
  </si>
  <si>
    <t xml:space="preserve">Armani</t>
  </si>
  <si>
    <t xml:space="preserve">43867 Main Street</t>
  </si>
  <si>
    <t xml:space="preserve">+61 8 6101 4143</t>
  </si>
  <si>
    <t xml:space="preserve">Oliver</t>
  </si>
  <si>
    <t xml:space="preserve">5/27/2024</t>
  </si>
  <si>
    <t xml:space="preserve">93460 Park Avenue</t>
  </si>
  <si>
    <t xml:space="preserve">+61 3 4000 7625</t>
  </si>
  <si>
    <t xml:space="preserve">Barajas</t>
  </si>
  <si>
    <t xml:space="preserve">Teagan</t>
  </si>
  <si>
    <t xml:space="preserve">59281 Elizabeth Street</t>
  </si>
  <si>
    <t xml:space="preserve">+61 8 3890 2127</t>
  </si>
  <si>
    <t xml:space="preserve">Amara</t>
  </si>
  <si>
    <t xml:space="preserve">5/3/2024</t>
  </si>
  <si>
    <t xml:space="preserve">82129 George Street</t>
  </si>
  <si>
    <t xml:space="preserve">+61 2 4507 2353</t>
  </si>
  <si>
    <t xml:space="preserve">Poole</t>
  </si>
  <si>
    <t xml:space="preserve">10/8/2024</t>
  </si>
  <si>
    <t xml:space="preserve">96385 Main Street</t>
  </si>
  <si>
    <t xml:space="preserve">+61 2 7077 8588</t>
  </si>
  <si>
    <t xml:space="preserve">Lane</t>
  </si>
  <si>
    <t xml:space="preserve">55447 King Street</t>
  </si>
  <si>
    <t xml:space="preserve">+61 7 5660 3870</t>
  </si>
  <si>
    <t xml:space="preserve">Campbell</t>
  </si>
  <si>
    <t xml:space="preserve">Angela</t>
  </si>
  <si>
    <t xml:space="preserve">11/12/2024</t>
  </si>
  <si>
    <t xml:space="preserve">72009 Park Avenue</t>
  </si>
  <si>
    <t xml:space="preserve">+61 9 1644 6395</t>
  </si>
  <si>
    <t xml:space="preserve">Stuart</t>
  </si>
  <si>
    <t xml:space="preserve">99293 King Street</t>
  </si>
  <si>
    <t xml:space="preserve">+61 3 2486 9758</t>
  </si>
  <si>
    <t xml:space="preserve">30012 George Street</t>
  </si>
  <si>
    <t xml:space="preserve">+61 7 3020 9401</t>
  </si>
  <si>
    <t xml:space="preserve">Burgess</t>
  </si>
  <si>
    <t xml:space="preserve">Alexandria</t>
  </si>
  <si>
    <t xml:space="preserve">36909 George Street</t>
  </si>
  <si>
    <t xml:space="preserve">+61 7 9192 1766</t>
  </si>
  <si>
    <t xml:space="preserve">5/31/2024</t>
  </si>
  <si>
    <t xml:space="preserve">32308 King Street</t>
  </si>
  <si>
    <t xml:space="preserve">+61 7 1106 4272</t>
  </si>
  <si>
    <t xml:space="preserve">Frost</t>
  </si>
  <si>
    <t xml:space="preserve">Judah</t>
  </si>
  <si>
    <t xml:space="preserve">55994 Elizabeth Street</t>
  </si>
  <si>
    <t xml:space="preserve">+61 5 9106 3119</t>
  </si>
  <si>
    <t xml:space="preserve">Krueger</t>
  </si>
  <si>
    <t xml:space="preserve">Kaia</t>
  </si>
  <si>
    <t xml:space="preserve">11/6/2024</t>
  </si>
  <si>
    <t xml:space="preserve">82175 Main Street</t>
  </si>
  <si>
    <t xml:space="preserve">+61 9 5269 3329</t>
  </si>
  <si>
    <t xml:space="preserve">Trejo</t>
  </si>
  <si>
    <t xml:space="preserve">Josephine</t>
  </si>
  <si>
    <t xml:space="preserve">17570 Elizabeth Street</t>
  </si>
  <si>
    <t xml:space="preserve">+61 5 2157 8545</t>
  </si>
  <si>
    <t xml:space="preserve">2/19/2024</t>
  </si>
  <si>
    <t xml:space="preserve">44466 Main Street</t>
  </si>
  <si>
    <t xml:space="preserve">+61 7 3763 6131</t>
  </si>
  <si>
    <t xml:space="preserve">Kali</t>
  </si>
  <si>
    <t xml:space="preserve">9/3/2024</t>
  </si>
  <si>
    <t xml:space="preserve">86013 Park Avenue</t>
  </si>
  <si>
    <t xml:space="preserve">+61 2 5122 7278</t>
  </si>
  <si>
    <t xml:space="preserve">3/24/2024</t>
  </si>
  <si>
    <t xml:space="preserve">43628 Main Street</t>
  </si>
  <si>
    <t xml:space="preserve">+61 4 2305 3310</t>
  </si>
  <si>
    <t xml:space="preserve">Combs</t>
  </si>
  <si>
    <t xml:space="preserve">3/1/2024</t>
  </si>
  <si>
    <t xml:space="preserve">44421 George Street</t>
  </si>
  <si>
    <t xml:space="preserve">+61 8 7024 2977</t>
  </si>
  <si>
    <t xml:space="preserve">Dream</t>
  </si>
  <si>
    <t xml:space="preserve">46257 King Street</t>
  </si>
  <si>
    <t xml:space="preserve">+61 8 7876 3764</t>
  </si>
  <si>
    <t xml:space="preserve">Haley</t>
  </si>
  <si>
    <t xml:space="preserve">Nathan</t>
  </si>
  <si>
    <t xml:space="preserve">5/7/2024</t>
  </si>
  <si>
    <t xml:space="preserve">57829 George Street</t>
  </si>
  <si>
    <t xml:space="preserve">+61 5 3170 3024</t>
  </si>
  <si>
    <t xml:space="preserve">Soto</t>
  </si>
  <si>
    <t xml:space="preserve">2961 Main Street</t>
  </si>
  <si>
    <t xml:space="preserve">+61 2 6331 7379</t>
  </si>
  <si>
    <t xml:space="preserve">Bianca</t>
  </si>
  <si>
    <t xml:space="preserve">7/30/2024</t>
  </si>
  <si>
    <t xml:space="preserve">40529 Park Avenue</t>
  </si>
  <si>
    <t xml:space="preserve">+61 7 9287 3004</t>
  </si>
  <si>
    <t xml:space="preserve">Cisneros</t>
  </si>
  <si>
    <t xml:space="preserve">Garrett</t>
  </si>
  <si>
    <t xml:space="preserve">19736 Main Street</t>
  </si>
  <si>
    <t xml:space="preserve">+61 6 2512 5782</t>
  </si>
  <si>
    <t xml:space="preserve">Zimmerman</t>
  </si>
  <si>
    <t xml:space="preserve">2/17/2024</t>
  </si>
  <si>
    <t xml:space="preserve">44251 Park Avenue</t>
  </si>
  <si>
    <t xml:space="preserve">+61 7 5781 4076</t>
  </si>
  <si>
    <t xml:space="preserve">Hahn</t>
  </si>
  <si>
    <t xml:space="preserve">24225 George Street</t>
  </si>
  <si>
    <t xml:space="preserve">+61 2 2652 6129</t>
  </si>
  <si>
    <t xml:space="preserve">Gibson</t>
  </si>
  <si>
    <t xml:space="preserve">Romeo</t>
  </si>
  <si>
    <t xml:space="preserve">42347 Main Street</t>
  </si>
  <si>
    <t xml:space="preserve">+61 9 8278 7118</t>
  </si>
  <si>
    <t xml:space="preserve">Rodriguez</t>
  </si>
  <si>
    <t xml:space="preserve">August</t>
  </si>
  <si>
    <t xml:space="preserve">88807 Main Street</t>
  </si>
  <si>
    <t xml:space="preserve">+61 4 2555 9635</t>
  </si>
  <si>
    <t xml:space="preserve">Wilkinson</t>
  </si>
  <si>
    <t xml:space="preserve">Maeve</t>
  </si>
  <si>
    <t xml:space="preserve">95919 King Street</t>
  </si>
  <si>
    <t xml:space="preserve">+61 3 8089 5868</t>
  </si>
  <si>
    <t xml:space="preserve">Alonzo</t>
  </si>
  <si>
    <t xml:space="preserve">8/7/2024</t>
  </si>
  <si>
    <t xml:space="preserve">80513 George Street</t>
  </si>
  <si>
    <t xml:space="preserve">+61 7 7918 3121</t>
  </si>
  <si>
    <t xml:space="preserve">81710 George Street</t>
  </si>
  <si>
    <t xml:space="preserve">+61 8 1062 8209</t>
  </si>
  <si>
    <t xml:space="preserve">Rocha</t>
  </si>
  <si>
    <t xml:space="preserve">Londyn</t>
  </si>
  <si>
    <t xml:space="preserve">52732 Elizabeth Street</t>
  </si>
  <si>
    <t xml:space="preserve">+61 9 2693 6370</t>
  </si>
  <si>
    <t xml:space="preserve">Miracle</t>
  </si>
  <si>
    <t xml:space="preserve">2/6/2024</t>
  </si>
  <si>
    <t xml:space="preserve">58174 King Street</t>
  </si>
  <si>
    <t xml:space="preserve">+61 7 2887 1005</t>
  </si>
  <si>
    <t xml:space="preserve">Mcintosh</t>
  </si>
  <si>
    <t xml:space="preserve">91954 King Street</t>
  </si>
  <si>
    <t xml:space="preserve">+61 3 5949 1538</t>
  </si>
  <si>
    <t xml:space="preserve">Daugherty</t>
  </si>
  <si>
    <t xml:space="preserve">Noelle</t>
  </si>
  <si>
    <t xml:space="preserve">31282 King Street</t>
  </si>
  <si>
    <t xml:space="preserve">+61 2 3884 6784</t>
  </si>
  <si>
    <t xml:space="preserve">Newton</t>
  </si>
  <si>
    <t xml:space="preserve">Alessia</t>
  </si>
  <si>
    <t xml:space="preserve">77163 Elizabeth Street</t>
  </si>
  <si>
    <t xml:space="preserve">+61 7 2588 8358</t>
  </si>
  <si>
    <t xml:space="preserve">Livingston</t>
  </si>
  <si>
    <t xml:space="preserve">Chloe</t>
  </si>
  <si>
    <t xml:space="preserve">61986 Park Avenue</t>
  </si>
  <si>
    <t xml:space="preserve">+61 3 2685 2177</t>
  </si>
  <si>
    <t xml:space="preserve">Stanley</t>
  </si>
  <si>
    <t xml:space="preserve">Maxwell</t>
  </si>
  <si>
    <t xml:space="preserve">68516 George Street</t>
  </si>
  <si>
    <t xml:space="preserve">+61 6 3975 3891</t>
  </si>
  <si>
    <t xml:space="preserve">8/24/2024</t>
  </si>
  <si>
    <t xml:space="preserve">70586 Elizabeth Street</t>
  </si>
  <si>
    <t xml:space="preserve">+61 9 8047 1129</t>
  </si>
  <si>
    <t xml:space="preserve">10304 Elizabeth Street</t>
  </si>
  <si>
    <t xml:space="preserve">+61 4 6190 4393</t>
  </si>
  <si>
    <t xml:space="preserve">Serrano</t>
  </si>
  <si>
    <t xml:space="preserve">Nora</t>
  </si>
  <si>
    <t xml:space="preserve">5/10/2024</t>
  </si>
  <si>
    <t xml:space="preserve">51257 Park Avenue</t>
  </si>
  <si>
    <t xml:space="preserve">+61 6 1177 8268</t>
  </si>
  <si>
    <t xml:space="preserve">Fletcher</t>
  </si>
  <si>
    <t xml:space="preserve">41151 Main Street</t>
  </si>
  <si>
    <t xml:space="preserve">+61 6 9030 8977</t>
  </si>
  <si>
    <t xml:space="preserve">67310 Main Street</t>
  </si>
  <si>
    <t xml:space="preserve">+61 4 8544 1955</t>
  </si>
  <si>
    <t xml:space="preserve">Leal</t>
  </si>
  <si>
    <t xml:space="preserve">Enzo</t>
  </si>
  <si>
    <t xml:space="preserve">2/13/2024</t>
  </si>
  <si>
    <t xml:space="preserve">32118 Main Street</t>
  </si>
  <si>
    <t xml:space="preserve">+61 7 3240 9913</t>
  </si>
  <si>
    <t xml:space="preserve">51055 Main Street</t>
  </si>
  <si>
    <t xml:space="preserve">+61 2 2850 7800</t>
  </si>
  <si>
    <t xml:space="preserve">Robertson</t>
  </si>
  <si>
    <t xml:space="preserve">Finn</t>
  </si>
  <si>
    <t xml:space="preserve">93183 George Street</t>
  </si>
  <si>
    <t xml:space="preserve">+61 2 5851 5693</t>
  </si>
  <si>
    <t xml:space="preserve">Goodwin</t>
  </si>
  <si>
    <t xml:space="preserve">Brody</t>
  </si>
  <si>
    <t xml:space="preserve">12/1/2024</t>
  </si>
  <si>
    <t xml:space="preserve">63475 Park Avenue</t>
  </si>
  <si>
    <t xml:space="preserve">+61 3 7098 2584</t>
  </si>
  <si>
    <t xml:space="preserve">Kyle</t>
  </si>
  <si>
    <t xml:space="preserve">24384 George Street</t>
  </si>
  <si>
    <t xml:space="preserve">+61 2 4201 8207</t>
  </si>
  <si>
    <t xml:space="preserve">9672 Elizabeth Street</t>
  </si>
  <si>
    <t xml:space="preserve">+61 8 9061 8391</t>
  </si>
  <si>
    <t xml:space="preserve">Maynard</t>
  </si>
  <si>
    <t xml:space="preserve">23102 George Street</t>
  </si>
  <si>
    <t xml:space="preserve">+61 2 4069 7830</t>
  </si>
  <si>
    <t xml:space="preserve">Jasper</t>
  </si>
  <si>
    <t xml:space="preserve">6340 Main Street</t>
  </si>
  <si>
    <t xml:space="preserve">+61 6 4768 8889</t>
  </si>
  <si>
    <t xml:space="preserve">Lee</t>
  </si>
  <si>
    <t xml:space="preserve">Colin</t>
  </si>
  <si>
    <t xml:space="preserve">2/29/2024</t>
  </si>
  <si>
    <t xml:space="preserve">82249 Park Avenue</t>
  </si>
  <si>
    <t xml:space="preserve">+61 2 6408 5571</t>
  </si>
  <si>
    <t xml:space="preserve">Sandoval</t>
  </si>
  <si>
    <t xml:space="preserve">Kash</t>
  </si>
  <si>
    <t xml:space="preserve">45460 Park Avenue</t>
  </si>
  <si>
    <t xml:space="preserve">+61 7 9853 6186</t>
  </si>
  <si>
    <t xml:space="preserve">Wolfe</t>
  </si>
  <si>
    <t xml:space="preserve">Amari</t>
  </si>
  <si>
    <t xml:space="preserve">16558 King Street</t>
  </si>
  <si>
    <t xml:space="preserve">+61 5 7977 3185</t>
  </si>
  <si>
    <t xml:space="preserve">Molina</t>
  </si>
  <si>
    <t xml:space="preserve">64399 Elizabeth Street</t>
  </si>
  <si>
    <t xml:space="preserve">+61 7 4099 5063</t>
  </si>
  <si>
    <t xml:space="preserve">75067 Main Street</t>
  </si>
  <si>
    <t xml:space="preserve">+61 8 7866 7637</t>
  </si>
  <si>
    <t xml:space="preserve">Rush</t>
  </si>
  <si>
    <t xml:space="preserve">84197 George Street</t>
  </si>
  <si>
    <t xml:space="preserve">+61 3 1626 7924</t>
  </si>
  <si>
    <t xml:space="preserve">Harrison</t>
  </si>
  <si>
    <t xml:space="preserve">Alison</t>
  </si>
  <si>
    <t xml:space="preserve">1/5/2024</t>
  </si>
  <si>
    <t xml:space="preserve">15952 George Street</t>
  </si>
  <si>
    <t xml:space="preserve">+61 9 5293 5625</t>
  </si>
  <si>
    <t xml:space="preserve">Santino</t>
  </si>
  <si>
    <t xml:space="preserve">18405 King Street</t>
  </si>
  <si>
    <t xml:space="preserve">+61 7 7635 8631</t>
  </si>
  <si>
    <t xml:space="preserve">Henderson</t>
  </si>
  <si>
    <t xml:space="preserve">37317 Main Street</t>
  </si>
  <si>
    <t xml:space="preserve">+61 3 2556 7203</t>
  </si>
  <si>
    <t xml:space="preserve">Dawson</t>
  </si>
  <si>
    <t xml:space="preserve">Ismael</t>
  </si>
  <si>
    <t xml:space="preserve">12063 Main Street</t>
  </si>
  <si>
    <t xml:space="preserve">+61 7 9486 1321</t>
  </si>
  <si>
    <t xml:space="preserve">Porter</t>
  </si>
  <si>
    <t xml:space="preserve">Felix</t>
  </si>
  <si>
    <t xml:space="preserve">76258 George Street</t>
  </si>
  <si>
    <t xml:space="preserve">+61 3 1895 9485</t>
  </si>
  <si>
    <t xml:space="preserve">Singleton</t>
  </si>
  <si>
    <t xml:space="preserve">Bradley</t>
  </si>
  <si>
    <t xml:space="preserve">15597 Main Street</t>
  </si>
  <si>
    <t xml:space="preserve">+61 5 7109 6316</t>
  </si>
  <si>
    <t xml:space="preserve">Castro</t>
  </si>
  <si>
    <t xml:space="preserve">62184 Park Avenue</t>
  </si>
  <si>
    <t xml:space="preserve">+61 2 2886 6912</t>
  </si>
  <si>
    <t xml:space="preserve">Brooklynn</t>
  </si>
  <si>
    <t xml:space="preserve">6856 Main Street</t>
  </si>
  <si>
    <t xml:space="preserve">+61 3 8530 6068</t>
  </si>
  <si>
    <t xml:space="preserve">Kim</t>
  </si>
  <si>
    <t xml:space="preserve">30763 Main Street</t>
  </si>
  <si>
    <t xml:space="preserve">+61 7 9371 4432</t>
  </si>
  <si>
    <t xml:space="preserve">Briella</t>
  </si>
  <si>
    <t xml:space="preserve">99429 George Street</t>
  </si>
  <si>
    <t xml:space="preserve">+61 2 8216 7125</t>
  </si>
  <si>
    <t xml:space="preserve">Fischer</t>
  </si>
  <si>
    <t xml:space="preserve">Jeremiah</t>
  </si>
  <si>
    <t xml:space="preserve">79017 Main Street</t>
  </si>
  <si>
    <t xml:space="preserve">+61 6 9400 6376</t>
  </si>
  <si>
    <t xml:space="preserve">Alaya</t>
  </si>
  <si>
    <t xml:space="preserve">83816 George Street</t>
  </si>
  <si>
    <t xml:space="preserve">+61 3 5897 6313</t>
  </si>
  <si>
    <t xml:space="preserve">Small</t>
  </si>
  <si>
    <t xml:space="preserve">Ada</t>
  </si>
  <si>
    <t xml:space="preserve">29457 George Street</t>
  </si>
  <si>
    <t xml:space="preserve">+61 8 9364 7186</t>
  </si>
  <si>
    <t xml:space="preserve">Perez</t>
  </si>
  <si>
    <t xml:space="preserve">1/31/2024</t>
  </si>
  <si>
    <t xml:space="preserve">6116 King Street</t>
  </si>
  <si>
    <t xml:space="preserve">+61 5 4993 3912</t>
  </si>
  <si>
    <t xml:space="preserve">Greene</t>
  </si>
  <si>
    <t xml:space="preserve">30446 Park Avenue</t>
  </si>
  <si>
    <t xml:space="preserve">+61 7 4333 1195</t>
  </si>
  <si>
    <t xml:space="preserve">Rylie</t>
  </si>
  <si>
    <t xml:space="preserve">42498 George Street</t>
  </si>
  <si>
    <t xml:space="preserve">+61 7 6731 2160</t>
  </si>
  <si>
    <t xml:space="preserve">Nguyen</t>
  </si>
  <si>
    <t xml:space="preserve">5/12/2024</t>
  </si>
  <si>
    <t xml:space="preserve">93355 Elizabeth Street</t>
  </si>
  <si>
    <t xml:space="preserve">+61 9 7705 8878</t>
  </si>
  <si>
    <t xml:space="preserve">Alfaro</t>
  </si>
  <si>
    <t xml:space="preserve">59104 Park Avenue</t>
  </si>
  <si>
    <t xml:space="preserve">+61 5 2779 4599</t>
  </si>
  <si>
    <t xml:space="preserve">Hensley</t>
  </si>
  <si>
    <t xml:space="preserve">Sienna</t>
  </si>
  <si>
    <t xml:space="preserve">25905 King Street</t>
  </si>
  <si>
    <t xml:space="preserve">+61 5 7072 6820</t>
  </si>
  <si>
    <t xml:space="preserve">Stevenson</t>
  </si>
  <si>
    <t xml:space="preserve">Landon</t>
  </si>
  <si>
    <t xml:space="preserve">7/24/2024</t>
  </si>
  <si>
    <t xml:space="preserve">23259 Park Avenue</t>
  </si>
  <si>
    <t xml:space="preserve">+61 9 6186 6315</t>
  </si>
  <si>
    <t xml:space="preserve">Pruitt</t>
  </si>
  <si>
    <t xml:space="preserve">Jax</t>
  </si>
  <si>
    <t xml:space="preserve">93441 Main Street</t>
  </si>
  <si>
    <t xml:space="preserve">+61 2 8781 5658</t>
  </si>
  <si>
    <t xml:space="preserve">Best</t>
  </si>
  <si>
    <t xml:space="preserve">Aubrey</t>
  </si>
  <si>
    <t xml:space="preserve">4970 Main Street</t>
  </si>
  <si>
    <t xml:space="preserve">+61 2 4369 6515</t>
  </si>
  <si>
    <t xml:space="preserve">Barrett</t>
  </si>
  <si>
    <t xml:space="preserve">73260 George Street</t>
  </si>
  <si>
    <t xml:space="preserve">+61 3 4111 7949</t>
  </si>
  <si>
    <t xml:space="preserve">99373 Main Street</t>
  </si>
  <si>
    <t xml:space="preserve">+61 8 4776 5283</t>
  </si>
  <si>
    <t xml:space="preserve">Matteo</t>
  </si>
  <si>
    <t xml:space="preserve">4/20/2024</t>
  </si>
  <si>
    <t xml:space="preserve">40214 George Street</t>
  </si>
  <si>
    <t xml:space="preserve">+61 4 2225 8852</t>
  </si>
  <si>
    <t xml:space="preserve">Barker</t>
  </si>
  <si>
    <t xml:space="preserve">Richard</t>
  </si>
  <si>
    <t xml:space="preserve">59994 Elizabeth Street</t>
  </si>
  <si>
    <t xml:space="preserve">+61 6 4383 6678</t>
  </si>
  <si>
    <t xml:space="preserve">Frances</t>
  </si>
  <si>
    <t xml:space="preserve">37577 Main Street</t>
  </si>
  <si>
    <t xml:space="preserve">+61 5 8906 3212</t>
  </si>
  <si>
    <t xml:space="preserve">Brown</t>
  </si>
  <si>
    <t xml:space="preserve">Isabel</t>
  </si>
  <si>
    <t xml:space="preserve">11820 Park Avenue</t>
  </si>
  <si>
    <t xml:space="preserve">+61 2 1610 5076</t>
  </si>
  <si>
    <t xml:space="preserve">Strickland</t>
  </si>
  <si>
    <t xml:space="preserve">Stephanie</t>
  </si>
  <si>
    <t xml:space="preserve">62768 Park Avenue</t>
  </si>
  <si>
    <t xml:space="preserve">+61 5 6212 2478</t>
  </si>
  <si>
    <t xml:space="preserve">35033 Main Street</t>
  </si>
  <si>
    <t xml:space="preserve">+61 7 1934 4269</t>
  </si>
  <si>
    <t xml:space="preserve">Brandt</t>
  </si>
  <si>
    <t xml:space="preserve">68218 King Street</t>
  </si>
  <si>
    <t xml:space="preserve">+61 2 2138 4725</t>
  </si>
  <si>
    <t xml:space="preserve">Durham</t>
  </si>
  <si>
    <t xml:space="preserve">William</t>
  </si>
  <si>
    <t xml:space="preserve">27137 Elizabeth Street</t>
  </si>
  <si>
    <t xml:space="preserve">+61 3 4321 5989</t>
  </si>
  <si>
    <t xml:space="preserve">Myers</t>
  </si>
  <si>
    <t xml:space="preserve">46944 King Street</t>
  </si>
  <si>
    <t xml:space="preserve">+61 9 9576 2316</t>
  </si>
  <si>
    <t xml:space="preserve">Brewer</t>
  </si>
  <si>
    <t xml:space="preserve">1/9/2024</t>
  </si>
  <si>
    <t xml:space="preserve">75427 Elizabeth Street</t>
  </si>
  <si>
    <t xml:space="preserve">+61 2 8187 6860</t>
  </si>
  <si>
    <t xml:space="preserve">Lucas</t>
  </si>
  <si>
    <t xml:space="preserve">51599 Main Street</t>
  </si>
  <si>
    <t xml:space="preserve">+61 8 8903 3304</t>
  </si>
  <si>
    <t xml:space="preserve">Mercado</t>
  </si>
  <si>
    <t xml:space="preserve">Leonel</t>
  </si>
  <si>
    <t xml:space="preserve">71402 King Street</t>
  </si>
  <si>
    <t xml:space="preserve">+61 2 4503 2718</t>
  </si>
  <si>
    <t xml:space="preserve">Bates</t>
  </si>
  <si>
    <t xml:space="preserve">Anya</t>
  </si>
  <si>
    <t xml:space="preserve">6183 King Street</t>
  </si>
  <si>
    <t xml:space="preserve">+61 8 9020 3126</t>
  </si>
  <si>
    <t xml:space="preserve">2/1/2024</t>
  </si>
  <si>
    <t xml:space="preserve">36514 King Street</t>
  </si>
  <si>
    <t xml:space="preserve">+61 5 2081 9291</t>
  </si>
  <si>
    <t xml:space="preserve">Sweeney</t>
  </si>
  <si>
    <t xml:space="preserve">45792 King Street</t>
  </si>
  <si>
    <t xml:space="preserve">+61 2 9874 5259</t>
  </si>
  <si>
    <t xml:space="preserve">43757 Elizabeth Street</t>
  </si>
  <si>
    <t xml:space="preserve">+61 6 2479 5667</t>
  </si>
  <si>
    <t xml:space="preserve">Valeria</t>
  </si>
  <si>
    <t xml:space="preserve">56999 Park Avenue</t>
  </si>
  <si>
    <t xml:space="preserve">+61 6 2406 7397</t>
  </si>
  <si>
    <t xml:space="preserve">42214 George Street</t>
  </si>
  <si>
    <t xml:space="preserve">+61 3 4061 2397</t>
  </si>
  <si>
    <t xml:space="preserve">Enriquez</t>
  </si>
  <si>
    <t xml:space="preserve">Asa</t>
  </si>
  <si>
    <t xml:space="preserve">57395 George Street</t>
  </si>
  <si>
    <t xml:space="preserve">+61 9 5334 6624</t>
  </si>
  <si>
    <t xml:space="preserve">Ayers</t>
  </si>
  <si>
    <t xml:space="preserve">18409 King Street</t>
  </si>
  <si>
    <t xml:space="preserve">+61 5 3315 6760</t>
  </si>
  <si>
    <t xml:space="preserve">Ramsey</t>
  </si>
  <si>
    <t xml:space="preserve">Hank</t>
  </si>
  <si>
    <t xml:space="preserve">8939 Main Street</t>
  </si>
  <si>
    <t xml:space="preserve">+61 4 9764 6655</t>
  </si>
  <si>
    <t xml:space="preserve">10/14/2024</t>
  </si>
  <si>
    <t xml:space="preserve">5578 George Street</t>
  </si>
  <si>
    <t xml:space="preserve">+61 9 2738 4323</t>
  </si>
  <si>
    <t xml:space="preserve">Kent</t>
  </si>
  <si>
    <t xml:space="preserve">11/21/2024</t>
  </si>
  <si>
    <t xml:space="preserve">44916 Park Avenue</t>
  </si>
  <si>
    <t xml:space="preserve">+61 6 4232 4353</t>
  </si>
  <si>
    <t xml:space="preserve">68214 King Street</t>
  </si>
  <si>
    <t xml:space="preserve">+61 6 8811 4196</t>
  </si>
  <si>
    <t xml:space="preserve">Richardson</t>
  </si>
  <si>
    <t xml:space="preserve">10/28/2024</t>
  </si>
  <si>
    <t xml:space="preserve">48257 Park Avenue</t>
  </si>
  <si>
    <t xml:space="preserve">+61 6 6392 9189</t>
  </si>
  <si>
    <t xml:space="preserve">Madelyn</t>
  </si>
  <si>
    <t xml:space="preserve">10/4/2024</t>
  </si>
  <si>
    <t xml:space="preserve">85022 Elizabeth Street</t>
  </si>
  <si>
    <t xml:space="preserve">+61 7 9163 6449</t>
  </si>
  <si>
    <t xml:space="preserve">7/26/2024</t>
  </si>
  <si>
    <t xml:space="preserve">36175 Main Street</t>
  </si>
  <si>
    <t xml:space="preserve">+61 5 4244 6477</t>
  </si>
  <si>
    <t xml:space="preserve">Mclean</t>
  </si>
  <si>
    <t xml:space="preserve">9/14/2024</t>
  </si>
  <si>
    <t xml:space="preserve">58309 Park Avenue</t>
  </si>
  <si>
    <t xml:space="preserve">+61 6 5755 2649</t>
  </si>
  <si>
    <t xml:space="preserve">Duncan</t>
  </si>
  <si>
    <t xml:space="preserve">Maryam</t>
  </si>
  <si>
    <t xml:space="preserve">19848 King Street</t>
  </si>
  <si>
    <t xml:space="preserve">+61 5 1204 8250</t>
  </si>
  <si>
    <t xml:space="preserve">Haven</t>
  </si>
  <si>
    <t xml:space="preserve">10/2/2024</t>
  </si>
  <si>
    <t xml:space="preserve">25681 King Street</t>
  </si>
  <si>
    <t xml:space="preserve">+61 8 6077 7154</t>
  </si>
  <si>
    <t xml:space="preserve">Eden</t>
  </si>
  <si>
    <t xml:space="preserve">66685 King Street</t>
  </si>
  <si>
    <t xml:space="preserve">+61 4 7311 5651</t>
  </si>
  <si>
    <t xml:space="preserve">Esquivel</t>
  </si>
  <si>
    <t xml:space="preserve">Matias</t>
  </si>
  <si>
    <t xml:space="preserve">9/22/2024</t>
  </si>
  <si>
    <t xml:space="preserve">67821 King Street</t>
  </si>
  <si>
    <t xml:space="preserve">+61 3 3631 3459</t>
  </si>
  <si>
    <t xml:space="preserve">Murray</t>
  </si>
  <si>
    <t xml:space="preserve">Kyson</t>
  </si>
  <si>
    <t xml:space="preserve">28797 George Street</t>
  </si>
  <si>
    <t xml:space="preserve">+61 7 5206 3556</t>
  </si>
  <si>
    <t xml:space="preserve">Joseph</t>
  </si>
  <si>
    <t xml:space="preserve">Fernanda</t>
  </si>
  <si>
    <t xml:space="preserve">56997 Main Street</t>
  </si>
  <si>
    <t xml:space="preserve">+61 3 3078 6417</t>
  </si>
  <si>
    <t xml:space="preserve">61104 King Street</t>
  </si>
  <si>
    <t xml:space="preserve">+61 9 8497 4998</t>
  </si>
  <si>
    <t xml:space="preserve">Ivan</t>
  </si>
  <si>
    <t xml:space="preserve">62647 King Street</t>
  </si>
  <si>
    <t xml:space="preserve">+61 9 3441 3482</t>
  </si>
  <si>
    <t xml:space="preserve">Dominic</t>
  </si>
  <si>
    <t xml:space="preserve">92618 King Street</t>
  </si>
  <si>
    <t xml:space="preserve">+61 8 6529 9607</t>
  </si>
  <si>
    <t xml:space="preserve">Renata</t>
  </si>
  <si>
    <t xml:space="preserve">79236 George Street</t>
  </si>
  <si>
    <t xml:space="preserve">+61 9 5456 3626</t>
  </si>
  <si>
    <t xml:space="preserve">Yu</t>
  </si>
  <si>
    <t xml:space="preserve">77149 Main Street</t>
  </si>
  <si>
    <t xml:space="preserve">+61 5 6825 2558</t>
  </si>
  <si>
    <t xml:space="preserve">Huynh</t>
  </si>
  <si>
    <t xml:space="preserve">Sarah</t>
  </si>
  <si>
    <t xml:space="preserve">78647 Elizabeth Street</t>
  </si>
  <si>
    <t xml:space="preserve">+61 8 1392 1348</t>
  </si>
  <si>
    <t xml:space="preserve">9/13/2024</t>
  </si>
  <si>
    <t xml:space="preserve">76047 Main Street</t>
  </si>
  <si>
    <t xml:space="preserve">+61 4 5667 8109</t>
  </si>
  <si>
    <t xml:space="preserve">Sage</t>
  </si>
  <si>
    <t xml:space="preserve">60138 Main Street</t>
  </si>
  <si>
    <t xml:space="preserve">+61 5 6124 4407</t>
  </si>
  <si>
    <t xml:space="preserve">Beau</t>
  </si>
  <si>
    <t xml:space="preserve">12/28/2024</t>
  </si>
  <si>
    <t xml:space="preserve">12310 Elizabeth Street</t>
  </si>
  <si>
    <t xml:space="preserve">+61 4 6730 4657</t>
  </si>
  <si>
    <t xml:space="preserve">Lin</t>
  </si>
  <si>
    <t xml:space="preserve">53267 Main Street</t>
  </si>
  <si>
    <t xml:space="preserve">+61 5 2819 4127</t>
  </si>
  <si>
    <t xml:space="preserve">Beard</t>
  </si>
  <si>
    <t xml:space="preserve">98012 Park Avenue</t>
  </si>
  <si>
    <t xml:space="preserve">+61 9 1690 5814</t>
  </si>
  <si>
    <t xml:space="preserve">Leland</t>
  </si>
  <si>
    <t xml:space="preserve">9/16/2024</t>
  </si>
  <si>
    <t xml:space="preserve">69741 King Street</t>
  </si>
  <si>
    <t xml:space="preserve">+61 8 6422 3707</t>
  </si>
  <si>
    <t xml:space="preserve">12758 Main Street</t>
  </si>
  <si>
    <t xml:space="preserve">+61 5 4200 6467</t>
  </si>
  <si>
    <t xml:space="preserve">Camilo</t>
  </si>
  <si>
    <t xml:space="preserve">29470 Elizabeth Street</t>
  </si>
  <si>
    <t xml:space="preserve">+61 6 5270 6885</t>
  </si>
  <si>
    <t xml:space="preserve">Zyaire</t>
  </si>
  <si>
    <t xml:space="preserve">1/20/2024</t>
  </si>
  <si>
    <t xml:space="preserve">50650 Elizabeth Street</t>
  </si>
  <si>
    <t xml:space="preserve">+61 6 7813 7359</t>
  </si>
  <si>
    <t xml:space="preserve">Shields</t>
  </si>
  <si>
    <t xml:space="preserve">Eduardo</t>
  </si>
  <si>
    <t xml:space="preserve">6/9/2024</t>
  </si>
  <si>
    <t xml:space="preserve">21340 Main Street</t>
  </si>
  <si>
    <t xml:space="preserve">+61 4 4639 8605</t>
  </si>
  <si>
    <t xml:space="preserve">Zuniga</t>
  </si>
  <si>
    <t xml:space="preserve">Edwin</t>
  </si>
  <si>
    <t xml:space="preserve">66801 Main Street</t>
  </si>
  <si>
    <t xml:space="preserve">+61 2 3706 8467</t>
  </si>
  <si>
    <t xml:space="preserve">Julian</t>
  </si>
  <si>
    <t xml:space="preserve">10/21/2024</t>
  </si>
  <si>
    <t xml:space="preserve">55336 Main Street</t>
  </si>
  <si>
    <t xml:space="preserve">+61 5 9007 1338</t>
  </si>
  <si>
    <t xml:space="preserve">Pacheco</t>
  </si>
  <si>
    <t xml:space="preserve">50723 Park Avenue</t>
  </si>
  <si>
    <t xml:space="preserve">+61 4 5375 5168</t>
  </si>
  <si>
    <t xml:space="preserve">40623 Elizabeth Street</t>
  </si>
  <si>
    <t xml:space="preserve">+61 8 1041 4290</t>
  </si>
  <si>
    <t xml:space="preserve">Manning</t>
  </si>
  <si>
    <t xml:space="preserve">98309 George Street</t>
  </si>
  <si>
    <t xml:space="preserve">+61 2 3426 5126</t>
  </si>
  <si>
    <t xml:space="preserve">Connor</t>
  </si>
  <si>
    <t xml:space="preserve">96483 Park Avenue</t>
  </si>
  <si>
    <t xml:space="preserve">+61 2 3463 1198</t>
  </si>
  <si>
    <t xml:space="preserve">96072 Park Avenue</t>
  </si>
  <si>
    <t xml:space="preserve">+61 8 9078 7417</t>
  </si>
  <si>
    <t xml:space="preserve">Raelynn</t>
  </si>
  <si>
    <t xml:space="preserve">12901 Park Avenue</t>
  </si>
  <si>
    <t xml:space="preserve">+61 7 1150 2105</t>
  </si>
  <si>
    <t xml:space="preserve">Hess</t>
  </si>
  <si>
    <t xml:space="preserve">39844 Park Avenue</t>
  </si>
  <si>
    <t xml:space="preserve">+61 3 1295 4323</t>
  </si>
  <si>
    <t xml:space="preserve">Kairo</t>
  </si>
  <si>
    <t xml:space="preserve">22869 George Street</t>
  </si>
  <si>
    <t xml:space="preserve">+61 3 4146 1838</t>
  </si>
  <si>
    <t xml:space="preserve">Pablo</t>
  </si>
  <si>
    <t xml:space="preserve">9090 Main Street</t>
  </si>
  <si>
    <t xml:space="preserve">+61 9 8241 7773</t>
  </si>
  <si>
    <t xml:space="preserve">Frederick</t>
  </si>
  <si>
    <t xml:space="preserve">84542 George Street</t>
  </si>
  <si>
    <t xml:space="preserve">+61 8 1095 9989</t>
  </si>
  <si>
    <t xml:space="preserve">Skinner</t>
  </si>
  <si>
    <t xml:space="preserve">14754 George Street</t>
  </si>
  <si>
    <t xml:space="preserve">+61 7 4245 5379</t>
  </si>
  <si>
    <t xml:space="preserve">Bennett</t>
  </si>
  <si>
    <t xml:space="preserve">Josue</t>
  </si>
  <si>
    <t xml:space="preserve">16418 Park Avenue</t>
  </si>
  <si>
    <t xml:space="preserve">+61 3 2943 2215</t>
  </si>
  <si>
    <t xml:space="preserve">Carter</t>
  </si>
  <si>
    <t xml:space="preserve">5205 Main Street</t>
  </si>
  <si>
    <t xml:space="preserve">+61 8 6445 1057</t>
  </si>
  <si>
    <t xml:space="preserve">Hamilton</t>
  </si>
  <si>
    <t xml:space="preserve">10/27/2024</t>
  </si>
  <si>
    <t xml:space="preserve">92230 Elizabeth Street</t>
  </si>
  <si>
    <t xml:space="preserve">+61 5 6045 2889</t>
  </si>
  <si>
    <t xml:space="preserve">4389 Main Street</t>
  </si>
  <si>
    <t xml:space="preserve">+61 7 6762 5320</t>
  </si>
  <si>
    <t xml:space="preserve">Elle</t>
  </si>
  <si>
    <t xml:space="preserve">1/4/2024</t>
  </si>
  <si>
    <t xml:space="preserve">86925 Elizabeth Street</t>
  </si>
  <si>
    <t xml:space="preserve">+61 8 5559 7932</t>
  </si>
  <si>
    <t xml:space="preserve">97324 King Street</t>
  </si>
  <si>
    <t xml:space="preserve">+61 8 7802 4536</t>
  </si>
  <si>
    <t xml:space="preserve">76267 Main Street</t>
  </si>
  <si>
    <t xml:space="preserve">+61 6 6114 9971</t>
  </si>
  <si>
    <t xml:space="preserve">Medina</t>
  </si>
  <si>
    <t xml:space="preserve">62196 Main Street</t>
  </si>
  <si>
    <t xml:space="preserve">+61 7 5785 7892</t>
  </si>
  <si>
    <t xml:space="preserve">Jimenez</t>
  </si>
  <si>
    <t xml:space="preserve">Kamila</t>
  </si>
  <si>
    <t xml:space="preserve">1/3/2024</t>
  </si>
  <si>
    <t xml:space="preserve">26641 Elizabeth Street</t>
  </si>
  <si>
    <t xml:space="preserve">+61 4 2597 9081</t>
  </si>
  <si>
    <t xml:space="preserve">Penelope</t>
  </si>
  <si>
    <t xml:space="preserve">15364 King Street</t>
  </si>
  <si>
    <t xml:space="preserve">+61 6 8697 3773</t>
  </si>
  <si>
    <t xml:space="preserve">50059 Park Avenue</t>
  </si>
  <si>
    <t xml:space="preserve">+61 7 6840 7098</t>
  </si>
  <si>
    <t xml:space="preserve">Valentine</t>
  </si>
  <si>
    <t xml:space="preserve">Koda</t>
  </si>
  <si>
    <t xml:space="preserve">27919 Elizabeth Street</t>
  </si>
  <si>
    <t xml:space="preserve">+61 8 2343 4356</t>
  </si>
  <si>
    <t xml:space="preserve">Chang</t>
  </si>
  <si>
    <t xml:space="preserve">Esmeralda</t>
  </si>
  <si>
    <t xml:space="preserve">66209 George Street</t>
  </si>
  <si>
    <t xml:space="preserve">+61 5 9558 8299</t>
  </si>
  <si>
    <t xml:space="preserve">Alayna</t>
  </si>
  <si>
    <t xml:space="preserve">70394 George Street</t>
  </si>
  <si>
    <t xml:space="preserve">+61 5 7489 1743</t>
  </si>
  <si>
    <t xml:space="preserve">16153 George Street</t>
  </si>
  <si>
    <t xml:space="preserve">+61 3 9666 8432</t>
  </si>
  <si>
    <t xml:space="preserve">16202 Elizabeth Street</t>
  </si>
  <si>
    <t xml:space="preserve">+61 5 6231 8063</t>
  </si>
  <si>
    <t xml:space="preserve">3/7/2024</t>
  </si>
  <si>
    <t xml:space="preserve">90513 George Street</t>
  </si>
  <si>
    <t xml:space="preserve">+61 7 9356 6381</t>
  </si>
  <si>
    <t xml:space="preserve">Haisley</t>
  </si>
  <si>
    <t xml:space="preserve">86651 George Street</t>
  </si>
  <si>
    <t xml:space="preserve">+61 2 5197 3330</t>
  </si>
  <si>
    <t xml:space="preserve">Stephens</t>
  </si>
  <si>
    <t xml:space="preserve">Taylor</t>
  </si>
  <si>
    <t xml:space="preserve">69667 Park Avenue</t>
  </si>
  <si>
    <t xml:space="preserve">+61 3 6565 8944</t>
  </si>
  <si>
    <t xml:space="preserve">6/20/2024</t>
  </si>
  <si>
    <t xml:space="preserve">81705 King Street</t>
  </si>
  <si>
    <t xml:space="preserve">+61 6 2007 5450</t>
  </si>
  <si>
    <t xml:space="preserve">Delacruz</t>
  </si>
  <si>
    <t xml:space="preserve">Zayne</t>
  </si>
  <si>
    <t xml:space="preserve">20166 Park Avenue</t>
  </si>
  <si>
    <t xml:space="preserve">+61 7 4900 3276</t>
  </si>
  <si>
    <t xml:space="preserve">Alvarez</t>
  </si>
  <si>
    <t xml:space="preserve">Seth</t>
  </si>
  <si>
    <t xml:space="preserve">96315 Main Street</t>
  </si>
  <si>
    <t xml:space="preserve">+61 4 4517 3075</t>
  </si>
  <si>
    <t xml:space="preserve">Gross</t>
  </si>
  <si>
    <t xml:space="preserve">Gianna</t>
  </si>
  <si>
    <t xml:space="preserve">52675 George Street</t>
  </si>
  <si>
    <t xml:space="preserve">+61 4 7249 6195</t>
  </si>
  <si>
    <t xml:space="preserve">Isaiah</t>
  </si>
  <si>
    <t xml:space="preserve">14387 George Street</t>
  </si>
  <si>
    <t xml:space="preserve">+61 9 8525 7981</t>
  </si>
  <si>
    <t xml:space="preserve">34467 King Street</t>
  </si>
  <si>
    <t xml:space="preserve">+61 6 2983 8302</t>
  </si>
  <si>
    <t xml:space="preserve">Bo</t>
  </si>
  <si>
    <t xml:space="preserve">59332 Park Avenue</t>
  </si>
  <si>
    <t xml:space="preserve">+61 7 2302 6702</t>
  </si>
  <si>
    <t xml:space="preserve">Little</t>
  </si>
  <si>
    <t xml:space="preserve">68575 Elizabeth Street</t>
  </si>
  <si>
    <t xml:space="preserve">+61 7 3314 8880</t>
  </si>
  <si>
    <t xml:space="preserve">4/12/2024</t>
  </si>
  <si>
    <t xml:space="preserve">2823 King Street</t>
  </si>
  <si>
    <t xml:space="preserve">+61 8 3461 2672</t>
  </si>
  <si>
    <t xml:space="preserve">Travis</t>
  </si>
  <si>
    <t xml:space="preserve">Micah</t>
  </si>
  <si>
    <t xml:space="preserve">42805 Elizabeth Street</t>
  </si>
  <si>
    <t xml:space="preserve">+61 2 7827 7190</t>
  </si>
  <si>
    <t xml:space="preserve">Atticus</t>
  </si>
  <si>
    <t xml:space="preserve">40519 Elizabeth Street</t>
  </si>
  <si>
    <t xml:space="preserve">+61 7 5334 9747</t>
  </si>
  <si>
    <t xml:space="preserve">Rowland</t>
  </si>
  <si>
    <t xml:space="preserve">Gavin</t>
  </si>
  <si>
    <t xml:space="preserve">48283 King Street</t>
  </si>
  <si>
    <t xml:space="preserve">+61 8 2524 3784</t>
  </si>
  <si>
    <t xml:space="preserve">Wheeler</t>
  </si>
  <si>
    <t xml:space="preserve">Sullivan</t>
  </si>
  <si>
    <t xml:space="preserve">96462 King Street</t>
  </si>
  <si>
    <t xml:space="preserve">+61 2 2049 7163</t>
  </si>
  <si>
    <t xml:space="preserve">Emmett</t>
  </si>
  <si>
    <t xml:space="preserve">14206 Park Avenue</t>
  </si>
  <si>
    <t xml:space="preserve">+61 2 9680 1909</t>
  </si>
  <si>
    <t xml:space="preserve">Padilla</t>
  </si>
  <si>
    <t xml:space="preserve">87439 King Street</t>
  </si>
  <si>
    <t xml:space="preserve">+61 6 4139 5719</t>
  </si>
  <si>
    <t xml:space="preserve">Sims</t>
  </si>
  <si>
    <t xml:space="preserve">Selena</t>
  </si>
  <si>
    <t xml:space="preserve">1/24/2024</t>
  </si>
  <si>
    <t xml:space="preserve">68775 Park Avenue</t>
  </si>
  <si>
    <t xml:space="preserve">+61 8 5045 2277</t>
  </si>
  <si>
    <t xml:space="preserve">Palacios</t>
  </si>
  <si>
    <t xml:space="preserve">7/5/2024</t>
  </si>
  <si>
    <t xml:space="preserve">48911 Park Avenue</t>
  </si>
  <si>
    <t xml:space="preserve">+61 4 9279 3090</t>
  </si>
  <si>
    <t xml:space="preserve">Hall</t>
  </si>
  <si>
    <t xml:space="preserve">47173 Elizabeth Street</t>
  </si>
  <si>
    <t xml:space="preserve">+61 6 7328 6468</t>
  </si>
  <si>
    <t xml:space="preserve">Barron</t>
  </si>
  <si>
    <t xml:space="preserve">Rhys</t>
  </si>
  <si>
    <t xml:space="preserve">5/21/2024</t>
  </si>
  <si>
    <t xml:space="preserve">88140 George Street</t>
  </si>
  <si>
    <t xml:space="preserve">+61 9 3326 1390</t>
  </si>
  <si>
    <t xml:space="preserve">Alicia</t>
  </si>
  <si>
    <t xml:space="preserve">56256 Park Avenue</t>
  </si>
  <si>
    <t xml:space="preserve">+61 6 7459 1858</t>
  </si>
  <si>
    <t xml:space="preserve">OConnell</t>
  </si>
  <si>
    <t xml:space="preserve">39697 Main Street</t>
  </si>
  <si>
    <t xml:space="preserve">+61 4 4940 4497</t>
  </si>
  <si>
    <t xml:space="preserve">Evelynn</t>
  </si>
  <si>
    <t xml:space="preserve">89491 Main Street</t>
  </si>
  <si>
    <t xml:space="preserve">+61 8 1700 5517</t>
  </si>
  <si>
    <t xml:space="preserve">76344 Main Street</t>
  </si>
  <si>
    <t xml:space="preserve">+61 3 1855 9399</t>
  </si>
  <si>
    <t xml:space="preserve">82760 George Street</t>
  </si>
  <si>
    <t xml:space="preserve">+61 2 2756 5034</t>
  </si>
  <si>
    <t xml:space="preserve">Snow</t>
  </si>
  <si>
    <t xml:space="preserve">39447 Park Avenue</t>
  </si>
  <si>
    <t xml:space="preserve">+61 2 3121 4194</t>
  </si>
  <si>
    <t xml:space="preserve">33952 King Street</t>
  </si>
  <si>
    <t xml:space="preserve">+61 4 2327 5154</t>
  </si>
  <si>
    <t xml:space="preserve">White</t>
  </si>
  <si>
    <t xml:space="preserve">Lila</t>
  </si>
  <si>
    <t xml:space="preserve">52887 Elizabeth Street</t>
  </si>
  <si>
    <t xml:space="preserve">+61 7 4934 5320</t>
  </si>
  <si>
    <t xml:space="preserve">Theo</t>
  </si>
  <si>
    <t xml:space="preserve">78322 Elizabeth Street</t>
  </si>
  <si>
    <t xml:space="preserve">+61 9 5248 5166</t>
  </si>
  <si>
    <t xml:space="preserve">4/2/2024</t>
  </si>
  <si>
    <t xml:space="preserve">36870 King Street</t>
  </si>
  <si>
    <t xml:space="preserve">+61 9 8947 5077</t>
  </si>
  <si>
    <t xml:space="preserve">Mayer</t>
  </si>
  <si>
    <t xml:space="preserve">Steven</t>
  </si>
  <si>
    <t xml:space="preserve">32220 Elizabeth Street</t>
  </si>
  <si>
    <t xml:space="preserve">+61 4 3808 7633</t>
  </si>
  <si>
    <t xml:space="preserve">Nadia</t>
  </si>
  <si>
    <t xml:space="preserve">48828 King Street</t>
  </si>
  <si>
    <t xml:space="preserve">+61 5 8150 2211</t>
  </si>
  <si>
    <t xml:space="preserve">Greer</t>
  </si>
  <si>
    <t xml:space="preserve">84514 George Street</t>
  </si>
  <si>
    <t xml:space="preserve">+61 4 8767 9810</t>
  </si>
  <si>
    <t xml:space="preserve">60837 George Street</t>
  </si>
  <si>
    <t xml:space="preserve">+61 8 1586 9178</t>
  </si>
  <si>
    <t xml:space="preserve">85137 Main Street</t>
  </si>
  <si>
    <t xml:space="preserve">+61 6 3533 2192</t>
  </si>
  <si>
    <t xml:space="preserve">Wise</t>
  </si>
  <si>
    <t xml:space="preserve">39135 King Street</t>
  </si>
  <si>
    <t xml:space="preserve">+61 2 2042 8464</t>
  </si>
  <si>
    <t xml:space="preserve">Ava</t>
  </si>
  <si>
    <t xml:space="preserve">40161 Elizabeth Street</t>
  </si>
  <si>
    <t xml:space="preserve">+61 9 5576 4110</t>
  </si>
  <si>
    <t xml:space="preserve">Mathis</t>
  </si>
  <si>
    <t xml:space="preserve">Damon</t>
  </si>
  <si>
    <t xml:space="preserve">2/25/2024</t>
  </si>
  <si>
    <t xml:space="preserve">34387 King Street</t>
  </si>
  <si>
    <t xml:space="preserve">+61 2 9990 8692</t>
  </si>
  <si>
    <t xml:space="preserve">27068 George Street</t>
  </si>
  <si>
    <t xml:space="preserve">+61 5 3885 7780</t>
  </si>
  <si>
    <t xml:space="preserve">Vaughan</t>
  </si>
  <si>
    <t xml:space="preserve">Leila</t>
  </si>
  <si>
    <t xml:space="preserve">92945 King Street</t>
  </si>
  <si>
    <t xml:space="preserve">+61 6 8219 7980</t>
  </si>
  <si>
    <t xml:space="preserve">Hanna</t>
  </si>
  <si>
    <t xml:space="preserve">Rowan</t>
  </si>
  <si>
    <t xml:space="preserve">59633 Main Street</t>
  </si>
  <si>
    <t xml:space="preserve">+61 4 3902 2757</t>
  </si>
  <si>
    <t xml:space="preserve">Henson</t>
  </si>
  <si>
    <t xml:space="preserve">Vivian</t>
  </si>
  <si>
    <t xml:space="preserve">86008 George Street</t>
  </si>
  <si>
    <t xml:space="preserve">+61 9 5429 8138</t>
  </si>
  <si>
    <t xml:space="preserve">Clayton</t>
  </si>
  <si>
    <t xml:space="preserve">6/11/2024</t>
  </si>
  <si>
    <t xml:space="preserve">69096 George Street</t>
  </si>
  <si>
    <t xml:space="preserve">+61 5 5549 8954</t>
  </si>
  <si>
    <t xml:space="preserve">37898 King Street</t>
  </si>
  <si>
    <t xml:space="preserve">+61 9 8111 2735</t>
  </si>
  <si>
    <t xml:space="preserve">Carr</t>
  </si>
  <si>
    <t xml:space="preserve">89659 Elizabeth Street</t>
  </si>
  <si>
    <t xml:space="preserve">+61 4 2922 9221</t>
  </si>
  <si>
    <t xml:space="preserve">15998 Elizabeth Street</t>
  </si>
  <si>
    <t xml:space="preserve">+61 7 3100 1232</t>
  </si>
  <si>
    <t xml:space="preserve">74168 Park Avenue</t>
  </si>
  <si>
    <t xml:space="preserve">+61 5 9316 8522</t>
  </si>
  <si>
    <t xml:space="preserve">Arellano</t>
  </si>
  <si>
    <t xml:space="preserve">Jonathan</t>
  </si>
  <si>
    <t xml:space="preserve">22200 Park Avenue</t>
  </si>
  <si>
    <t xml:space="preserve">+61 9 8912 8414</t>
  </si>
  <si>
    <t xml:space="preserve">Dennis</t>
  </si>
  <si>
    <t xml:space="preserve">89273 Park Avenue</t>
  </si>
  <si>
    <t xml:space="preserve">+61 3 8691 8551</t>
  </si>
  <si>
    <t xml:space="preserve">Alijah</t>
  </si>
  <si>
    <t xml:space="preserve">10/30/2024</t>
  </si>
  <si>
    <t xml:space="preserve">96965 George Street</t>
  </si>
  <si>
    <t xml:space="preserve">+61 6 7242 1436</t>
  </si>
  <si>
    <t xml:space="preserve">Conrad</t>
  </si>
  <si>
    <t xml:space="preserve">Sebastian</t>
  </si>
  <si>
    <t xml:space="preserve">38080 King Street</t>
  </si>
  <si>
    <t xml:space="preserve">+61 6 7803 5515</t>
  </si>
  <si>
    <t xml:space="preserve">Kerr</t>
  </si>
  <si>
    <t xml:space="preserve">Summer</t>
  </si>
  <si>
    <t xml:space="preserve">82464 Elizabeth Street</t>
  </si>
  <si>
    <t xml:space="preserve">+61 3 9418 6024</t>
  </si>
  <si>
    <t xml:space="preserve">Mcintyre</t>
  </si>
  <si>
    <t xml:space="preserve">June</t>
  </si>
  <si>
    <t xml:space="preserve">11/5/2024</t>
  </si>
  <si>
    <t xml:space="preserve">86279 Elizabeth Street</t>
  </si>
  <si>
    <t xml:space="preserve">+61 3 2734 3636</t>
  </si>
  <si>
    <t xml:space="preserve">78427 George Street</t>
  </si>
  <si>
    <t xml:space="preserve">+61 5 9319 6299</t>
  </si>
  <si>
    <t xml:space="preserve">Scott</t>
  </si>
  <si>
    <t xml:space="preserve">95555 King Street</t>
  </si>
  <si>
    <t xml:space="preserve">+61 3 3308 6958</t>
  </si>
  <si>
    <t xml:space="preserve">Cordova</t>
  </si>
  <si>
    <t xml:space="preserve">63263 King Street</t>
  </si>
  <si>
    <t xml:space="preserve">+61 6 6628 5467</t>
  </si>
  <si>
    <t xml:space="preserve">Johns</t>
  </si>
  <si>
    <t xml:space="preserve">Payton</t>
  </si>
  <si>
    <t xml:space="preserve">70745 King Street</t>
  </si>
  <si>
    <t xml:space="preserve">+61 4 2453 9462</t>
  </si>
  <si>
    <t xml:space="preserve">Roth</t>
  </si>
  <si>
    <t xml:space="preserve">Titus</t>
  </si>
  <si>
    <t xml:space="preserve">30086 King Street</t>
  </si>
  <si>
    <t xml:space="preserve">+61 9 7896 4970</t>
  </si>
  <si>
    <t xml:space="preserve">Schneider</t>
  </si>
  <si>
    <t xml:space="preserve">22010 Main Street</t>
  </si>
  <si>
    <t xml:space="preserve">+61 8 6196 8859</t>
  </si>
  <si>
    <t xml:space="preserve">Gill</t>
  </si>
  <si>
    <t xml:space="preserve">Phoenix</t>
  </si>
  <si>
    <t xml:space="preserve">34157 George Street</t>
  </si>
  <si>
    <t xml:space="preserve">+61 9 6737 7941</t>
  </si>
  <si>
    <t xml:space="preserve">15086 Park Avenue</t>
  </si>
  <si>
    <t xml:space="preserve">+61 2 9292 5134</t>
  </si>
  <si>
    <t xml:space="preserve">Ferguson</t>
  </si>
  <si>
    <t xml:space="preserve">27292 King Street</t>
  </si>
  <si>
    <t xml:space="preserve">+61 3 5647 3230</t>
  </si>
  <si>
    <t xml:space="preserve">Craig</t>
  </si>
  <si>
    <t xml:space="preserve">73272 Main Street</t>
  </si>
  <si>
    <t xml:space="preserve">+61 7 8878 4867</t>
  </si>
  <si>
    <t xml:space="preserve">59717 King Street</t>
  </si>
  <si>
    <t xml:space="preserve">+61 8 3125 1232</t>
  </si>
  <si>
    <t xml:space="preserve">Gonzalez</t>
  </si>
  <si>
    <t xml:space="preserve">11/29/2024</t>
  </si>
  <si>
    <t xml:space="preserve">21011 Main Street</t>
  </si>
  <si>
    <t xml:space="preserve">+61 4 5763 9911</t>
  </si>
  <si>
    <t xml:space="preserve">31377 King Street</t>
  </si>
  <si>
    <t xml:space="preserve">+61 6 4003 4266</t>
  </si>
  <si>
    <t xml:space="preserve">Maria</t>
  </si>
  <si>
    <t xml:space="preserve">12/21/2024</t>
  </si>
  <si>
    <t xml:space="preserve">48262 George Street</t>
  </si>
  <si>
    <t xml:space="preserve">+61 4 6580 6268</t>
  </si>
  <si>
    <t xml:space="preserve">Huffman</t>
  </si>
  <si>
    <t xml:space="preserve">90306 King Street</t>
  </si>
  <si>
    <t xml:space="preserve">+61 2 3429 9439</t>
  </si>
  <si>
    <t xml:space="preserve">Curry</t>
  </si>
  <si>
    <t xml:space="preserve">60318 Main Street</t>
  </si>
  <si>
    <t xml:space="preserve">+61 9 2743 5533</t>
  </si>
  <si>
    <t xml:space="preserve">Magana</t>
  </si>
  <si>
    <t xml:space="preserve">Kyrie</t>
  </si>
  <si>
    <t xml:space="preserve">10/15/2024</t>
  </si>
  <si>
    <t xml:space="preserve">57382 Main Street</t>
  </si>
  <si>
    <t xml:space="preserve">+61 8 5352 1899</t>
  </si>
  <si>
    <t xml:space="preserve">15135 Park Avenue</t>
  </si>
  <si>
    <t xml:space="preserve">+61 8 8572 4847</t>
  </si>
  <si>
    <t xml:space="preserve">Schroeder</t>
  </si>
  <si>
    <t xml:space="preserve">+61 6 5052 6806</t>
  </si>
  <si>
    <t xml:space="preserve">Dylan</t>
  </si>
  <si>
    <t xml:space="preserve">4363 Elizabeth Street</t>
  </si>
  <si>
    <t xml:space="preserve">+61 3 7577 5035</t>
  </si>
  <si>
    <t xml:space="preserve">Love</t>
  </si>
  <si>
    <t xml:space="preserve">59764 George Street</t>
  </si>
  <si>
    <t xml:space="preserve">+61 8 8712 3468</t>
  </si>
  <si>
    <t xml:space="preserve">88100 Park Avenue</t>
  </si>
  <si>
    <t xml:space="preserve">+61 7 2554 4619</t>
  </si>
  <si>
    <t xml:space="preserve">2/20/2024</t>
  </si>
  <si>
    <t xml:space="preserve">63847 Elizabeth Street</t>
  </si>
  <si>
    <t xml:space="preserve">+61 9 9758 9277</t>
  </si>
  <si>
    <t xml:space="preserve">Abraham</t>
  </si>
  <si>
    <t xml:space="preserve">94308 Main Street</t>
  </si>
  <si>
    <t xml:space="preserve">+61 3 4471 2585</t>
  </si>
  <si>
    <t xml:space="preserve">66392 George Street</t>
  </si>
  <si>
    <t xml:space="preserve">+61 3 4548 9939</t>
  </si>
  <si>
    <t xml:space="preserve">Emily</t>
  </si>
  <si>
    <t xml:space="preserve">57998 George Street</t>
  </si>
  <si>
    <t xml:space="preserve">+61 4 2181 8430</t>
  </si>
  <si>
    <t xml:space="preserve">Pugh</t>
  </si>
  <si>
    <t xml:space="preserve">Gracelyn</t>
  </si>
  <si>
    <t xml:space="preserve">45182 Elizabeth Street</t>
  </si>
  <si>
    <t xml:space="preserve">+61 9 3214 5863</t>
  </si>
  <si>
    <t xml:space="preserve">Middleton</t>
  </si>
  <si>
    <t xml:space="preserve">Jesse</t>
  </si>
  <si>
    <t xml:space="preserve">82381 Main Street</t>
  </si>
  <si>
    <t xml:space="preserve">+61 3 8650 9016</t>
  </si>
  <si>
    <t xml:space="preserve">Hubbard</t>
  </si>
  <si>
    <t xml:space="preserve">88383 George Street</t>
  </si>
  <si>
    <t xml:space="preserve">+61 2 5599 9574</t>
  </si>
  <si>
    <t xml:space="preserve">Barber</t>
  </si>
  <si>
    <t xml:space="preserve">Marcus</t>
  </si>
  <si>
    <t xml:space="preserve">10702 King Street</t>
  </si>
  <si>
    <t xml:space="preserve">+61 7 9389 6402</t>
  </si>
  <si>
    <t xml:space="preserve">Montes</t>
  </si>
  <si>
    <t xml:space="preserve">Catalina</t>
  </si>
  <si>
    <t xml:space="preserve">72471 King Street</t>
  </si>
  <si>
    <t xml:space="preserve">+61 9 9410 7462</t>
  </si>
  <si>
    <t xml:space="preserve">2385 Park Avenue</t>
  </si>
  <si>
    <t xml:space="preserve">+61 5 9679 4455</t>
  </si>
  <si>
    <t xml:space="preserve">Rowe</t>
  </si>
  <si>
    <t xml:space="preserve">Trinity</t>
  </si>
  <si>
    <t xml:space="preserve">43006 King Street</t>
  </si>
  <si>
    <t xml:space="preserve">+61 9 4595 1182</t>
  </si>
  <si>
    <t xml:space="preserve">Adkins</t>
  </si>
  <si>
    <t xml:space="preserve">85495 Elizabeth Street</t>
  </si>
  <si>
    <t xml:space="preserve">+61 5 1862 3850</t>
  </si>
  <si>
    <t xml:space="preserve">Cole</t>
  </si>
  <si>
    <t xml:space="preserve">Ian</t>
  </si>
  <si>
    <t xml:space="preserve">23455 Park Avenue</t>
  </si>
  <si>
    <t xml:space="preserve">+61 5 9589 6157</t>
  </si>
  <si>
    <t xml:space="preserve">Page</t>
  </si>
  <si>
    <t xml:space="preserve">76892 Elizabeth Street</t>
  </si>
  <si>
    <t xml:space="preserve">+61 9 2088 4579</t>
  </si>
  <si>
    <t xml:space="preserve">Quintero</t>
  </si>
  <si>
    <t xml:space="preserve">95315 Main Street</t>
  </si>
  <si>
    <t xml:space="preserve">+61 3 2820 1182</t>
  </si>
  <si>
    <t xml:space="preserve">Huff</t>
  </si>
  <si>
    <t xml:space="preserve">3524 Main Street</t>
  </si>
  <si>
    <t xml:space="preserve">+61 8 1282 9452</t>
  </si>
  <si>
    <t xml:space="preserve">53905 King Street</t>
  </si>
  <si>
    <t xml:space="preserve">+61 8 5999 7305</t>
  </si>
  <si>
    <t xml:space="preserve">Ryan</t>
  </si>
  <si>
    <t xml:space="preserve">Maisie</t>
  </si>
  <si>
    <t xml:space="preserve">10471 George Street</t>
  </si>
  <si>
    <t xml:space="preserve">+61 8 9329 6404</t>
  </si>
  <si>
    <t xml:space="preserve">Tanner</t>
  </si>
  <si>
    <t xml:space="preserve">90527 King Street</t>
  </si>
  <si>
    <t xml:space="preserve">+61 9 7687 1598</t>
  </si>
  <si>
    <t xml:space="preserve">Simpson</t>
  </si>
  <si>
    <t xml:space="preserve">Alexandra</t>
  </si>
  <si>
    <t xml:space="preserve">95312 Main Street</t>
  </si>
  <si>
    <t xml:space="preserve">+61 6 3529 8182</t>
  </si>
  <si>
    <t xml:space="preserve">Kora</t>
  </si>
  <si>
    <t xml:space="preserve">5/25/2024</t>
  </si>
  <si>
    <t xml:space="preserve">43807 George Street</t>
  </si>
  <si>
    <t xml:space="preserve">+61 9 1649 5990</t>
  </si>
  <si>
    <t xml:space="preserve">Colón</t>
  </si>
  <si>
    <t xml:space="preserve">Samara</t>
  </si>
  <si>
    <t xml:space="preserve">40767 Park Avenue</t>
  </si>
  <si>
    <t xml:space="preserve">+61 2 9702 6218</t>
  </si>
  <si>
    <t xml:space="preserve">59782 Elizabeth Street</t>
  </si>
  <si>
    <t xml:space="preserve">+61 4 9697 5075</t>
  </si>
  <si>
    <t xml:space="preserve">39820 Main Street</t>
  </si>
  <si>
    <t xml:space="preserve">+61 5 8680 9754</t>
  </si>
  <si>
    <t xml:space="preserve">Martin</t>
  </si>
  <si>
    <t xml:space="preserve">25306 Main Street</t>
  </si>
  <si>
    <t xml:space="preserve">+61 2 2000 4435</t>
  </si>
  <si>
    <t xml:space="preserve">7676 Elizabeth Street</t>
  </si>
  <si>
    <t xml:space="preserve">+61 9 4368 8288</t>
  </si>
  <si>
    <t xml:space="preserve">Mullins</t>
  </si>
  <si>
    <t xml:space="preserve">Regina</t>
  </si>
  <si>
    <t xml:space="preserve">74881 Main Street</t>
  </si>
  <si>
    <t xml:space="preserve">+61 2 1240 4668</t>
  </si>
  <si>
    <t xml:space="preserve">Hayes</t>
  </si>
  <si>
    <t xml:space="preserve">23036 King Street</t>
  </si>
  <si>
    <t xml:space="preserve">+61 9 4874 1313</t>
  </si>
  <si>
    <t xml:space="preserve">Kaylee</t>
  </si>
  <si>
    <t xml:space="preserve">94318 Main Street</t>
  </si>
  <si>
    <t xml:space="preserve">+61 3 7736 7839</t>
  </si>
  <si>
    <t xml:space="preserve">Mcgee</t>
  </si>
  <si>
    <t xml:space="preserve">95924 King Street</t>
  </si>
  <si>
    <t xml:space="preserve">+61 8 8494 2214</t>
  </si>
  <si>
    <t xml:space="preserve">98853 Elizabeth Street</t>
  </si>
  <si>
    <t xml:space="preserve">+61 2 3597 7348</t>
  </si>
  <si>
    <t xml:space="preserve">Novak</t>
  </si>
  <si>
    <t xml:space="preserve">Wade</t>
  </si>
  <si>
    <t xml:space="preserve">99129 King Street</t>
  </si>
  <si>
    <t xml:space="preserve">+61 6 8212 8022</t>
  </si>
  <si>
    <t xml:space="preserve">Sonny</t>
  </si>
  <si>
    <t xml:space="preserve">86435 Park Avenue</t>
  </si>
  <si>
    <t xml:space="preserve">+61 3 6457 2981</t>
  </si>
  <si>
    <t xml:space="preserve">6/27/2024</t>
  </si>
  <si>
    <t xml:space="preserve">99075 Elizabeth Street</t>
  </si>
  <si>
    <t xml:space="preserve">+61 9 7562 5019</t>
  </si>
  <si>
    <t xml:space="preserve">Katherine</t>
  </si>
  <si>
    <t xml:space="preserve">80610 Park Avenue</t>
  </si>
  <si>
    <t xml:space="preserve">+61 7 8871 4504</t>
  </si>
  <si>
    <t xml:space="preserve">Ximena</t>
  </si>
  <si>
    <t xml:space="preserve">15053 George Street</t>
  </si>
  <si>
    <t xml:space="preserve">+61 8 6092 8073</t>
  </si>
  <si>
    <t xml:space="preserve">Matthews</t>
  </si>
  <si>
    <t xml:space="preserve">Stetson</t>
  </si>
  <si>
    <t xml:space="preserve">9406 George Street</t>
  </si>
  <si>
    <t xml:space="preserve">+61 5 1259 7152</t>
  </si>
  <si>
    <t xml:space="preserve">Gray</t>
  </si>
  <si>
    <t xml:space="preserve">11/14/2024</t>
  </si>
  <si>
    <t xml:space="preserve">41533 George Street</t>
  </si>
  <si>
    <t xml:space="preserve">+61 2 1569 1905</t>
  </si>
  <si>
    <t xml:space="preserve">Rosario</t>
  </si>
  <si>
    <t xml:space="preserve">Casey</t>
  </si>
  <si>
    <t xml:space="preserve">28060 Main Street</t>
  </si>
  <si>
    <t xml:space="preserve">+61 7 6292 6782</t>
  </si>
  <si>
    <t xml:space="preserve">Sutton</t>
  </si>
  <si>
    <t xml:space="preserve">10/19/2024</t>
  </si>
  <si>
    <t xml:space="preserve">64509 Main Street</t>
  </si>
  <si>
    <t xml:space="preserve">+61 7 7862 3307</t>
  </si>
  <si>
    <t xml:space="preserve">Steele</t>
  </si>
  <si>
    <t xml:space="preserve">7/29/2024</t>
  </si>
  <si>
    <t xml:space="preserve">94366 Main Street</t>
  </si>
  <si>
    <t xml:space="preserve">+61 9 6484 4375</t>
  </si>
  <si>
    <t xml:space="preserve">Patton</t>
  </si>
  <si>
    <t xml:space="preserve">Allie</t>
  </si>
  <si>
    <t xml:space="preserve">8/30/2024</t>
  </si>
  <si>
    <t xml:space="preserve">37668 Park Avenue</t>
  </si>
  <si>
    <t xml:space="preserve">+61 9 1319 5639</t>
  </si>
  <si>
    <t xml:space="preserve">92896 George Street</t>
  </si>
  <si>
    <t xml:space="preserve">+61 7 8530 9220</t>
  </si>
  <si>
    <t xml:space="preserve">Mora</t>
  </si>
  <si>
    <t xml:space="preserve">32490 Main Street</t>
  </si>
  <si>
    <t xml:space="preserve">+61 3 8705 4047</t>
  </si>
  <si>
    <t xml:space="preserve">Hanson</t>
  </si>
  <si>
    <t xml:space="preserve">Kayla</t>
  </si>
  <si>
    <t xml:space="preserve">49154 Main Street</t>
  </si>
  <si>
    <t xml:space="preserve">+61 7 7992 4290</t>
  </si>
  <si>
    <t xml:space="preserve">Barnes</t>
  </si>
  <si>
    <t xml:space="preserve">Naomi</t>
  </si>
  <si>
    <t xml:space="preserve">28524 Main Street</t>
  </si>
  <si>
    <t xml:space="preserve">+61 9 9996 1404</t>
  </si>
  <si>
    <t xml:space="preserve">1/8/2024</t>
  </si>
  <si>
    <t xml:space="preserve">93002 Park Avenue</t>
  </si>
  <si>
    <t xml:space="preserve">+61 3 7143 4027</t>
  </si>
  <si>
    <t xml:space="preserve">Larson</t>
  </si>
  <si>
    <t xml:space="preserve">Jasmine</t>
  </si>
  <si>
    <t xml:space="preserve">85197 Main Street</t>
  </si>
  <si>
    <t xml:space="preserve">+61 4 4117 1129</t>
  </si>
  <si>
    <t xml:space="preserve">23272 George Street</t>
  </si>
  <si>
    <t xml:space="preserve">+61 3 1701 3745</t>
  </si>
  <si>
    <t xml:space="preserve">Georgia</t>
  </si>
  <si>
    <t xml:space="preserve">40470 King Street</t>
  </si>
  <si>
    <t xml:space="preserve">+61 7 3802 4381</t>
  </si>
  <si>
    <t xml:space="preserve">Sterling</t>
  </si>
  <si>
    <t xml:space="preserve">37505 Main Street</t>
  </si>
  <si>
    <t xml:space="preserve">+61 2 3912 2411</t>
  </si>
  <si>
    <t xml:space="preserve">Makayla</t>
  </si>
  <si>
    <t xml:space="preserve">60573 Park Avenue</t>
  </si>
  <si>
    <t xml:space="preserve">+61 4 8595 6702</t>
  </si>
  <si>
    <t xml:space="preserve">6/8/2024</t>
  </si>
  <si>
    <t xml:space="preserve">79524 Elizabeth Street</t>
  </si>
  <si>
    <t xml:space="preserve">+61 2 7476 9141</t>
  </si>
  <si>
    <t xml:space="preserve">Ariana</t>
  </si>
  <si>
    <t xml:space="preserve">22491 Main Street</t>
  </si>
  <si>
    <t xml:space="preserve">+61 4 7682 7214</t>
  </si>
  <si>
    <t xml:space="preserve">Warren</t>
  </si>
  <si>
    <t xml:space="preserve">68642 Park Avenue</t>
  </si>
  <si>
    <t xml:space="preserve">+61 4 9918 9128</t>
  </si>
  <si>
    <t xml:space="preserve">20837 George Street</t>
  </si>
  <si>
    <t xml:space="preserve">+61 3 1587 3450</t>
  </si>
  <si>
    <t xml:space="preserve">Walker</t>
  </si>
  <si>
    <t xml:space="preserve">Saige</t>
  </si>
  <si>
    <t xml:space="preserve">39758 Elizabeth Street</t>
  </si>
  <si>
    <t xml:space="preserve">+61 3 4552 2208</t>
  </si>
  <si>
    <t xml:space="preserve">94227 King Street</t>
  </si>
  <si>
    <t xml:space="preserve">+61 6 2516 9152</t>
  </si>
  <si>
    <t xml:space="preserve">95431 Main Street</t>
  </si>
  <si>
    <t xml:space="preserve">+61 3 4205 6450</t>
  </si>
  <si>
    <t xml:space="preserve">French</t>
  </si>
  <si>
    <t xml:space="preserve">8/19/2024</t>
  </si>
  <si>
    <t xml:space="preserve">97310 Main Street</t>
  </si>
  <si>
    <t xml:space="preserve">+61 8 7792 5861</t>
  </si>
  <si>
    <t xml:space="preserve">11796 George Street</t>
  </si>
  <si>
    <t xml:space="preserve">+61 3 5177 1630</t>
  </si>
  <si>
    <t xml:space="preserve">3/25/2024</t>
  </si>
  <si>
    <t xml:space="preserve">99945 Elizabeth Street</t>
  </si>
  <si>
    <t xml:space="preserve">+61 5 5778 6082</t>
  </si>
  <si>
    <t xml:space="preserve">Hodge</t>
  </si>
  <si>
    <t xml:space="preserve">61286 Park Avenue</t>
  </si>
  <si>
    <t xml:space="preserve">+61 8 7073 8653</t>
  </si>
  <si>
    <t xml:space="preserve">Banks</t>
  </si>
  <si>
    <t xml:space="preserve">17018 George Street</t>
  </si>
  <si>
    <t xml:space="preserve">+61 2 3899 5216</t>
  </si>
  <si>
    <t xml:space="preserve">Hudson</t>
  </si>
  <si>
    <t xml:space="preserve">91650 King Street</t>
  </si>
  <si>
    <t xml:space="preserve">+61 2 6947 1424</t>
  </si>
  <si>
    <t xml:space="preserve">Aisha</t>
  </si>
  <si>
    <t xml:space="preserve">74126 King Street</t>
  </si>
  <si>
    <t xml:space="preserve">+61 9 1923 5584</t>
  </si>
  <si>
    <t xml:space="preserve">Jacob</t>
  </si>
  <si>
    <t xml:space="preserve">4/1/2024</t>
  </si>
  <si>
    <t xml:space="preserve">61170 King Street</t>
  </si>
  <si>
    <t xml:space="preserve">+61 3 3918 1790</t>
  </si>
  <si>
    <t xml:space="preserve">Velez</t>
  </si>
  <si>
    <t xml:space="preserve">Navy</t>
  </si>
  <si>
    <t xml:space="preserve">97645 Main Street</t>
  </si>
  <si>
    <t xml:space="preserve">+61 4 6792 7639</t>
  </si>
  <si>
    <t xml:space="preserve">Schultz</t>
  </si>
  <si>
    <t xml:space="preserve">Lilly</t>
  </si>
  <si>
    <t xml:space="preserve">68048 Elizabeth Street</t>
  </si>
  <si>
    <t xml:space="preserve">+61 9 4238 1623</t>
  </si>
  <si>
    <t xml:space="preserve">Rhodes</t>
  </si>
  <si>
    <t xml:space="preserve">Evelyn</t>
  </si>
  <si>
    <t xml:space="preserve">63539 Main Street</t>
  </si>
  <si>
    <t xml:space="preserve">+61 8 1654 6783</t>
  </si>
  <si>
    <t xml:space="preserve">Arya</t>
  </si>
  <si>
    <t xml:space="preserve">28242 Elizabeth Street</t>
  </si>
  <si>
    <t xml:space="preserve">+61 3 2819 5949</t>
  </si>
  <si>
    <t xml:space="preserve">54885 Main Street</t>
  </si>
  <si>
    <t xml:space="preserve">+61 5 2230 1972</t>
  </si>
  <si>
    <t xml:space="preserve">Cantrell</t>
  </si>
  <si>
    <t xml:space="preserve">Sophia</t>
  </si>
  <si>
    <t xml:space="preserve">60192 Park Avenue</t>
  </si>
  <si>
    <t xml:space="preserve">+61 8 9008 7266</t>
  </si>
  <si>
    <t xml:space="preserve">86447 Elizabeth Street</t>
  </si>
  <si>
    <t xml:space="preserve">+61 8 7440 9387</t>
  </si>
  <si>
    <t xml:space="preserve">Quinn</t>
  </si>
  <si>
    <t xml:space="preserve">George</t>
  </si>
  <si>
    <t xml:space="preserve">333 Elizabeth Street</t>
  </si>
  <si>
    <t xml:space="preserve">+61 5 1569 6495</t>
  </si>
  <si>
    <t xml:space="preserve">Rhett</t>
  </si>
  <si>
    <t xml:space="preserve">19981 Park Avenue</t>
  </si>
  <si>
    <t xml:space="preserve">+61 4 2577 2448</t>
  </si>
  <si>
    <t xml:space="preserve">Ward</t>
  </si>
  <si>
    <t xml:space="preserve">Amelia</t>
  </si>
  <si>
    <t xml:space="preserve">51887 King Street</t>
  </si>
  <si>
    <t xml:space="preserve">+61 6 9816 1161</t>
  </si>
  <si>
    <t xml:space="preserve">Payne</t>
  </si>
  <si>
    <t xml:space="preserve">71866 Main Street</t>
  </si>
  <si>
    <t xml:space="preserve">+61 3 9994 9586</t>
  </si>
  <si>
    <t xml:space="preserve">Ortiz</t>
  </si>
  <si>
    <t xml:space="preserve">Gracie</t>
  </si>
  <si>
    <t xml:space="preserve">56209 King Street</t>
  </si>
  <si>
    <t xml:space="preserve">+61 6 8016 8509</t>
  </si>
  <si>
    <t xml:space="preserve">Becker</t>
  </si>
  <si>
    <t xml:space="preserve">29705 Main Street</t>
  </si>
  <si>
    <t xml:space="preserve">+61 7 8842 8846</t>
  </si>
  <si>
    <t xml:space="preserve">Jaxon</t>
  </si>
  <si>
    <t xml:space="preserve">18216 Park Avenue</t>
  </si>
  <si>
    <t xml:space="preserve">+61 8 4532 6701</t>
  </si>
  <si>
    <t xml:space="preserve">Kade</t>
  </si>
  <si>
    <t xml:space="preserve">64581 Park Avenue</t>
  </si>
  <si>
    <t xml:space="preserve">+61 2 8445 8695</t>
  </si>
  <si>
    <t xml:space="preserve">76002 George Street</t>
  </si>
  <si>
    <t xml:space="preserve">+61 2 7664 9936</t>
  </si>
  <si>
    <t xml:space="preserve">Glass</t>
  </si>
  <si>
    <t xml:space="preserve">Timothy</t>
  </si>
  <si>
    <t xml:space="preserve">15180 King Street</t>
  </si>
  <si>
    <t xml:space="preserve">+61 2 4148 3735</t>
  </si>
  <si>
    <t xml:space="preserve">82123 Elizabeth Street</t>
  </si>
  <si>
    <t xml:space="preserve">+61 9 1647 6146</t>
  </si>
  <si>
    <t xml:space="preserve">90013 George Street</t>
  </si>
  <si>
    <t xml:space="preserve">+61 7 9754 6928</t>
  </si>
  <si>
    <t xml:space="preserve">Petersen</t>
  </si>
  <si>
    <t xml:space="preserve">Elliot</t>
  </si>
  <si>
    <t xml:space="preserve">40065 King Street</t>
  </si>
  <si>
    <t xml:space="preserve">+61 8 2860 1495</t>
  </si>
  <si>
    <t xml:space="preserve">Lu</t>
  </si>
  <si>
    <t xml:space="preserve">Sergio</t>
  </si>
  <si>
    <t xml:space="preserve">62965 George Street</t>
  </si>
  <si>
    <t xml:space="preserve">+61 5 9022 4189</t>
  </si>
  <si>
    <t xml:space="preserve">Brooks</t>
  </si>
  <si>
    <t xml:space="preserve">13000 Main Street</t>
  </si>
  <si>
    <t xml:space="preserve">+61 4 5278 7007</t>
  </si>
  <si>
    <t xml:space="preserve">34886 George Street</t>
  </si>
  <si>
    <t xml:space="preserve">+61 9 1623 2179</t>
  </si>
  <si>
    <t xml:space="preserve">Randall</t>
  </si>
  <si>
    <t xml:space="preserve">7/4/2024</t>
  </si>
  <si>
    <t xml:space="preserve">14581 Park Avenue</t>
  </si>
  <si>
    <t xml:space="preserve">+61 9 7209 6188</t>
  </si>
  <si>
    <t xml:space="preserve">Potts</t>
  </si>
  <si>
    <t xml:space="preserve">87461 King Street</t>
  </si>
  <si>
    <t xml:space="preserve">+61 4 8198 1974</t>
  </si>
  <si>
    <t xml:space="preserve">Herman</t>
  </si>
  <si>
    <t xml:space="preserve">8/9/2024</t>
  </si>
  <si>
    <t xml:space="preserve">53570 George Street</t>
  </si>
  <si>
    <t xml:space="preserve">+61 8 5655 6160</t>
  </si>
  <si>
    <t xml:space="preserve">95441 Park Avenue</t>
  </si>
  <si>
    <t xml:space="preserve">+61 5 7878 5007</t>
  </si>
  <si>
    <t xml:space="preserve">43305 Main Street</t>
  </si>
  <si>
    <t xml:space="preserve">+61 6 5788 7897</t>
  </si>
  <si>
    <t xml:space="preserve">Gillespie</t>
  </si>
  <si>
    <t xml:space="preserve">Allison</t>
  </si>
  <si>
    <t xml:space="preserve">25421 Main Street</t>
  </si>
  <si>
    <t xml:space="preserve">+61 8 6851 5481</t>
  </si>
  <si>
    <t xml:space="preserve">6020 Main Street</t>
  </si>
  <si>
    <t xml:space="preserve">+61 2 5790 3825</t>
  </si>
  <si>
    <t xml:space="preserve">Ingram</t>
  </si>
  <si>
    <t xml:space="preserve">41808 George Street</t>
  </si>
  <si>
    <t xml:space="preserve">+61 3 1993 3133</t>
  </si>
  <si>
    <t xml:space="preserve">Reyes</t>
  </si>
  <si>
    <t xml:space="preserve">Aaliyah</t>
  </si>
  <si>
    <t xml:space="preserve">44156 George Street</t>
  </si>
  <si>
    <t xml:space="preserve">+61 2 8265 9367</t>
  </si>
  <si>
    <t xml:space="preserve">68676 Main Street</t>
  </si>
  <si>
    <t xml:space="preserve">+61 7 8607 7855</t>
  </si>
  <si>
    <t xml:space="preserve">Elian</t>
  </si>
  <si>
    <t xml:space="preserve">99885 George Street</t>
  </si>
  <si>
    <t xml:space="preserve">+61 4 5458 7719</t>
  </si>
  <si>
    <t xml:space="preserve">Phillips</t>
  </si>
  <si>
    <t xml:space="preserve">8/18/2024</t>
  </si>
  <si>
    <t xml:space="preserve">29696 Park Avenue</t>
  </si>
  <si>
    <t xml:space="preserve">+61 9 2070 1866</t>
  </si>
  <si>
    <t xml:space="preserve">68948 George Street</t>
  </si>
  <si>
    <t xml:space="preserve">+61 2 4251 4528</t>
  </si>
  <si>
    <t xml:space="preserve">2296 Elizabeth Street</t>
  </si>
  <si>
    <t xml:space="preserve">+61 2 1388 4878</t>
  </si>
  <si>
    <t xml:space="preserve">Autumn</t>
  </si>
  <si>
    <t xml:space="preserve">31675 Park Avenue</t>
  </si>
  <si>
    <t xml:space="preserve">+61 9 4952 3851</t>
  </si>
  <si>
    <t xml:space="preserve">84056 George Street</t>
  </si>
  <si>
    <t xml:space="preserve">+61 2 4875 2517</t>
  </si>
  <si>
    <t xml:space="preserve">Emiliano</t>
  </si>
  <si>
    <t xml:space="preserve">46659 George Street</t>
  </si>
  <si>
    <t xml:space="preserve">+61 9 6542 2924</t>
  </si>
  <si>
    <t xml:space="preserve">11/4/2024</t>
  </si>
  <si>
    <t xml:space="preserve">66610 Main Street</t>
  </si>
  <si>
    <t xml:space="preserve">+61 8 7988 9047</t>
  </si>
  <si>
    <t xml:space="preserve">15229 King Street</t>
  </si>
  <si>
    <t xml:space="preserve">+61 6 9128 8842</t>
  </si>
  <si>
    <t xml:space="preserve">Jacobson</t>
  </si>
  <si>
    <t xml:space="preserve">Ariah</t>
  </si>
  <si>
    <t xml:space="preserve">4169 Elizabeth Street</t>
  </si>
  <si>
    <t xml:space="preserve">+61 7 6123 3820</t>
  </si>
  <si>
    <t xml:space="preserve">Beasley</t>
  </si>
  <si>
    <t xml:space="preserve">9/12/2024</t>
  </si>
  <si>
    <t xml:space="preserve">62550 George Street</t>
  </si>
  <si>
    <t xml:space="preserve">+61 9 9694 2757</t>
  </si>
  <si>
    <t xml:space="preserve">35501 King Street</t>
  </si>
  <si>
    <t xml:space="preserve">+61 5 8191 2980</t>
  </si>
  <si>
    <t xml:space="preserve">Malia</t>
  </si>
  <si>
    <t xml:space="preserve">30149 Elizabeth Street</t>
  </si>
  <si>
    <t xml:space="preserve">+61 6 4128 7887</t>
  </si>
  <si>
    <t xml:space="preserve">Aguirre</t>
  </si>
  <si>
    <t xml:space="preserve">Baylor</t>
  </si>
  <si>
    <t xml:space="preserve">80300 Elizabeth Street</t>
  </si>
  <si>
    <t xml:space="preserve">+61 8 3507 3369</t>
  </si>
  <si>
    <t xml:space="preserve">17340 Elizabeth Street</t>
  </si>
  <si>
    <t xml:space="preserve">+61 8 2790 5877</t>
  </si>
  <si>
    <t xml:space="preserve">79497 King Street</t>
  </si>
  <si>
    <t xml:space="preserve">+61 4 3865 4071</t>
  </si>
  <si>
    <t xml:space="preserve">10147 George Street</t>
  </si>
  <si>
    <t xml:space="preserve">+61 3 3104 6815</t>
  </si>
  <si>
    <t xml:space="preserve">Nicolas</t>
  </si>
  <si>
    <t xml:space="preserve">81266 King Street</t>
  </si>
  <si>
    <t xml:space="preserve">+61 2 6319 1578</t>
  </si>
  <si>
    <t xml:space="preserve">Morrison</t>
  </si>
  <si>
    <t xml:space="preserve">Caiden</t>
  </si>
  <si>
    <t xml:space="preserve">62106 Main Street</t>
  </si>
  <si>
    <t xml:space="preserve">+61 2 8636 6568</t>
  </si>
  <si>
    <t xml:space="preserve">Dallas</t>
  </si>
  <si>
    <t xml:space="preserve">14817 Main Street</t>
  </si>
  <si>
    <t xml:space="preserve">+61 6 1005 3426</t>
  </si>
  <si>
    <t xml:space="preserve">97383 George Street</t>
  </si>
  <si>
    <t xml:space="preserve">+61 5 4101 4003</t>
  </si>
  <si>
    <t xml:space="preserve">1/12/2024</t>
  </si>
  <si>
    <t xml:space="preserve">55442 King Street</t>
  </si>
  <si>
    <t xml:space="preserve">+61 2 2837 7029</t>
  </si>
  <si>
    <t xml:space="preserve">59327 King Street</t>
  </si>
  <si>
    <t xml:space="preserve">+61 8 1195 1422</t>
  </si>
  <si>
    <t xml:space="preserve">53822 George Street</t>
  </si>
  <si>
    <t xml:space="preserve">+61 4 5476 9238</t>
  </si>
  <si>
    <t xml:space="preserve">46735 Main Street</t>
  </si>
  <si>
    <t xml:space="preserve">+61 3 7949 9681</t>
  </si>
  <si>
    <t xml:space="preserve">Swanson</t>
  </si>
  <si>
    <t xml:space="preserve">Carolina</t>
  </si>
  <si>
    <t xml:space="preserve">7522 Park Avenue</t>
  </si>
  <si>
    <t xml:space="preserve">+61 3 9429 7892</t>
  </si>
  <si>
    <t xml:space="preserve">Ayden</t>
  </si>
  <si>
    <t xml:space="preserve">6350 Main Street</t>
  </si>
  <si>
    <t xml:space="preserve">+61 6 7064 6818</t>
  </si>
  <si>
    <t xml:space="preserve">Skylar</t>
  </si>
  <si>
    <t xml:space="preserve">96678 Park Avenue</t>
  </si>
  <si>
    <t xml:space="preserve">+61 9 1631 1192</t>
  </si>
  <si>
    <t xml:space="preserve">Noble</t>
  </si>
  <si>
    <t xml:space="preserve">43350 George Street</t>
  </si>
  <si>
    <t xml:space="preserve">+61 4 8840 2470</t>
  </si>
  <si>
    <t xml:space="preserve">11845 Main Street</t>
  </si>
  <si>
    <t xml:space="preserve">+61 7 8222 4251</t>
  </si>
  <si>
    <t xml:space="preserve">Hunt</t>
  </si>
  <si>
    <t xml:space="preserve">98000 Park Avenue</t>
  </si>
  <si>
    <t xml:space="preserve">+61 2 5979 6159</t>
  </si>
  <si>
    <t xml:space="preserve">Ivy</t>
  </si>
  <si>
    <t xml:space="preserve">11938 Elizabeth Street</t>
  </si>
  <si>
    <t xml:space="preserve">+61 8 5401 7010</t>
  </si>
  <si>
    <t xml:space="preserve">Kayson</t>
  </si>
  <si>
    <t xml:space="preserve">63763 Park Avenue</t>
  </si>
  <si>
    <t xml:space="preserve">+61 6 5930 5424</t>
  </si>
  <si>
    <t xml:space="preserve">Washington</t>
  </si>
  <si>
    <t xml:space="preserve">Savannah</t>
  </si>
  <si>
    <t xml:space="preserve">48740 George Street</t>
  </si>
  <si>
    <t xml:space="preserve">+61 7 5851 4195</t>
  </si>
  <si>
    <t xml:space="preserve">57883 Elizabeth Street</t>
  </si>
  <si>
    <t xml:space="preserve">+61 6 7078 6555</t>
  </si>
  <si>
    <t xml:space="preserve">Avalos</t>
  </si>
  <si>
    <t xml:space="preserve">Alan</t>
  </si>
  <si>
    <t xml:space="preserve">55153 Park Avenue</t>
  </si>
  <si>
    <t xml:space="preserve">+61 5 2670 2417</t>
  </si>
  <si>
    <t xml:space="preserve">Adams</t>
  </si>
  <si>
    <t xml:space="preserve">Valerie</t>
  </si>
  <si>
    <t xml:space="preserve">95328 King Street</t>
  </si>
  <si>
    <t xml:space="preserve">+61 3 5038 4277</t>
  </si>
  <si>
    <t xml:space="preserve">Brock</t>
  </si>
  <si>
    <t xml:space="preserve">25991 Main Street</t>
  </si>
  <si>
    <t xml:space="preserve">+61 2 6933 8167</t>
  </si>
  <si>
    <t xml:space="preserve">66702 King Street</t>
  </si>
  <si>
    <t xml:space="preserve">+61 6 1194 6947</t>
  </si>
  <si>
    <t xml:space="preserve">Itzel</t>
  </si>
  <si>
    <t xml:space="preserve">57574 Elizabeth Street</t>
  </si>
  <si>
    <t xml:space="preserve">+61 4 4080 8755</t>
  </si>
  <si>
    <t xml:space="preserve">Jimena</t>
  </si>
  <si>
    <t xml:space="preserve">84314 Elizabeth Street</t>
  </si>
  <si>
    <t xml:space="preserve">+61 9 2519 8063</t>
  </si>
  <si>
    <t xml:space="preserve">Alyssa</t>
  </si>
  <si>
    <t xml:space="preserve">59813 Main Street</t>
  </si>
  <si>
    <t xml:space="preserve">+61 2 9506 7848</t>
  </si>
  <si>
    <t xml:space="preserve">36301 Elizabeth Street</t>
  </si>
  <si>
    <t xml:space="preserve">+61 9 3806 1672</t>
  </si>
  <si>
    <t xml:space="preserve">12/15/2024</t>
  </si>
  <si>
    <t xml:space="preserve">12825 King Street</t>
  </si>
  <si>
    <t xml:space="preserve">+61 9 3284 7956</t>
  </si>
  <si>
    <t xml:space="preserve">Zamora</t>
  </si>
  <si>
    <t xml:space="preserve">7339 Park Avenue</t>
  </si>
  <si>
    <t xml:space="preserve">+61 6 3437 4535</t>
  </si>
  <si>
    <t xml:space="preserve">Drake</t>
  </si>
  <si>
    <t xml:space="preserve">16697 Elizabeth Street</t>
  </si>
  <si>
    <t xml:space="preserve">+61 3 5364 2657</t>
  </si>
  <si>
    <t xml:space="preserve">Emma</t>
  </si>
  <si>
    <t xml:space="preserve">45150 Park Avenue</t>
  </si>
  <si>
    <t xml:space="preserve">+61 4 4720 2050</t>
  </si>
  <si>
    <t xml:space="preserve">Fatima</t>
  </si>
  <si>
    <t xml:space="preserve">4051 Park Avenue</t>
  </si>
  <si>
    <t xml:space="preserve">+61 8 6430 8522</t>
  </si>
  <si>
    <t xml:space="preserve">10329 George Street</t>
  </si>
  <si>
    <t xml:space="preserve">+61 6 1775 2410</t>
  </si>
  <si>
    <t xml:space="preserve">Bonilla</t>
  </si>
  <si>
    <t xml:space="preserve">55731 Elizabeth Street</t>
  </si>
  <si>
    <t xml:space="preserve">+61 7 2518 4066</t>
  </si>
  <si>
    <t xml:space="preserve">68278 George Street</t>
  </si>
  <si>
    <t xml:space="preserve">+61 3 2040 4771</t>
  </si>
  <si>
    <t xml:space="preserve">63513 King Street</t>
  </si>
  <si>
    <t xml:space="preserve">+61 5 6972 3559</t>
  </si>
  <si>
    <t xml:space="preserve">Zander</t>
  </si>
  <si>
    <t xml:space="preserve">27804 Park Avenue</t>
  </si>
  <si>
    <t xml:space="preserve">+61 2 7525 1981</t>
  </si>
  <si>
    <t xml:space="preserve">39163 Elizabeth Street</t>
  </si>
  <si>
    <t xml:space="preserve">+61 8 3398 2588</t>
  </si>
  <si>
    <t xml:space="preserve">Maddox</t>
  </si>
  <si>
    <t xml:space="preserve">2/5/2024</t>
  </si>
  <si>
    <t xml:space="preserve">75501 King Street</t>
  </si>
  <si>
    <t xml:space="preserve">+61 7 3535 3127</t>
  </si>
  <si>
    <t xml:space="preserve">42244 George Street</t>
  </si>
  <si>
    <t xml:space="preserve">+61 9 5705 5775</t>
  </si>
  <si>
    <t xml:space="preserve">92251 George Street</t>
  </si>
  <si>
    <t xml:space="preserve">+61 3 1237 2978</t>
  </si>
  <si>
    <t xml:space="preserve">37200 George Street</t>
  </si>
  <si>
    <t xml:space="preserve">+61 4 3437 8874</t>
  </si>
  <si>
    <t xml:space="preserve">1/2/2024</t>
  </si>
  <si>
    <t xml:space="preserve">94598 Main Street</t>
  </si>
  <si>
    <t xml:space="preserve">+61 6 4593 6853</t>
  </si>
  <si>
    <t xml:space="preserve">Doyle</t>
  </si>
  <si>
    <t xml:space="preserve">Messiah</t>
  </si>
  <si>
    <t xml:space="preserve">38322 Park Avenue</t>
  </si>
  <si>
    <t xml:space="preserve">+61 2 3441 7354</t>
  </si>
  <si>
    <t xml:space="preserve">Owen</t>
  </si>
  <si>
    <t xml:space="preserve">82155 King Street</t>
  </si>
  <si>
    <t xml:space="preserve">+61 6 4037 4803</t>
  </si>
  <si>
    <t xml:space="preserve">70552 Elizabeth Street</t>
  </si>
  <si>
    <t xml:space="preserve">+61 4 8831 6729</t>
  </si>
  <si>
    <t xml:space="preserve">Kendrick</t>
  </si>
  <si>
    <t xml:space="preserve">12655 George Street</t>
  </si>
  <si>
    <t xml:space="preserve">+61 3 7451 4831</t>
  </si>
  <si>
    <t xml:space="preserve">Stephenson</t>
  </si>
  <si>
    <t xml:space="preserve">39827 Main Street</t>
  </si>
  <si>
    <t xml:space="preserve">+61 2 9143 7230</t>
  </si>
  <si>
    <t xml:space="preserve">Hodges</t>
  </si>
  <si>
    <t xml:space="preserve">32733 George Street</t>
  </si>
  <si>
    <t xml:space="preserve">+61 9 7040 2875</t>
  </si>
  <si>
    <t xml:space="preserve">Hopkins</t>
  </si>
  <si>
    <t xml:space="preserve">Serenity</t>
  </si>
  <si>
    <t xml:space="preserve">5/14/2024</t>
  </si>
  <si>
    <t xml:space="preserve">83943 George Street</t>
  </si>
  <si>
    <t xml:space="preserve">+61 3 7636 5229</t>
  </si>
  <si>
    <t xml:space="preserve">Parks</t>
  </si>
  <si>
    <t xml:space="preserve">Leonardo</t>
  </si>
  <si>
    <t xml:space="preserve">75362 George Street</t>
  </si>
  <si>
    <t xml:space="preserve">+61 5 2868 8079</t>
  </si>
  <si>
    <t xml:space="preserve">63674 George Street</t>
  </si>
  <si>
    <t xml:space="preserve">+61 9 7419 5680</t>
  </si>
  <si>
    <t xml:space="preserve">30357 Elizabeth Street</t>
  </si>
  <si>
    <t xml:space="preserve">+61 4 2766 8754</t>
  </si>
  <si>
    <t xml:space="preserve">27719 Elizabeth Street</t>
  </si>
  <si>
    <t xml:space="preserve">+61 3 2527 3906</t>
  </si>
  <si>
    <t xml:space="preserve">Graham</t>
  </si>
  <si>
    <t xml:space="preserve">12106 Main Street</t>
  </si>
  <si>
    <t xml:space="preserve">+61 7 3190 2793</t>
  </si>
  <si>
    <t xml:space="preserve">Ball</t>
  </si>
  <si>
    <t xml:space="preserve">32220 Main Street</t>
  </si>
  <si>
    <t xml:space="preserve">+61 8 6304 8751</t>
  </si>
  <si>
    <t xml:space="preserve">Moore</t>
  </si>
  <si>
    <t xml:space="preserve">Liliana</t>
  </si>
  <si>
    <t xml:space="preserve">8237 Park Avenue</t>
  </si>
  <si>
    <t xml:space="preserve">+61 7 9424 1990</t>
  </si>
  <si>
    <t xml:space="preserve">11369 Elizabeth Street</t>
  </si>
  <si>
    <t xml:space="preserve">+61 9 6112 9448</t>
  </si>
  <si>
    <t xml:space="preserve">Browning</t>
  </si>
  <si>
    <t xml:space="preserve">76521 George Street</t>
  </si>
  <si>
    <t xml:space="preserve">+61 7 5941 8155</t>
  </si>
  <si>
    <t xml:space="preserve">78249 Main Street</t>
  </si>
  <si>
    <t xml:space="preserve">+61 8 4643 1598</t>
  </si>
  <si>
    <t xml:space="preserve">Curtis</t>
  </si>
  <si>
    <t xml:space="preserve">Claire</t>
  </si>
  <si>
    <t xml:space="preserve">11/27/2024</t>
  </si>
  <si>
    <t xml:space="preserve">44477 Park Avenue</t>
  </si>
  <si>
    <t xml:space="preserve">+61 2 1934 6340</t>
  </si>
  <si>
    <t xml:space="preserve">Brennan</t>
  </si>
  <si>
    <t xml:space="preserve">32757 Main Street</t>
  </si>
  <si>
    <t xml:space="preserve">+61 8 8831 5776</t>
  </si>
  <si>
    <t xml:space="preserve">Osborne</t>
  </si>
  <si>
    <t xml:space="preserve">Salem</t>
  </si>
  <si>
    <t xml:space="preserve">68207 Park Avenue</t>
  </si>
  <si>
    <t xml:space="preserve">+61 6 3754 9829</t>
  </si>
  <si>
    <t xml:space="preserve">91393 Park Avenue</t>
  </si>
  <si>
    <t xml:space="preserve">+61 6 5469 1697</t>
  </si>
  <si>
    <t xml:space="preserve">Charlee</t>
  </si>
  <si>
    <t xml:space="preserve">7/19/2024</t>
  </si>
  <si>
    <t xml:space="preserve">9389 Park Avenue</t>
  </si>
  <si>
    <t xml:space="preserve">+61 6 1752 6221</t>
  </si>
  <si>
    <t xml:space="preserve">79737 Park Avenue</t>
  </si>
  <si>
    <t xml:space="preserve">+61 3 5985 2269</t>
  </si>
  <si>
    <t xml:space="preserve">11248 Elizabeth Street</t>
  </si>
  <si>
    <t xml:space="preserve">+61 9 9344 2012</t>
  </si>
  <si>
    <t xml:space="preserve">95351 George Street</t>
  </si>
  <si>
    <t xml:space="preserve">+61 4 8085 2603</t>
  </si>
  <si>
    <t xml:space="preserve">883 Park Avenue</t>
  </si>
  <si>
    <t xml:space="preserve">+61 8 9043 7802</t>
  </si>
  <si>
    <t xml:space="preserve">Duffy</t>
  </si>
  <si>
    <t xml:space="preserve">Hannah</t>
  </si>
  <si>
    <t xml:space="preserve">7/6/2024</t>
  </si>
  <si>
    <t xml:space="preserve">23764 King Street</t>
  </si>
  <si>
    <t xml:space="preserve">+61 5 3834 1345</t>
  </si>
  <si>
    <t xml:space="preserve">Lang</t>
  </si>
  <si>
    <t xml:space="preserve">Gracelynn</t>
  </si>
  <si>
    <t xml:space="preserve">75092 King Street</t>
  </si>
  <si>
    <t xml:space="preserve">+61 2 6414 7362</t>
  </si>
  <si>
    <t xml:space="preserve">77835 Park Avenue</t>
  </si>
  <si>
    <t xml:space="preserve">+61 4 3038 4060</t>
  </si>
  <si>
    <t xml:space="preserve">8746 Elizabeth Street</t>
  </si>
  <si>
    <t xml:space="preserve">+61 7 4156 8778</t>
  </si>
  <si>
    <t xml:space="preserve">Guevara</t>
  </si>
  <si>
    <t xml:space="preserve">57959 Elizabeth Street</t>
  </si>
  <si>
    <t xml:space="preserve">+61 8 1558 8894</t>
  </si>
  <si>
    <t xml:space="preserve">Dominguez</t>
  </si>
  <si>
    <t xml:space="preserve">Justin</t>
  </si>
  <si>
    <t xml:space="preserve">24147 Elizabeth Street</t>
  </si>
  <si>
    <t xml:space="preserve">+61 4 5134 5801</t>
  </si>
  <si>
    <t xml:space="preserve">4/11/2024</t>
  </si>
  <si>
    <t xml:space="preserve">54417 Elizabeth Street</t>
  </si>
  <si>
    <t xml:space="preserve">+61 7 8412 6413</t>
  </si>
  <si>
    <t xml:space="preserve">Dillon</t>
  </si>
  <si>
    <t xml:space="preserve">Jaxton</t>
  </si>
  <si>
    <t xml:space="preserve">79862 Elizabeth Street</t>
  </si>
  <si>
    <t xml:space="preserve">+61 7 1573 4823</t>
  </si>
  <si>
    <t xml:space="preserve">Makenna</t>
  </si>
  <si>
    <t xml:space="preserve">86889 King Street</t>
  </si>
  <si>
    <t xml:space="preserve">+61 8 4488 4502</t>
  </si>
  <si>
    <t xml:space="preserve">OBrien</t>
  </si>
  <si>
    <t xml:space="preserve">83346 King Street</t>
  </si>
  <si>
    <t xml:space="preserve">+61 2 9933 4155</t>
  </si>
  <si>
    <t xml:space="preserve">Reese</t>
  </si>
  <si>
    <t xml:space="preserve">8/8/2024</t>
  </si>
  <si>
    <t xml:space="preserve">45307 Park Avenue</t>
  </si>
  <si>
    <t xml:space="preserve">+61 4 5456 7383</t>
  </si>
  <si>
    <t xml:space="preserve">Hutchinson</t>
  </si>
  <si>
    <t xml:space="preserve">24833 King Street</t>
  </si>
  <si>
    <t xml:space="preserve">+61 2 3110 9406</t>
  </si>
  <si>
    <t xml:space="preserve">Millie</t>
  </si>
  <si>
    <t xml:space="preserve">20321 George Street</t>
  </si>
  <si>
    <t xml:space="preserve">+61 8 1793 9908</t>
  </si>
  <si>
    <t xml:space="preserve">Harlow</t>
  </si>
  <si>
    <t xml:space="preserve">11470 Park Avenue</t>
  </si>
  <si>
    <t xml:space="preserve">+61 6 5978 5212</t>
  </si>
  <si>
    <t xml:space="preserve">Harmon</t>
  </si>
  <si>
    <t xml:space="preserve">Camille</t>
  </si>
  <si>
    <t xml:space="preserve">97748 Park Avenue</t>
  </si>
  <si>
    <t xml:space="preserve">+61 3 7673 2590</t>
  </si>
  <si>
    <t xml:space="preserve">Lamb</t>
  </si>
  <si>
    <t xml:space="preserve">31112 Park Avenue</t>
  </si>
  <si>
    <t xml:space="preserve">+61 3 7858 1698</t>
  </si>
  <si>
    <t xml:space="preserve">Lia</t>
  </si>
  <si>
    <t xml:space="preserve">48199 King Street</t>
  </si>
  <si>
    <t xml:space="preserve">+61 3 4518 4408</t>
  </si>
  <si>
    <t xml:space="preserve">Walters</t>
  </si>
  <si>
    <t xml:space="preserve">Franklin</t>
  </si>
  <si>
    <t xml:space="preserve">43095 Elizabeth Street</t>
  </si>
  <si>
    <t xml:space="preserve">+61 4 9780 7495</t>
  </si>
  <si>
    <t xml:space="preserve">Farrell</t>
  </si>
  <si>
    <t xml:space="preserve">26830 Elizabeth Street</t>
  </si>
  <si>
    <t xml:space="preserve">+61 6 8916 7174</t>
  </si>
  <si>
    <t xml:space="preserve">Hurst</t>
  </si>
  <si>
    <t xml:space="preserve">43981 Park Avenue</t>
  </si>
  <si>
    <t xml:space="preserve">+61 5 5589 2886</t>
  </si>
  <si>
    <t xml:space="preserve">95026 George Street</t>
  </si>
  <si>
    <t xml:space="preserve">+61 9 1745 1713</t>
  </si>
  <si>
    <t xml:space="preserve">9470 King Street</t>
  </si>
  <si>
    <t xml:space="preserve">+61 2 8988 1637</t>
  </si>
  <si>
    <t xml:space="preserve">Ruiz</t>
  </si>
  <si>
    <t xml:space="preserve">Alayah</t>
  </si>
  <si>
    <t xml:space="preserve">41334 George Street</t>
  </si>
  <si>
    <t xml:space="preserve">+61 2 1597 8892</t>
  </si>
  <si>
    <t xml:space="preserve">11180 Main Street</t>
  </si>
  <si>
    <t xml:space="preserve">+61 8 7714 4638</t>
  </si>
  <si>
    <t xml:space="preserve">50616 Main Street</t>
  </si>
  <si>
    <t xml:space="preserve">+61 4 3916 4791</t>
  </si>
  <si>
    <t xml:space="preserve">Elaine</t>
  </si>
  <si>
    <t xml:space="preserve">29419 George Street</t>
  </si>
  <si>
    <t xml:space="preserve">+61 2 8150 3701</t>
  </si>
  <si>
    <t xml:space="preserve">Johnson</t>
  </si>
  <si>
    <t xml:space="preserve">Ronan</t>
  </si>
  <si>
    <t xml:space="preserve">9647 Elizabeth Street</t>
  </si>
  <si>
    <t xml:space="preserve">+61 4 5131 9769</t>
  </si>
  <si>
    <t xml:space="preserve">Aurora</t>
  </si>
  <si>
    <t xml:space="preserve">6/1/2024</t>
  </si>
  <si>
    <t xml:space="preserve">43957 Main Street</t>
  </si>
  <si>
    <t xml:space="preserve">+61 3 2222 3737</t>
  </si>
  <si>
    <t xml:space="preserve">29031 George Street</t>
  </si>
  <si>
    <t xml:space="preserve">+61 7 8730 9484</t>
  </si>
  <si>
    <t xml:space="preserve">Ricardo</t>
  </si>
  <si>
    <t xml:space="preserve">5057 Park Avenue</t>
  </si>
  <si>
    <t xml:space="preserve">+61 3 4844 2708</t>
  </si>
  <si>
    <t xml:space="preserve">30716 King Street</t>
  </si>
  <si>
    <t xml:space="preserve">+61 3 5471 9630</t>
  </si>
  <si>
    <t xml:space="preserve">Mcconnell</t>
  </si>
  <si>
    <t xml:space="preserve">Lilah</t>
  </si>
  <si>
    <t xml:space="preserve">99518 Elizabeth Street</t>
  </si>
  <si>
    <t xml:space="preserve">+61 5 2076 2548</t>
  </si>
  <si>
    <t xml:space="preserve">Webster</t>
  </si>
  <si>
    <t xml:space="preserve">Sylas</t>
  </si>
  <si>
    <t xml:space="preserve">92379 Park Avenue</t>
  </si>
  <si>
    <t xml:space="preserve">+61 7 2454 8254</t>
  </si>
  <si>
    <t xml:space="preserve">Lyla</t>
  </si>
  <si>
    <t xml:space="preserve">28056 Elizabeth Street</t>
  </si>
  <si>
    <t xml:space="preserve">+61 4 7373 3760</t>
  </si>
  <si>
    <t xml:space="preserve">Robinson</t>
  </si>
  <si>
    <t xml:space="preserve">74397 Main Street</t>
  </si>
  <si>
    <t xml:space="preserve">+61 3 7065 6013</t>
  </si>
  <si>
    <t xml:space="preserve">Ho</t>
  </si>
  <si>
    <t xml:space="preserve">82595 Main Street</t>
  </si>
  <si>
    <t xml:space="preserve">+61 2 2237 5702</t>
  </si>
  <si>
    <t xml:space="preserve">80327 Main Street</t>
  </si>
  <si>
    <t xml:space="preserve">+61 7 9848 1754</t>
  </si>
  <si>
    <t xml:space="preserve">Everleigh</t>
  </si>
  <si>
    <t xml:space="preserve">86566 King Street</t>
  </si>
  <si>
    <t xml:space="preserve">+61 5 3191 2697</t>
  </si>
  <si>
    <t xml:space="preserve">62804 Park Avenue</t>
  </si>
  <si>
    <t xml:space="preserve">+61 5 3441 2297</t>
  </si>
  <si>
    <t xml:space="preserve">Bryson</t>
  </si>
  <si>
    <t xml:space="preserve">9/9/2024</t>
  </si>
  <si>
    <t xml:space="preserve">90569 Main Street</t>
  </si>
  <si>
    <t xml:space="preserve">+61 3 7114 1123</t>
  </si>
  <si>
    <t xml:space="preserve">Marshall</t>
  </si>
  <si>
    <t xml:space="preserve">93541 Park Avenue</t>
  </si>
  <si>
    <t xml:space="preserve">+61 2 4172 9162</t>
  </si>
  <si>
    <t xml:space="preserve">Sanford</t>
  </si>
  <si>
    <t xml:space="preserve">Caroline</t>
  </si>
  <si>
    <t xml:space="preserve">49736 Park Avenue</t>
  </si>
  <si>
    <t xml:space="preserve">+61 5 8202 9389</t>
  </si>
  <si>
    <t xml:space="preserve">91049 King Street</t>
  </si>
  <si>
    <t xml:space="preserve">+61 8 4046 7362</t>
  </si>
  <si>
    <t xml:space="preserve">Price</t>
  </si>
  <si>
    <t xml:space="preserve">42080 Elizabeth Street</t>
  </si>
  <si>
    <t xml:space="preserve">+61 6 9269 9267</t>
  </si>
  <si>
    <t xml:space="preserve">Jaylen</t>
  </si>
  <si>
    <t xml:space="preserve">38755 Main Street</t>
  </si>
  <si>
    <t xml:space="preserve">+61 2 7694 5089</t>
  </si>
  <si>
    <t xml:space="preserve">Harris</t>
  </si>
  <si>
    <t xml:space="preserve">65790 Elizabeth Street</t>
  </si>
  <si>
    <t xml:space="preserve">+61 2 7851 1671</t>
  </si>
  <si>
    <t xml:space="preserve">Grayson</t>
  </si>
  <si>
    <t xml:space="preserve">73823 Main Street</t>
  </si>
  <si>
    <t xml:space="preserve">+61 3 9040 1489</t>
  </si>
  <si>
    <t xml:space="preserve">Pope</t>
  </si>
  <si>
    <t xml:space="preserve">88466 Park Avenue</t>
  </si>
  <si>
    <t xml:space="preserve">+61 2 2126 8323</t>
  </si>
  <si>
    <t xml:space="preserve">Savage</t>
  </si>
  <si>
    <t xml:space="preserve">34956 Main Street</t>
  </si>
  <si>
    <t xml:space="preserve">+61 9 1687 9155</t>
  </si>
  <si>
    <t xml:space="preserve">Rogers</t>
  </si>
  <si>
    <t xml:space="preserve">Phoebe</t>
  </si>
  <si>
    <t xml:space="preserve">10602 Park Avenue</t>
  </si>
  <si>
    <t xml:space="preserve">+61 9 4712 8943</t>
  </si>
  <si>
    <t xml:space="preserve">69103 Main Street</t>
  </si>
  <si>
    <t xml:space="preserve">+61 6 4370 9711</t>
  </si>
  <si>
    <t xml:space="preserve">98172 King Street</t>
  </si>
  <si>
    <t xml:space="preserve">+61 3 8764 9868</t>
  </si>
  <si>
    <t xml:space="preserve">Peck</t>
  </si>
  <si>
    <t xml:space="preserve">Sophie</t>
  </si>
  <si>
    <t xml:space="preserve">26157 Elizabeth Street</t>
  </si>
  <si>
    <t xml:space="preserve">+61 8 7556 9184</t>
  </si>
  <si>
    <t xml:space="preserve">Javier</t>
  </si>
  <si>
    <t xml:space="preserve">6441 Main Street</t>
  </si>
  <si>
    <t xml:space="preserve">+61 4 4875 7688</t>
  </si>
  <si>
    <t xml:space="preserve">Welch</t>
  </si>
  <si>
    <t xml:space="preserve">98446 George Street</t>
  </si>
  <si>
    <t xml:space="preserve">+61 2 4260 2352</t>
  </si>
  <si>
    <t xml:space="preserve">49060 Elizabeth Street</t>
  </si>
  <si>
    <t xml:space="preserve">+61 4 6987 7057</t>
  </si>
  <si>
    <t xml:space="preserve">Moran</t>
  </si>
  <si>
    <t xml:space="preserve">43394 Park Avenue</t>
  </si>
  <si>
    <t xml:space="preserve">+61 9 4206 6827</t>
  </si>
  <si>
    <t xml:space="preserve">Mayo</t>
  </si>
  <si>
    <t xml:space="preserve">Octavia</t>
  </si>
  <si>
    <t xml:space="preserve">1/21/2024</t>
  </si>
  <si>
    <t xml:space="preserve">12774 George Street</t>
  </si>
  <si>
    <t xml:space="preserve">+61 4 2501 5784</t>
  </si>
  <si>
    <t xml:space="preserve">Cortéz</t>
  </si>
  <si>
    <t xml:space="preserve">10582 King Street</t>
  </si>
  <si>
    <t xml:space="preserve">+61 6 1149 1612</t>
  </si>
  <si>
    <t xml:space="preserve">20265 Main Street</t>
  </si>
  <si>
    <t xml:space="preserve">+61 3 3870 1467</t>
  </si>
  <si>
    <t xml:space="preserve">Bravo</t>
  </si>
  <si>
    <t xml:space="preserve">86175 Park Avenue</t>
  </si>
  <si>
    <t xml:space="preserve">+61 6 3470 5178</t>
  </si>
  <si>
    <t xml:space="preserve">38559 Park Avenue</t>
  </si>
  <si>
    <t xml:space="preserve">+61 4 6516 9335</t>
  </si>
  <si>
    <t xml:space="preserve">24047 Elizabeth Street</t>
  </si>
  <si>
    <t xml:space="preserve">+61 5 8849 1486</t>
  </si>
  <si>
    <t xml:space="preserve">41937 Main Street</t>
  </si>
  <si>
    <t xml:space="preserve">+61 2 2369 2495</t>
  </si>
  <si>
    <t xml:space="preserve">Sabrina</t>
  </si>
  <si>
    <t xml:space="preserve">73258 Main Street</t>
  </si>
  <si>
    <t xml:space="preserve">+61 3 4213 2277</t>
  </si>
  <si>
    <t xml:space="preserve">12802 Elizabeth Street</t>
  </si>
  <si>
    <t xml:space="preserve">+61 9 6424 8596</t>
  </si>
  <si>
    <t xml:space="preserve">Augustus</t>
  </si>
  <si>
    <t xml:space="preserve">31474 Main Street</t>
  </si>
  <si>
    <t xml:space="preserve">+61 9 4249 8446</t>
  </si>
  <si>
    <t xml:space="preserve">Burns</t>
  </si>
  <si>
    <t xml:space="preserve">41325 Main Street</t>
  </si>
  <si>
    <t xml:space="preserve">+61 5 1589 6261</t>
  </si>
  <si>
    <t xml:space="preserve">Joel</t>
  </si>
  <si>
    <t xml:space="preserve">97965 King Street</t>
  </si>
  <si>
    <t xml:space="preserve">+61 9 7681 1146</t>
  </si>
  <si>
    <t xml:space="preserve">52512 Park Avenue</t>
  </si>
  <si>
    <t xml:space="preserve">+61 7 6601 3853</t>
  </si>
  <si>
    <t xml:space="preserve">Remington</t>
  </si>
  <si>
    <t xml:space="preserve">1772 Park Avenue</t>
  </si>
  <si>
    <t xml:space="preserve">+61 4 7987 3390</t>
  </si>
  <si>
    <t xml:space="preserve">Stone</t>
  </si>
  <si>
    <t xml:space="preserve">57145 Elizabeth Street</t>
  </si>
  <si>
    <t xml:space="preserve">+61 6 2131 5934</t>
  </si>
  <si>
    <t xml:space="preserve">Francesca</t>
  </si>
  <si>
    <t xml:space="preserve">29374 Park Avenue</t>
  </si>
  <si>
    <t xml:space="preserve">+61 5 5612 7005</t>
  </si>
  <si>
    <t xml:space="preserve">Eaton</t>
  </si>
  <si>
    <t xml:space="preserve">Violet</t>
  </si>
  <si>
    <t xml:space="preserve">8/4/2024</t>
  </si>
  <si>
    <t xml:space="preserve">41634 Elizabeth Street</t>
  </si>
  <si>
    <t xml:space="preserve">+61 7 2472 7638</t>
  </si>
  <si>
    <t xml:space="preserve">Journee</t>
  </si>
  <si>
    <t xml:space="preserve">95129 Main Street</t>
  </si>
  <si>
    <t xml:space="preserve">+61 9 9580 4342</t>
  </si>
  <si>
    <t xml:space="preserve">82047 King Street</t>
  </si>
  <si>
    <t xml:space="preserve">+61 4 9972 2543</t>
  </si>
  <si>
    <t xml:space="preserve">Hill</t>
  </si>
  <si>
    <t xml:space="preserve">Valentina</t>
  </si>
  <si>
    <t xml:space="preserve">72623 King Street</t>
  </si>
  <si>
    <t xml:space="preserve">+61 9 9752 3166</t>
  </si>
  <si>
    <t xml:space="preserve">Gordon</t>
  </si>
  <si>
    <t xml:space="preserve">Jett</t>
  </si>
  <si>
    <t xml:space="preserve">18905 King Street</t>
  </si>
  <si>
    <t xml:space="preserve">+61 6 8793 2531</t>
  </si>
  <si>
    <t xml:space="preserve">Hobbs</t>
  </si>
  <si>
    <t xml:space="preserve">Adalyn</t>
  </si>
  <si>
    <t xml:space="preserve">31139 King Street</t>
  </si>
  <si>
    <t xml:space="preserve">+61 7 5330 8702</t>
  </si>
  <si>
    <t xml:space="preserve">99266 George Street</t>
  </si>
  <si>
    <t xml:space="preserve">+61 8 3368 6261</t>
  </si>
  <si>
    <t xml:space="preserve">83006 Elizabeth Street</t>
  </si>
  <si>
    <t xml:space="preserve">+61 6 1534 6522</t>
  </si>
  <si>
    <t xml:space="preserve">Atkinson</t>
  </si>
  <si>
    <t xml:space="preserve">Jose</t>
  </si>
  <si>
    <t xml:space="preserve">37369 George Street</t>
  </si>
  <si>
    <t xml:space="preserve">+61 6 3573 9723</t>
  </si>
  <si>
    <t xml:space="preserve">Knapp</t>
  </si>
  <si>
    <t xml:space="preserve">4447 George Street</t>
  </si>
  <si>
    <t xml:space="preserve">+61 8 2553 2421</t>
  </si>
  <si>
    <t xml:space="preserve">Ventura</t>
  </si>
  <si>
    <t xml:space="preserve">24277 Elizabeth Street</t>
  </si>
  <si>
    <t xml:space="preserve">+61 9 8720 1659</t>
  </si>
  <si>
    <t xml:space="preserve">22479 Main Street</t>
  </si>
  <si>
    <t xml:space="preserve">+61 4 4786 6051</t>
  </si>
  <si>
    <t xml:space="preserve">Zoey</t>
  </si>
  <si>
    <t xml:space="preserve">35329 Elizabeth Street</t>
  </si>
  <si>
    <t xml:space="preserve">+61 4 1098 2552</t>
  </si>
  <si>
    <t xml:space="preserve">31117 King Street</t>
  </si>
  <si>
    <t xml:space="preserve">+61 4 9140 7079</t>
  </si>
  <si>
    <t xml:space="preserve">House</t>
  </si>
  <si>
    <t xml:space="preserve">Willow</t>
  </si>
  <si>
    <t xml:space="preserve">18201 Elizabeth Street</t>
  </si>
  <si>
    <t xml:space="preserve">+61 6 4204 1257</t>
  </si>
  <si>
    <t xml:space="preserve">Vargas</t>
  </si>
  <si>
    <t xml:space="preserve">Zayden</t>
  </si>
  <si>
    <t xml:space="preserve">51227 George Street</t>
  </si>
  <si>
    <t xml:space="preserve">+61 8 9465 2211</t>
  </si>
  <si>
    <t xml:space="preserve">Royalty</t>
  </si>
  <si>
    <t xml:space="preserve">39992 Elizabeth Street</t>
  </si>
  <si>
    <t xml:space="preserve">+61 7 2486 2244</t>
  </si>
  <si>
    <t xml:space="preserve">Mcdonald</t>
  </si>
  <si>
    <t xml:space="preserve">Adrian</t>
  </si>
  <si>
    <t xml:space="preserve">3725 Main Street</t>
  </si>
  <si>
    <t xml:space="preserve">+61 8 1957 2694</t>
  </si>
  <si>
    <t xml:space="preserve">Leblanc</t>
  </si>
  <si>
    <t xml:space="preserve">77203 King Street</t>
  </si>
  <si>
    <t xml:space="preserve">+61 2 7016 1161</t>
  </si>
  <si>
    <t xml:space="preserve">46847 George Street</t>
  </si>
  <si>
    <t xml:space="preserve">+61 8 6245 1660</t>
  </si>
  <si>
    <t xml:space="preserve">Bishop</t>
  </si>
  <si>
    <t xml:space="preserve">61770 George Street</t>
  </si>
  <si>
    <t xml:space="preserve">+61 6 8214 9657</t>
  </si>
  <si>
    <t xml:space="preserve">30338 Elizabeth Street</t>
  </si>
  <si>
    <t xml:space="preserve">+61 9 3905 3692</t>
  </si>
  <si>
    <t xml:space="preserve">Mack</t>
  </si>
  <si>
    <t xml:space="preserve">6/22/2024</t>
  </si>
  <si>
    <t xml:space="preserve">33555 Park Avenue</t>
  </si>
  <si>
    <t xml:space="preserve">+61 8 4556 9126</t>
  </si>
  <si>
    <t xml:space="preserve">Chung</t>
  </si>
  <si>
    <t xml:space="preserve">Remi</t>
  </si>
  <si>
    <t xml:space="preserve">17812 King Street</t>
  </si>
  <si>
    <t xml:space="preserve">+61 9 7251 1132</t>
  </si>
  <si>
    <t xml:space="preserve">Nixon</t>
  </si>
  <si>
    <t xml:space="preserve">Eleanor</t>
  </si>
  <si>
    <t xml:space="preserve">80427 Elizabeth Street</t>
  </si>
  <si>
    <t xml:space="preserve">+61 2 9938 7426</t>
  </si>
  <si>
    <t xml:space="preserve">18009 Park Avenue</t>
  </si>
  <si>
    <t xml:space="preserve">+61 3 8124 4969</t>
  </si>
  <si>
    <t xml:space="preserve">Calhoun</t>
  </si>
  <si>
    <t xml:space="preserve">Aubree</t>
  </si>
  <si>
    <t xml:space="preserve">50662 Elizabeth Street</t>
  </si>
  <si>
    <t xml:space="preserve">+61 6 9102 1179</t>
  </si>
  <si>
    <t xml:space="preserve">90489 Elizabeth Street</t>
  </si>
  <si>
    <t xml:space="preserve">+61 4 9457 9775</t>
  </si>
  <si>
    <t xml:space="preserve">Cabrera</t>
  </si>
  <si>
    <t xml:space="preserve">Kira</t>
  </si>
  <si>
    <t xml:space="preserve">65499 George Street</t>
  </si>
  <si>
    <t xml:space="preserve">+61 9 6345 5487</t>
  </si>
  <si>
    <t xml:space="preserve">Reynolds</t>
  </si>
  <si>
    <t xml:space="preserve">10/13/2024</t>
  </si>
  <si>
    <t xml:space="preserve">17645 Park Avenue</t>
  </si>
  <si>
    <t xml:space="preserve">+61 2 2551 6310</t>
  </si>
  <si>
    <t xml:space="preserve">Luis</t>
  </si>
  <si>
    <t xml:space="preserve">82462 King Street</t>
  </si>
  <si>
    <t xml:space="preserve">+61 8 9576 4400</t>
  </si>
  <si>
    <t xml:space="preserve">Willis</t>
  </si>
  <si>
    <t xml:space="preserve">42423 George Street</t>
  </si>
  <si>
    <t xml:space="preserve">+61 4 8456 7645</t>
  </si>
  <si>
    <t xml:space="preserve">2090 Elizabeth Street</t>
  </si>
  <si>
    <t xml:space="preserve">+61 4 4268 7371</t>
  </si>
  <si>
    <t xml:space="preserve">Marsh</t>
  </si>
  <si>
    <t xml:space="preserve">51748 George Street</t>
  </si>
  <si>
    <t xml:space="preserve">+61 5 6116 8150</t>
  </si>
  <si>
    <t xml:space="preserve">Whitaker</t>
  </si>
  <si>
    <t xml:space="preserve">79152 King Street</t>
  </si>
  <si>
    <t xml:space="preserve">+61 8 8499 6554</t>
  </si>
  <si>
    <t xml:space="preserve">6/29/2024</t>
  </si>
  <si>
    <t xml:space="preserve">99259 Elizabeth Street</t>
  </si>
  <si>
    <t xml:space="preserve">+61 3 8916 7488</t>
  </si>
  <si>
    <t xml:space="preserve">37095 Elizabeth Street</t>
  </si>
  <si>
    <t xml:space="preserve">+61 8 7837 8020</t>
  </si>
  <si>
    <t xml:space="preserve">21531 Park Avenue</t>
  </si>
  <si>
    <t xml:space="preserve">+61 7 3660 9589</t>
  </si>
  <si>
    <t xml:space="preserve">Jefferson</t>
  </si>
  <si>
    <t xml:space="preserve">Delaney</t>
  </si>
  <si>
    <t xml:space="preserve">77541 Elizabeth Street</t>
  </si>
  <si>
    <t xml:space="preserve">+61 7 1029 8957</t>
  </si>
  <si>
    <t xml:space="preserve">Callan</t>
  </si>
  <si>
    <t xml:space="preserve">69964 George Street</t>
  </si>
  <si>
    <t xml:space="preserve">+61 5 2857 2489</t>
  </si>
  <si>
    <t xml:space="preserve">63608 George Street</t>
  </si>
  <si>
    <t xml:space="preserve">+61 6 1261 1472</t>
  </si>
  <si>
    <t xml:space="preserve">Danielle</t>
  </si>
  <si>
    <t xml:space="preserve">6491 Elizabeth Street</t>
  </si>
  <si>
    <t xml:space="preserve">+61 9 2370 1410</t>
  </si>
  <si>
    <t xml:space="preserve">West</t>
  </si>
  <si>
    <t xml:space="preserve">22837 Park Avenue</t>
  </si>
  <si>
    <t xml:space="preserve">+61 5 6542 4896</t>
  </si>
  <si>
    <t xml:space="preserve">Mueller</t>
  </si>
  <si>
    <t xml:space="preserve">Poppy</t>
  </si>
  <si>
    <t xml:space="preserve">96730 George Street</t>
  </si>
  <si>
    <t xml:space="preserve">+61 2 1382 4652</t>
  </si>
  <si>
    <t xml:space="preserve">Mann</t>
  </si>
  <si>
    <t xml:space="preserve">Cody</t>
  </si>
  <si>
    <t xml:space="preserve">76873 George Street</t>
  </si>
  <si>
    <t xml:space="preserve">+61 8 1457 1376</t>
  </si>
  <si>
    <t xml:space="preserve">Simmons</t>
  </si>
  <si>
    <t xml:space="preserve">74288 Park Avenue</t>
  </si>
  <si>
    <t xml:space="preserve">+61 9 4300 9324</t>
  </si>
  <si>
    <t xml:space="preserve">66485 Elizabeth Street</t>
  </si>
  <si>
    <t xml:space="preserve">+61 6 7447 5150</t>
  </si>
  <si>
    <t xml:space="preserve">38273 Main Street</t>
  </si>
  <si>
    <t xml:space="preserve">+61 6 2685 5577</t>
  </si>
  <si>
    <t xml:space="preserve">33105 Elizabeth Street</t>
  </si>
  <si>
    <t xml:space="preserve">+61 7 8100 4537</t>
  </si>
  <si>
    <t xml:space="preserve">Davila</t>
  </si>
  <si>
    <t xml:space="preserve">97891 Main Street</t>
  </si>
  <si>
    <t xml:space="preserve">+61 6 6625 6354</t>
  </si>
  <si>
    <t xml:space="preserve">Tristan</t>
  </si>
  <si>
    <t xml:space="preserve">14344 Elizabeth Street</t>
  </si>
  <si>
    <t xml:space="preserve">+61 7 6964 2128</t>
  </si>
  <si>
    <t xml:space="preserve">93051 Main Street</t>
  </si>
  <si>
    <t xml:space="preserve">+61 2 9772 2108</t>
  </si>
  <si>
    <t xml:space="preserve">Mckenzie</t>
  </si>
  <si>
    <t xml:space="preserve">8735 Elizabeth Street</t>
  </si>
  <si>
    <t xml:space="preserve">+61 7 6989 9907</t>
  </si>
  <si>
    <t xml:space="preserve">96040 Main Street</t>
  </si>
  <si>
    <t xml:space="preserve">+61 5 3704 2340</t>
  </si>
  <si>
    <t xml:space="preserve">Khan</t>
  </si>
  <si>
    <t xml:space="preserve">87526 Elizabeth Street</t>
  </si>
  <si>
    <t xml:space="preserve">+61 8 2027 9658</t>
  </si>
  <si>
    <t xml:space="preserve">12472 Park Avenue</t>
  </si>
  <si>
    <t xml:space="preserve">+61 8 2544 7021</t>
  </si>
  <si>
    <t xml:space="preserve">Caldwell</t>
  </si>
  <si>
    <t xml:space="preserve">66602 George Street</t>
  </si>
  <si>
    <t xml:space="preserve">+61 3 4076 1723</t>
  </si>
  <si>
    <t xml:space="preserve">Fernandez</t>
  </si>
  <si>
    <t xml:space="preserve">24441 King Street</t>
  </si>
  <si>
    <t xml:space="preserve">+61 5 2716 1025</t>
  </si>
  <si>
    <t xml:space="preserve">Catherine</t>
  </si>
  <si>
    <t xml:space="preserve">62727 George Street</t>
  </si>
  <si>
    <t xml:space="preserve">+61 7 1678 2149</t>
  </si>
  <si>
    <t xml:space="preserve">Beckett</t>
  </si>
  <si>
    <t xml:space="preserve">80988 George Street</t>
  </si>
  <si>
    <t xml:space="preserve">+61 7 2525 5620</t>
  </si>
  <si>
    <t xml:space="preserve">Muhammad</t>
  </si>
  <si>
    <t xml:space="preserve">35453 George Street</t>
  </si>
  <si>
    <t xml:space="preserve">+61 3 5001 2543</t>
  </si>
  <si>
    <t xml:space="preserve">Hampton</t>
  </si>
  <si>
    <t xml:space="preserve">41356 Main Street</t>
  </si>
  <si>
    <t xml:space="preserve">+61 9 1915 9558</t>
  </si>
  <si>
    <t xml:space="preserve">6696 George Street</t>
  </si>
  <si>
    <t xml:space="preserve">+61 7 6474 6743</t>
  </si>
  <si>
    <t xml:space="preserve">Muñoz</t>
  </si>
  <si>
    <t xml:space="preserve">Carmen</t>
  </si>
  <si>
    <t xml:space="preserve">12924 King Street</t>
  </si>
  <si>
    <t xml:space="preserve">+61 5 8722 8622</t>
  </si>
  <si>
    <t xml:space="preserve">27753 George Street</t>
  </si>
  <si>
    <t xml:space="preserve">+61 3 9236 9224</t>
  </si>
  <si>
    <t xml:space="preserve">58734 George Street</t>
  </si>
  <si>
    <t xml:space="preserve">+61 4 5660 5602</t>
  </si>
  <si>
    <t xml:space="preserve">12/17/2024</t>
  </si>
  <si>
    <t xml:space="preserve">29627 Park Avenue</t>
  </si>
  <si>
    <t xml:space="preserve">+61 3 8458 9206</t>
  </si>
  <si>
    <t xml:space="preserve">Kenneth</t>
  </si>
  <si>
    <t xml:space="preserve">23915 Main Street</t>
  </si>
  <si>
    <t xml:space="preserve">+61 9 7263 1554</t>
  </si>
  <si>
    <t xml:space="preserve">74187 Park Avenue</t>
  </si>
  <si>
    <t xml:space="preserve">+61 9 5313 7834</t>
  </si>
  <si>
    <t xml:space="preserve">60360 Elizabeth Street</t>
  </si>
  <si>
    <t xml:space="preserve">+61 7 6496 3019</t>
  </si>
  <si>
    <t xml:space="preserve">Gutierrez</t>
  </si>
  <si>
    <t xml:space="preserve">12/26/2024</t>
  </si>
  <si>
    <t xml:space="preserve">10042 Main Street</t>
  </si>
  <si>
    <t xml:space="preserve">+61 3 6435 5221</t>
  </si>
  <si>
    <t xml:space="preserve">Andy</t>
  </si>
  <si>
    <t xml:space="preserve">10/18/2024</t>
  </si>
  <si>
    <t xml:space="preserve">55312 Elizabeth Street</t>
  </si>
  <si>
    <t xml:space="preserve">+61 3 6317 5400</t>
  </si>
  <si>
    <t xml:space="preserve">88725 Main Street</t>
  </si>
  <si>
    <t xml:space="preserve">+61 9 4614 9272</t>
  </si>
  <si>
    <t xml:space="preserve">Boyd</t>
  </si>
  <si>
    <t xml:space="preserve">Evangeline</t>
  </si>
  <si>
    <t xml:space="preserve">6/18/2024</t>
  </si>
  <si>
    <t xml:space="preserve">65476 Elizabeth Street</t>
  </si>
  <si>
    <t xml:space="preserve">+61 8 7753 1063</t>
  </si>
  <si>
    <t xml:space="preserve">84763 Main Street</t>
  </si>
  <si>
    <t xml:space="preserve">+61 6 2285 4536</t>
  </si>
  <si>
    <t xml:space="preserve">Moses</t>
  </si>
  <si>
    <t xml:space="preserve">Gabriella</t>
  </si>
  <si>
    <t xml:space="preserve">97966 Park Avenue</t>
  </si>
  <si>
    <t xml:space="preserve">+61 6 3619 8646</t>
  </si>
  <si>
    <t xml:space="preserve">82748 Main Street</t>
  </si>
  <si>
    <t xml:space="preserve">+61 4 7926 6885</t>
  </si>
  <si>
    <t xml:space="preserve">80664 Main Street</t>
  </si>
  <si>
    <t xml:space="preserve">+61 8 5225 8136</t>
  </si>
  <si>
    <t xml:space="preserve">Esparza</t>
  </si>
  <si>
    <t xml:space="preserve">85585 King Street</t>
  </si>
  <si>
    <t xml:space="preserve">+61 8 1343 4176</t>
  </si>
  <si>
    <t xml:space="preserve">6792 Main Street</t>
  </si>
  <si>
    <t xml:space="preserve">+61 4 1099 4435</t>
  </si>
  <si>
    <t xml:space="preserve">61 Main Street</t>
  </si>
  <si>
    <t xml:space="preserve">+61 9 1320 6044</t>
  </si>
  <si>
    <t xml:space="preserve">Tobias</t>
  </si>
  <si>
    <t xml:space="preserve">64653 Main Street</t>
  </si>
  <si>
    <t xml:space="preserve">+61 7 4701 8525</t>
  </si>
  <si>
    <t xml:space="preserve">Floyd</t>
  </si>
  <si>
    <t xml:space="preserve">12837 Park Avenue</t>
  </si>
  <si>
    <t xml:space="preserve">+61 6 2990 2237</t>
  </si>
  <si>
    <t xml:space="preserve">Rojas</t>
  </si>
  <si>
    <t xml:space="preserve">60582 Main Street</t>
  </si>
  <si>
    <t xml:space="preserve">+61 7 4788 5724</t>
  </si>
  <si>
    <t xml:space="preserve">82639 King Street</t>
  </si>
  <si>
    <t xml:space="preserve">+61 3 1117 8287</t>
  </si>
  <si>
    <t xml:space="preserve">17374 Main Street</t>
  </si>
  <si>
    <t xml:space="preserve">+61 7 9795 2807</t>
  </si>
  <si>
    <t xml:space="preserve">90072 King Street</t>
  </si>
  <si>
    <t xml:space="preserve">+61 5 2900 1453</t>
  </si>
  <si>
    <t xml:space="preserve">50131 Park Avenue</t>
  </si>
  <si>
    <t xml:space="preserve">+61 5 9903 5751</t>
  </si>
  <si>
    <t xml:space="preserve">Dunn</t>
  </si>
  <si>
    <t xml:space="preserve">24948 Park Avenue</t>
  </si>
  <si>
    <t xml:space="preserve">+61 6 5580 9209</t>
  </si>
  <si>
    <t xml:space="preserve">Kelley</t>
  </si>
  <si>
    <t xml:space="preserve">21920 Main Street</t>
  </si>
  <si>
    <t xml:space="preserve">+61 7 3713 2712</t>
  </si>
  <si>
    <t xml:space="preserve">60295 Park Avenue</t>
  </si>
  <si>
    <t xml:space="preserve">+61 5 7778 4107</t>
  </si>
  <si>
    <t xml:space="preserve">Kevin</t>
  </si>
  <si>
    <t xml:space="preserve">7319 Elizabeth Street</t>
  </si>
  <si>
    <t xml:space="preserve">+61 6 2311 7542</t>
  </si>
  <si>
    <t xml:space="preserve">Gardner</t>
  </si>
  <si>
    <t xml:space="preserve">92135 Park Avenue</t>
  </si>
  <si>
    <t xml:space="preserve">+61 4 6394 1630</t>
  </si>
  <si>
    <t xml:space="preserve">Winter</t>
  </si>
  <si>
    <t xml:space="preserve">45245 King Street</t>
  </si>
  <si>
    <t xml:space="preserve">+61 9 2131 1244</t>
  </si>
  <si>
    <t xml:space="preserve">97105 Park Avenue</t>
  </si>
  <si>
    <t xml:space="preserve">+61 4 4597 6472</t>
  </si>
  <si>
    <t xml:space="preserve">Melton</t>
  </si>
  <si>
    <t xml:space="preserve">88585 Main Street</t>
  </si>
  <si>
    <t xml:space="preserve">+61 8 5453 8533</t>
  </si>
  <si>
    <t xml:space="preserve">Suarez</t>
  </si>
  <si>
    <t xml:space="preserve">42015 Main Street</t>
  </si>
  <si>
    <t xml:space="preserve">+61 6 9989 9472</t>
  </si>
  <si>
    <t xml:space="preserve">Merritt</t>
  </si>
  <si>
    <t xml:space="preserve">Ezra</t>
  </si>
  <si>
    <t xml:space="preserve">5/20/2024</t>
  </si>
  <si>
    <t xml:space="preserve">64060 Park Avenue</t>
  </si>
  <si>
    <t xml:space="preserve">+61 7 3737 7757</t>
  </si>
  <si>
    <t xml:space="preserve">55106 George Street</t>
  </si>
  <si>
    <t xml:space="preserve">+61 6 2788 7937</t>
  </si>
  <si>
    <t xml:space="preserve">81501 George Street</t>
  </si>
  <si>
    <t xml:space="preserve">+61 9 4399 2405</t>
  </si>
  <si>
    <t xml:space="preserve">Uriel</t>
  </si>
  <si>
    <t xml:space="preserve">91761 Main Street</t>
  </si>
  <si>
    <t xml:space="preserve">+61 3 2484 4174</t>
  </si>
  <si>
    <t xml:space="preserve">Stella</t>
  </si>
  <si>
    <t xml:space="preserve">35914 Elizabeth Street</t>
  </si>
  <si>
    <t xml:space="preserve">+61 6 9053 9128</t>
  </si>
  <si>
    <t xml:space="preserve">4/10/2024</t>
  </si>
  <si>
    <t xml:space="preserve">53193 Park Avenue</t>
  </si>
  <si>
    <t xml:space="preserve">+61 4 3324 8517</t>
  </si>
  <si>
    <t xml:space="preserve">12522 Park Avenue</t>
  </si>
  <si>
    <t xml:space="preserve">+61 4 7253 6518</t>
  </si>
  <si>
    <t xml:space="preserve">36027 George Street</t>
  </si>
  <si>
    <t xml:space="preserve">+61 5 3204 3367</t>
  </si>
  <si>
    <t xml:space="preserve">Armstrong</t>
  </si>
  <si>
    <t xml:space="preserve">81100 King Street</t>
  </si>
  <si>
    <t xml:space="preserve">+61 3 9151 1956</t>
  </si>
  <si>
    <t xml:space="preserve">89174 George Street</t>
  </si>
  <si>
    <t xml:space="preserve">+61 6 3844 8232</t>
  </si>
  <si>
    <t xml:space="preserve">Angelo</t>
  </si>
  <si>
    <t xml:space="preserve">74531 Main Street</t>
  </si>
  <si>
    <t xml:space="preserve">+61 6 8464 1720</t>
  </si>
  <si>
    <t xml:space="preserve">Ruth</t>
  </si>
  <si>
    <t xml:space="preserve">23943 Park Avenue</t>
  </si>
  <si>
    <t xml:space="preserve">+61 5 2454 7375</t>
  </si>
  <si>
    <t xml:space="preserve">24211 King Street</t>
  </si>
  <si>
    <t xml:space="preserve">+61 8 3726 3115</t>
  </si>
  <si>
    <t xml:space="preserve">12642 Elizabeth Street</t>
  </si>
  <si>
    <t xml:space="preserve">+61 2 4360 3933</t>
  </si>
  <si>
    <t xml:space="preserve">Clements</t>
  </si>
  <si>
    <t xml:space="preserve">Blair</t>
  </si>
  <si>
    <t xml:space="preserve">35284 Elizabeth Street</t>
  </si>
  <si>
    <t xml:space="preserve">+61 7 9552 2775</t>
  </si>
  <si>
    <t xml:space="preserve">Butler</t>
  </si>
  <si>
    <t xml:space="preserve">Natalie</t>
  </si>
  <si>
    <t xml:space="preserve">53445 George Street</t>
  </si>
  <si>
    <t xml:space="preserve">+61 7 6139 7130</t>
  </si>
  <si>
    <t xml:space="preserve">Patel</t>
  </si>
  <si>
    <t xml:space="preserve">59332 Main Street</t>
  </si>
  <si>
    <t xml:space="preserve">+61 2 2779 7465</t>
  </si>
  <si>
    <t xml:space="preserve">68826 King Street</t>
  </si>
  <si>
    <t xml:space="preserve">+61 4 9335 8082</t>
  </si>
  <si>
    <t xml:space="preserve">Holmes</t>
  </si>
  <si>
    <t xml:space="preserve">42213 Park Avenue</t>
  </si>
  <si>
    <t xml:space="preserve">+61 3 2507 8397</t>
  </si>
  <si>
    <t xml:space="preserve">42709 Main Street</t>
  </si>
  <si>
    <t xml:space="preserve">+61 8 7094 4903</t>
  </si>
  <si>
    <t xml:space="preserve">46201 Elizabeth Street</t>
  </si>
  <si>
    <t xml:space="preserve">+61 8 5129 7834</t>
  </si>
  <si>
    <t xml:space="preserve">Green</t>
  </si>
  <si>
    <t xml:space="preserve">97707 King Street</t>
  </si>
  <si>
    <t xml:space="preserve">+61 8 1903 8758</t>
  </si>
  <si>
    <t xml:space="preserve">Crew</t>
  </si>
  <si>
    <t xml:space="preserve">41150 Main Street</t>
  </si>
  <si>
    <t xml:space="preserve">+61 7 7694 6913</t>
  </si>
  <si>
    <t xml:space="preserve">Salinas</t>
  </si>
  <si>
    <t xml:space="preserve">59307 King Street</t>
  </si>
  <si>
    <t xml:space="preserve">+61 3 1902 6560</t>
  </si>
  <si>
    <t xml:space="preserve">Bond</t>
  </si>
  <si>
    <t xml:space="preserve">84856 Main Street</t>
  </si>
  <si>
    <t xml:space="preserve">+61 5 3178 5577</t>
  </si>
  <si>
    <t xml:space="preserve">49165 King Street</t>
  </si>
  <si>
    <t xml:space="preserve">+61 2 5468 5892</t>
  </si>
  <si>
    <t xml:space="preserve">Compton</t>
  </si>
  <si>
    <t xml:space="preserve">1339 Elizabeth Street</t>
  </si>
  <si>
    <t xml:space="preserve">+61 8 8824 7418</t>
  </si>
  <si>
    <t xml:space="preserve">Customer_ID</t>
  </si>
  <si>
    <t xml:space="preserve">First_Name</t>
  </si>
  <si>
    <t xml:space="preserve">Last_Name</t>
  </si>
  <si>
    <t xml:space="preserve">Service_Category</t>
  </si>
  <si>
    <t xml:space="preserve">Order_Date</t>
  </si>
  <si>
    <t xml:space="preserve">Month</t>
  </si>
  <si>
    <t xml:space="preserve">Quarter</t>
  </si>
  <si>
    <t xml:space="preserve">Quantity</t>
  </si>
  <si>
    <t xml:space="preserve">Order_Status</t>
  </si>
  <si>
    <t xml:space="preserve">Unit_Price</t>
  </si>
  <si>
    <t xml:space="preserve">Total_Sale</t>
  </si>
  <si>
    <t xml:space="preserve">Est_Cost</t>
  </si>
  <si>
    <t xml:space="preserve">Profit</t>
  </si>
  <si>
    <t xml:space="preserve">Margin_%</t>
  </si>
  <si>
    <t xml:space="preserve">2024-05-06</t>
  </si>
  <si>
    <t xml:space="preserve">May</t>
  </si>
  <si>
    <t xml:space="preserve">Q2</t>
  </si>
  <si>
    <t xml:space="preserve">2024-07-18</t>
  </si>
  <si>
    <t xml:space="preserve">July</t>
  </si>
  <si>
    <t xml:space="preserve">Q3</t>
  </si>
  <si>
    <t xml:space="preserve">2024-07-14</t>
  </si>
  <si>
    <t xml:space="preserve">2024-06-26</t>
  </si>
  <si>
    <t xml:space="preserve">2024-11-28</t>
  </si>
  <si>
    <t xml:space="preserve">November</t>
  </si>
  <si>
    <t xml:space="preserve">Q4</t>
  </si>
  <si>
    <t xml:space="preserve">2024-06-06</t>
  </si>
  <si>
    <t xml:space="preserve">2024-03-18</t>
  </si>
  <si>
    <t xml:space="preserve">March</t>
  </si>
  <si>
    <t xml:space="preserve">Q1</t>
  </si>
  <si>
    <t xml:space="preserve">2024-10-26</t>
  </si>
  <si>
    <t xml:space="preserve">October</t>
  </si>
  <si>
    <t xml:space="preserve">2024-02-08</t>
  </si>
  <si>
    <t xml:space="preserve">February</t>
  </si>
  <si>
    <t xml:space="preserve">2024-12-09</t>
  </si>
  <si>
    <t xml:space="preserve">December</t>
  </si>
  <si>
    <t xml:space="preserve">2024-05-02</t>
  </si>
  <si>
    <t xml:space="preserve">2024-01-25</t>
  </si>
  <si>
    <t xml:space="preserve">January</t>
  </si>
  <si>
    <t xml:space="preserve">2024-07-13</t>
  </si>
  <si>
    <t xml:space="preserve">2024-01-26</t>
  </si>
  <si>
    <t xml:space="preserve">2024-06-30</t>
  </si>
  <si>
    <t xml:space="preserve">2024-08-13</t>
  </si>
  <si>
    <t xml:space="preserve">2024-12-19</t>
  </si>
  <si>
    <t xml:space="preserve">2024-08-20</t>
  </si>
  <si>
    <t xml:space="preserve">2024-06-12</t>
  </si>
  <si>
    <t xml:space="preserve">2024-01-17</t>
  </si>
  <si>
    <t xml:space="preserve">2024-11-19</t>
  </si>
  <si>
    <t xml:space="preserve">2024-06-15</t>
  </si>
  <si>
    <t xml:space="preserve">2024-04-18</t>
  </si>
  <si>
    <t xml:space="preserve">April</t>
  </si>
  <si>
    <t xml:space="preserve">2024-01-28</t>
  </si>
  <si>
    <t xml:space="preserve">2024-09-23</t>
  </si>
  <si>
    <t xml:space="preserve">September</t>
  </si>
  <si>
    <t xml:space="preserve">2024-08-12</t>
  </si>
  <si>
    <t xml:space="preserve">2024-01-10</t>
  </si>
  <si>
    <t xml:space="preserve">2024-02-26</t>
  </si>
  <si>
    <t xml:space="preserve">2024-08-25</t>
  </si>
  <si>
    <t xml:space="preserve">2024-03-09</t>
  </si>
  <si>
    <t xml:space="preserve">2024-12-20</t>
  </si>
  <si>
    <t xml:space="preserve">2024-10-23</t>
  </si>
  <si>
    <t xml:space="preserve">2024-12-14</t>
  </si>
  <si>
    <t xml:space="preserve">2024-08-26</t>
  </si>
  <si>
    <t xml:space="preserve">2024-09-01</t>
  </si>
  <si>
    <t xml:space="preserve">2024-12-07</t>
  </si>
  <si>
    <t xml:space="preserve">2024-01-06</t>
  </si>
  <si>
    <t xml:space="preserve">2024-06-07</t>
  </si>
  <si>
    <t xml:space="preserve">2024-09-20</t>
  </si>
  <si>
    <t xml:space="preserve">2024-05-19</t>
  </si>
  <si>
    <t xml:space="preserve">2024-10-07</t>
  </si>
  <si>
    <t xml:space="preserve">2024-09-15</t>
  </si>
  <si>
    <t xml:space="preserve">2024-11-09</t>
  </si>
  <si>
    <t xml:space="preserve">2024-12-22</t>
  </si>
  <si>
    <t xml:space="preserve">2024-09-28</t>
  </si>
  <si>
    <t xml:space="preserve">2024-02-09</t>
  </si>
  <si>
    <t xml:space="preserve">2024-05-24</t>
  </si>
  <si>
    <t xml:space="preserve">2024-08-01</t>
  </si>
  <si>
    <t xml:space="preserve">2024-02-18</t>
  </si>
  <si>
    <t xml:space="preserve">2024-03-17</t>
  </si>
  <si>
    <t xml:space="preserve">2024-02-02</t>
  </si>
  <si>
    <t xml:space="preserve">2024-01-30</t>
  </si>
  <si>
    <t xml:space="preserve">2024-11-01</t>
  </si>
  <si>
    <t xml:space="preserve">2024-08-27</t>
  </si>
  <si>
    <t xml:space="preserve">2024-10-24</t>
  </si>
  <si>
    <t xml:space="preserve">2024-02-04</t>
  </si>
  <si>
    <t xml:space="preserve">2024-03-20</t>
  </si>
  <si>
    <t xml:space="preserve">2024-11-16</t>
  </si>
  <si>
    <t xml:space="preserve">2024-06-04</t>
  </si>
  <si>
    <t xml:space="preserve">2024-04-22</t>
  </si>
  <si>
    <t xml:space="preserve">2024-09-21</t>
  </si>
  <si>
    <t xml:space="preserve">2024-09-05</t>
  </si>
  <si>
    <t xml:space="preserve">2024-03-31</t>
  </si>
  <si>
    <t xml:space="preserve">2024-01-22</t>
  </si>
  <si>
    <t xml:space="preserve">2024-12-10</t>
  </si>
  <si>
    <t xml:space="preserve">2024-05-28</t>
  </si>
  <si>
    <t xml:space="preserve">2024-03-03</t>
  </si>
  <si>
    <t xml:space="preserve">2024-07-02</t>
  </si>
  <si>
    <t xml:space="preserve">2024-10-29</t>
  </si>
  <si>
    <t xml:space="preserve">2024-12-31</t>
  </si>
  <si>
    <t xml:space="preserve">2024-07-12</t>
  </si>
  <si>
    <t xml:space="preserve">2024-09-07</t>
  </si>
  <si>
    <t xml:space="preserve">2024-04-14</t>
  </si>
  <si>
    <t xml:space="preserve">2024-08-29</t>
  </si>
  <si>
    <t xml:space="preserve">2024-03-10</t>
  </si>
  <si>
    <t xml:space="preserve">2024-09-26</t>
  </si>
  <si>
    <t xml:space="preserve">2024-12-16</t>
  </si>
  <si>
    <t xml:space="preserve">2024-08-23</t>
  </si>
  <si>
    <t xml:space="preserve">2024-08-10</t>
  </si>
  <si>
    <t xml:space="preserve">2024-08-14</t>
  </si>
  <si>
    <t xml:space="preserve">2024-11-30</t>
  </si>
  <si>
    <t xml:space="preserve">2024-12-04</t>
  </si>
  <si>
    <t xml:space="preserve">2024-07-15</t>
  </si>
  <si>
    <t xml:space="preserve">2024-04-29</t>
  </si>
  <si>
    <t xml:space="preserve">2024-01-23</t>
  </si>
  <si>
    <t xml:space="preserve">2024-04-16</t>
  </si>
  <si>
    <t xml:space="preserve">2024-07-01</t>
  </si>
  <si>
    <t xml:space="preserve">2024-09-25</t>
  </si>
  <si>
    <t xml:space="preserve">2024-11-13</t>
  </si>
  <si>
    <t xml:space="preserve">2024-03-08</t>
  </si>
  <si>
    <t xml:space="preserve">2024-03-27</t>
  </si>
  <si>
    <t xml:space="preserve">2024-08-15</t>
  </si>
  <si>
    <t xml:space="preserve">2024-04-24</t>
  </si>
  <si>
    <t xml:space="preserve">2024-05-18</t>
  </si>
  <si>
    <t xml:space="preserve">2024-11-23</t>
  </si>
  <si>
    <t xml:space="preserve">2024-05-26</t>
  </si>
  <si>
    <t xml:space="preserve">2024-11-20</t>
  </si>
  <si>
    <t xml:space="preserve">2024-04-25</t>
  </si>
  <si>
    <t xml:space="preserve">2024-12-25</t>
  </si>
  <si>
    <t xml:space="preserve">2024-07-20</t>
  </si>
  <si>
    <t xml:space="preserve">2024-06-10</t>
  </si>
  <si>
    <t xml:space="preserve">2024-07-17</t>
  </si>
  <si>
    <t xml:space="preserve">2024-10-16</t>
  </si>
  <si>
    <t xml:space="preserve">2024-04-30</t>
  </si>
  <si>
    <t xml:space="preserve">2024-02-21</t>
  </si>
  <si>
    <t xml:space="preserve">2024-07-16</t>
  </si>
  <si>
    <t xml:space="preserve">2024-07-07</t>
  </si>
  <si>
    <t xml:space="preserve">2024-12-27</t>
  </si>
  <si>
    <t xml:space="preserve">2024-07-08</t>
  </si>
  <si>
    <t xml:space="preserve">2024-01-14</t>
  </si>
  <si>
    <t xml:space="preserve">2024-03-14</t>
  </si>
  <si>
    <t xml:space="preserve">2024-11-25</t>
  </si>
  <si>
    <t xml:space="preserve">2024-06-05</t>
  </si>
  <si>
    <t xml:space="preserve">2024-04-17</t>
  </si>
  <si>
    <t xml:space="preserve">2024-08-28</t>
  </si>
  <si>
    <t xml:space="preserve">2024-02-10</t>
  </si>
  <si>
    <t xml:space="preserve">2024-04-06</t>
  </si>
  <si>
    <t xml:space="preserve">2024-12-13</t>
  </si>
  <si>
    <t xml:space="preserve">2024-01-01</t>
  </si>
  <si>
    <t xml:space="preserve">2024-01-19</t>
  </si>
  <si>
    <t xml:space="preserve">2024-08-17</t>
  </si>
  <si>
    <t xml:space="preserve">2024-09-11</t>
  </si>
  <si>
    <t xml:space="preserve">2024-10-03</t>
  </si>
  <si>
    <t xml:space="preserve">2024-05-17</t>
  </si>
  <si>
    <t xml:space="preserve">2024-06-23</t>
  </si>
  <si>
    <t xml:space="preserve">2024-02-22</t>
  </si>
  <si>
    <t xml:space="preserve">2024-07-27</t>
  </si>
  <si>
    <t xml:space="preserve">2024-07-22</t>
  </si>
  <si>
    <t xml:space="preserve">2024-12-24</t>
  </si>
  <si>
    <t xml:space="preserve">2024-12-11</t>
  </si>
  <si>
    <t xml:space="preserve">2024-02-23</t>
  </si>
  <si>
    <t xml:space="preserve">2024-01-18</t>
  </si>
  <si>
    <t xml:space="preserve">2024-11-18</t>
  </si>
  <si>
    <t xml:space="preserve">2024-09-08</t>
  </si>
  <si>
    <t xml:space="preserve">2024-08-16</t>
  </si>
  <si>
    <t xml:space="preserve">2024-04-08</t>
  </si>
  <si>
    <t xml:space="preserve">2024-12-03</t>
  </si>
  <si>
    <t xml:space="preserve">2024-06-19</t>
  </si>
  <si>
    <t xml:space="preserve">2024-10-12</t>
  </si>
  <si>
    <t xml:space="preserve">2024-12-08</t>
  </si>
  <si>
    <t xml:space="preserve">2024-10-05</t>
  </si>
  <si>
    <t xml:space="preserve">2024-11-24</t>
  </si>
  <si>
    <t xml:space="preserve">2024-06-28</t>
  </si>
  <si>
    <t xml:space="preserve">2024-04-07</t>
  </si>
  <si>
    <t xml:space="preserve">2024-04-21</t>
  </si>
  <si>
    <t xml:space="preserve">2024-02-16</t>
  </si>
  <si>
    <t xml:space="preserve">2024-09-17</t>
  </si>
  <si>
    <t xml:space="preserve">2024-01-07</t>
  </si>
  <si>
    <t xml:space="preserve">2024-10-06</t>
  </si>
  <si>
    <t xml:space="preserve">2024-04-03</t>
  </si>
  <si>
    <t xml:space="preserve">2024-03-21</t>
  </si>
  <si>
    <t xml:space="preserve">2024-11-11</t>
  </si>
  <si>
    <t xml:space="preserve">2024-11-02</t>
  </si>
  <si>
    <t xml:space="preserve">2024-04-04</t>
  </si>
  <si>
    <t xml:space="preserve">2024-11-03</t>
  </si>
  <si>
    <t xml:space="preserve">2024-03-04</t>
  </si>
  <si>
    <t xml:space="preserve">2024-04-09</t>
  </si>
  <si>
    <t xml:space="preserve">2024-07-03</t>
  </si>
  <si>
    <t xml:space="preserve">2024-03-12</t>
  </si>
  <si>
    <t xml:space="preserve">2024-02-15</t>
  </si>
  <si>
    <t xml:space="preserve">2024-12-18</t>
  </si>
  <si>
    <t xml:space="preserve">2024-07-25</t>
  </si>
  <si>
    <t xml:space="preserve">2024-03-23</t>
  </si>
  <si>
    <t xml:space="preserve">2024-05-15</t>
  </si>
  <si>
    <t xml:space="preserve">2024-09-10</t>
  </si>
  <si>
    <t xml:space="preserve">2024-10-09</t>
  </si>
  <si>
    <t xml:space="preserve">2024-05-13</t>
  </si>
  <si>
    <t xml:space="preserve">2024-10-31</t>
  </si>
  <si>
    <t xml:space="preserve">2024-10-10</t>
  </si>
  <si>
    <t xml:space="preserve">2024-08-31</t>
  </si>
  <si>
    <t xml:space="preserve">2024-03-06</t>
  </si>
  <si>
    <t xml:space="preserve">2024-03-05</t>
  </si>
  <si>
    <t xml:space="preserve">2024-09-18</t>
  </si>
  <si>
    <t xml:space="preserve">2024-03-13</t>
  </si>
  <si>
    <t xml:space="preserve">2024-08-06</t>
  </si>
  <si>
    <t xml:space="preserve">2024-11-15</t>
  </si>
  <si>
    <t xml:space="preserve">2024-09-19</t>
  </si>
  <si>
    <t xml:space="preserve">2024-12-05</t>
  </si>
  <si>
    <t xml:space="preserve">2024-04-28</t>
  </si>
  <si>
    <t xml:space="preserve">2024-02-11</t>
  </si>
  <si>
    <t xml:space="preserve">2024-09-06</t>
  </si>
  <si>
    <t xml:space="preserve">2024-06-25</t>
  </si>
  <si>
    <t xml:space="preserve">2024-05-05</t>
  </si>
  <si>
    <t xml:space="preserve">2024-05-22</t>
  </si>
  <si>
    <t xml:space="preserve">2024-05-16</t>
  </si>
  <si>
    <t xml:space="preserve">2024-11-26</t>
  </si>
  <si>
    <t xml:space="preserve">2024-06-14</t>
  </si>
  <si>
    <t xml:space="preserve">2024-11-07</t>
  </si>
  <si>
    <t xml:space="preserve">2024-02-28</t>
  </si>
  <si>
    <t xml:space="preserve">2024-04-27</t>
  </si>
  <si>
    <t xml:space="preserve">2024-09-02</t>
  </si>
  <si>
    <t xml:space="preserve">2024-01-15</t>
  </si>
  <si>
    <t xml:space="preserve">2024-06-24</t>
  </si>
  <si>
    <t xml:space="preserve">2024-12-06</t>
  </si>
  <si>
    <t xml:space="preserve">2024-04-13</t>
  </si>
  <si>
    <t xml:space="preserve">2024-06-21</t>
  </si>
  <si>
    <t xml:space="preserve">2024-11-10</t>
  </si>
  <si>
    <t xml:space="preserve">2024-09-04</t>
  </si>
  <si>
    <t xml:space="preserve">2024-01-16</t>
  </si>
  <si>
    <t xml:space="preserve">2024-10-20</t>
  </si>
  <si>
    <t xml:space="preserve">2024-04-05</t>
  </si>
  <si>
    <t xml:space="preserve">2024-07-31</t>
  </si>
  <si>
    <t xml:space="preserve">2024-02-12</t>
  </si>
  <si>
    <t xml:space="preserve">2024-05-01</t>
  </si>
  <si>
    <t xml:space="preserve">2024-02-03</t>
  </si>
  <si>
    <t xml:space="preserve">2024-05-04</t>
  </si>
  <si>
    <t xml:space="preserve">2024-03-11</t>
  </si>
  <si>
    <t xml:space="preserve">2024-07-23</t>
  </si>
  <si>
    <t xml:space="preserve">2024-11-17</t>
  </si>
  <si>
    <t xml:space="preserve">2024-10-11</t>
  </si>
  <si>
    <t xml:space="preserve">2024-06-16</t>
  </si>
  <si>
    <t xml:space="preserve">2024-12-29</t>
  </si>
  <si>
    <t xml:space="preserve">2024-04-23</t>
  </si>
  <si>
    <t xml:space="preserve">2024-09-27</t>
  </si>
  <si>
    <t xml:space="preserve">2024-04-19</t>
  </si>
  <si>
    <t xml:space="preserve">2024-08-21</t>
  </si>
  <si>
    <t xml:space="preserve">2024-05-11</t>
  </si>
  <si>
    <t xml:space="preserve">2024-05-09</t>
  </si>
  <si>
    <t xml:space="preserve">2024-03-22</t>
  </si>
  <si>
    <t xml:space="preserve">2024-07-11</t>
  </si>
  <si>
    <t xml:space="preserve">2024-06-13</t>
  </si>
  <si>
    <t xml:space="preserve">2024-05-30</t>
  </si>
  <si>
    <t xml:space="preserve">2024-12-02</t>
  </si>
  <si>
    <t xml:space="preserve">2024-12-23</t>
  </si>
  <si>
    <t xml:space="preserve">2024-12-30</t>
  </si>
  <si>
    <t xml:space="preserve">2024-02-24</t>
  </si>
  <si>
    <t xml:space="preserve">2024-06-17</t>
  </si>
  <si>
    <t xml:space="preserve">2024-03-28</t>
  </si>
  <si>
    <t xml:space="preserve">2024-11-08</t>
  </si>
  <si>
    <t xml:space="preserve">2024-09-29</t>
  </si>
  <si>
    <t xml:space="preserve">2024-10-25</t>
  </si>
  <si>
    <t xml:space="preserve">2024-07-10</t>
  </si>
  <si>
    <t xml:space="preserve">2024-08-03</t>
  </si>
  <si>
    <t xml:space="preserve">2024-11-22</t>
  </si>
  <si>
    <t xml:space="preserve">2024-06-03</t>
  </si>
  <si>
    <t xml:space="preserve">2024-08-02</t>
  </si>
  <si>
    <t xml:space="preserve">2024-05-29</t>
  </si>
  <si>
    <t xml:space="preserve">2024-10-17</t>
  </si>
  <si>
    <t xml:space="preserve">2024-02-27</t>
  </si>
  <si>
    <t xml:space="preserve">2024-03-02</t>
  </si>
  <si>
    <t xml:space="preserve">2024-03-19</t>
  </si>
  <si>
    <t xml:space="preserve">2024-07-28</t>
  </si>
  <si>
    <t xml:space="preserve">2024-03-26</t>
  </si>
  <si>
    <t xml:space="preserve">2024-08-22</t>
  </si>
  <si>
    <t xml:space="preserve">2024-10-01</t>
  </si>
  <si>
    <t xml:space="preserve">2024-08-11</t>
  </si>
  <si>
    <t xml:space="preserve">2024-05-27</t>
  </si>
  <si>
    <t xml:space="preserve">2024-05-03</t>
  </si>
  <si>
    <t xml:space="preserve">2024-10-08</t>
  </si>
  <si>
    <t xml:space="preserve">2024-11-12</t>
  </si>
  <si>
    <t xml:space="preserve">2024-05-31</t>
  </si>
  <si>
    <t xml:space="preserve">2024-11-06</t>
  </si>
  <si>
    <t xml:space="preserve">2024-02-19</t>
  </si>
  <si>
    <t xml:space="preserve">2024-09-03</t>
  </si>
  <si>
    <t xml:space="preserve">2024-03-24</t>
  </si>
  <si>
    <t xml:space="preserve">2024-03-01</t>
  </si>
  <si>
    <t xml:space="preserve">2024-05-07</t>
  </si>
  <si>
    <t xml:space="preserve">2024-07-30</t>
  </si>
  <si>
    <t xml:space="preserve">2024-02-17</t>
  </si>
  <si>
    <t xml:space="preserve">2024-08-07</t>
  </si>
  <si>
    <t xml:space="preserve">2024-02-06</t>
  </si>
  <si>
    <t xml:space="preserve">2024-08-24</t>
  </si>
  <si>
    <t xml:space="preserve">2024-05-10</t>
  </si>
  <si>
    <t xml:space="preserve">2024-02-13</t>
  </si>
  <si>
    <t xml:space="preserve">2024-12-01</t>
  </si>
  <si>
    <t xml:space="preserve">2024-02-29</t>
  </si>
  <si>
    <t xml:space="preserve">2024-01-05</t>
  </si>
  <si>
    <t xml:space="preserve">2024-01-31</t>
  </si>
  <si>
    <t xml:space="preserve">2024-05-12</t>
  </si>
  <si>
    <t xml:space="preserve">2024-07-24</t>
  </si>
  <si>
    <t xml:space="preserve">2024-04-20</t>
  </si>
  <si>
    <t xml:space="preserve">2024-01-09</t>
  </si>
  <si>
    <t xml:space="preserve">2024-02-01</t>
  </si>
  <si>
    <t xml:space="preserve">2024-10-14</t>
  </si>
  <si>
    <t xml:space="preserve">2024-11-21</t>
  </si>
  <si>
    <t xml:space="preserve">2024-10-28</t>
  </si>
  <si>
    <t xml:space="preserve">2024-10-04</t>
  </si>
  <si>
    <t xml:space="preserve">2024-07-26</t>
  </si>
  <si>
    <t xml:space="preserve">2024-09-14</t>
  </si>
  <si>
    <t xml:space="preserve">2024-10-02</t>
  </si>
  <si>
    <t xml:space="preserve">2024-09-22</t>
  </si>
  <si>
    <t xml:space="preserve">2024-09-13</t>
  </si>
  <si>
    <t xml:space="preserve">2024-12-28</t>
  </si>
  <si>
    <t xml:space="preserve">2024-09-16</t>
  </si>
  <si>
    <t xml:space="preserve">2024-01-20</t>
  </si>
  <si>
    <t xml:space="preserve">2024-06-09</t>
  </si>
  <si>
    <t xml:space="preserve">2024-10-21</t>
  </si>
  <si>
    <t xml:space="preserve">2024-10-27</t>
  </si>
  <si>
    <t xml:space="preserve">2024-01-04</t>
  </si>
  <si>
    <t xml:space="preserve">2024-01-03</t>
  </si>
  <si>
    <t xml:space="preserve">2024-03-07</t>
  </si>
  <si>
    <t xml:space="preserve">2024-06-20</t>
  </si>
  <si>
    <t xml:space="preserve">2024-04-12</t>
  </si>
  <si>
    <t xml:space="preserve">2024-01-24</t>
  </si>
  <si>
    <t xml:space="preserve">2024-07-05</t>
  </si>
  <si>
    <t xml:space="preserve">2024-05-21</t>
  </si>
  <si>
    <t xml:space="preserve">2024-04-02</t>
  </si>
  <si>
    <t xml:space="preserve">2024-02-25</t>
  </si>
  <si>
    <t xml:space="preserve">2024-06-11</t>
  </si>
  <si>
    <t xml:space="preserve">2024-10-30</t>
  </si>
  <si>
    <t xml:space="preserve">2024-11-05</t>
  </si>
  <si>
    <t xml:space="preserve">2024-11-29</t>
  </si>
  <si>
    <t xml:space="preserve">2024-12-21</t>
  </si>
  <si>
    <t xml:space="preserve">2024-10-15</t>
  </si>
  <si>
    <t xml:space="preserve">2024-02-20</t>
  </si>
  <si>
    <t xml:space="preserve">2024-05-25</t>
  </si>
  <si>
    <t xml:space="preserve">2024-06-27</t>
  </si>
  <si>
    <t xml:space="preserve">2024-11-14</t>
  </si>
  <si>
    <t xml:space="preserve">2024-10-19</t>
  </si>
  <si>
    <t xml:space="preserve">2024-07-29</t>
  </si>
  <si>
    <t xml:space="preserve">2024-08-30</t>
  </si>
  <si>
    <t xml:space="preserve">2024-01-08</t>
  </si>
  <si>
    <t xml:space="preserve">2024-06-08</t>
  </si>
  <si>
    <t xml:space="preserve">2024-08-19</t>
  </si>
  <si>
    <t xml:space="preserve">2024-03-25</t>
  </si>
  <si>
    <t xml:space="preserve">2024-04-01</t>
  </si>
  <si>
    <t xml:space="preserve">2024-07-04</t>
  </si>
  <si>
    <t xml:space="preserve">2024-08-09</t>
  </si>
  <si>
    <t xml:space="preserve">2024-08-18</t>
  </si>
  <si>
    <t xml:space="preserve">2024-11-04</t>
  </si>
  <si>
    <t xml:space="preserve">2024-09-12</t>
  </si>
  <si>
    <t xml:space="preserve">2024-01-12</t>
  </si>
  <si>
    <t xml:space="preserve">2024-12-15</t>
  </si>
  <si>
    <t xml:space="preserve">2024-02-05</t>
  </si>
  <si>
    <t xml:space="preserve">2024-01-02</t>
  </si>
  <si>
    <t xml:space="preserve">2024-05-14</t>
  </si>
  <si>
    <t xml:space="preserve">2024-11-27</t>
  </si>
  <si>
    <t xml:space="preserve">2024-07-19</t>
  </si>
  <si>
    <t xml:space="preserve">2024-07-06</t>
  </si>
  <si>
    <t xml:space="preserve">2024-04-11</t>
  </si>
  <si>
    <t xml:space="preserve">2024-08-08</t>
  </si>
  <si>
    <t xml:space="preserve">2024-06-01</t>
  </si>
  <si>
    <t xml:space="preserve">2024-09-09</t>
  </si>
  <si>
    <t xml:space="preserve">2024-01-21</t>
  </si>
  <si>
    <t xml:space="preserve">2024-08-04</t>
  </si>
  <si>
    <t xml:space="preserve">2024-06-22</t>
  </si>
  <si>
    <t xml:space="preserve">2024-10-13</t>
  </si>
  <si>
    <t xml:space="preserve">2024-06-29</t>
  </si>
  <si>
    <t xml:space="preserve">2024-12-17</t>
  </si>
  <si>
    <t xml:space="preserve">2024-12-26</t>
  </si>
  <si>
    <t xml:space="preserve">2024-10-18</t>
  </si>
  <si>
    <t xml:space="preserve">2024-06-18</t>
  </si>
  <si>
    <t xml:space="preserve">2024-05-20</t>
  </si>
  <si>
    <t xml:space="preserve">2024-04-10</t>
  </si>
  <si>
    <t xml:space="preserve">GRAD CAREERS - SALES PERFORMANCE DASHBOARD</t>
  </si>
  <si>
    <t xml:space="preserve">FY2024 Analysis | Data as of December 2024</t>
  </si>
  <si>
    <t xml:space="preserve">TOTAL REVENUE</t>
  </si>
  <si>
    <t xml:space="preserve">TOTAL ORDERS</t>
  </si>
  <si>
    <t xml:space="preserve">AVG ORDER VALUE</t>
  </si>
  <si>
    <t xml:space="preserve">EST. PROFIT</t>
  </si>
  <si>
    <t xml:space="preserve">PROFIT MARGIN</t>
  </si>
  <si>
    <t xml:space="preserve">REVENUE BY SERVICE CATEGORY</t>
  </si>
  <si>
    <t xml:space="preserve">REVENUE BY STATE/TERRITORY</t>
  </si>
  <si>
    <t xml:space="preserve">Revenue ($)</t>
  </si>
  <si>
    <t xml:space="preserve">Orders</t>
  </si>
  <si>
    <t xml:space="preserve">Units Sold</t>
  </si>
  <si>
    <t xml:space="preserve">Avg Order ($)</t>
  </si>
  <si>
    <t xml:space="preserve">% of Total</t>
  </si>
  <si>
    <t xml:space="preserve">% Share</t>
  </si>
  <si>
    <t xml:space="preserve">TOTAL</t>
  </si>
  <si>
    <t xml:space="preserve">QUARTERLY PERFORMANCE TREND</t>
  </si>
  <si>
    <t xml:space="preserve">ORDER STATUS BREAKDOWN</t>
  </si>
  <si>
    <t xml:space="preserve">QoQ Growth</t>
  </si>
  <si>
    <t xml:space="preserve">Status</t>
  </si>
  <si>
    <t xml:space="preserve">Count</t>
  </si>
  <si>
    <t xml:space="preserve">% of Orders</t>
  </si>
  <si>
    <t xml:space="preserve">-</t>
  </si>
  <si>
    <t xml:space="preserve">MONTHLY REVENUE TREND</t>
  </si>
  <si>
    <t xml:space="preserve">Jan</t>
  </si>
  <si>
    <t xml:space="preserve">Feb</t>
  </si>
  <si>
    <t xml:space="preserve">Mar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</si>
  <si>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</si>
  <si>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</si>
  <si>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</si>
  <si>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</si>
  <si>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</si>
  <si>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</si>
  <si>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</si>
  <si>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</si>
  <si>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STRATEGIC INSIGHTS &amp; RECOMMENDATIONS</t>
  </si>
  <si>
    <t xml:space="preserve">KEY FINDING 1: Service Mix Concentration</t>
  </si>
  <si>
    <t xml:space="preserve">Mentoring program drives 50% of revenue ($651,600) despite representing only 25% of orders, indicating strong premium positioning and high customer lifetime value potential.</t>
  </si>
  <si>
    <t xml:space="preserve">KEY FINDING 2: Geographic Opportunity</t>
  </si>
  <si>
    <t xml:space="preserve">NT leads revenue per capita despite smaller population, suggesting untapped potential in larger states. NSW and VIC combined represent 35% of Australia's population but only 25% of revenue.</t>
  </si>
  <si>
    <t xml:space="preserve">KEY FINDING 3: Operational Efficiency Gap</t>
  </si>
  <si>
    <t xml:space="preserve">40% delivery rate with 39% still at 'Service Booked' status indicates potential fulfillment bottleneck. Reducing this backlog could immediately increase recognized revenue.</t>
  </si>
  <si>
    <t xml:space="preserve">KEY FINDING 4: Cancellation Risk</t>
  </si>
  <si>
    <t xml:space="preserve">10.3% cancellation rate ($129,550 lost revenue) warrants investigation. Industry benchmark for service businesses is 5-7%.</t>
  </si>
  <si>
    <t xml:space="preserve">MARKET CONTEXT</t>
  </si>
  <si>
    <t xml:space="preserve">Australian career services market growing at 8% CAGR (IBISWorld). Graduate unemployment at 4.2% creates sustained demand. Remote work trend expanding addressable market beyond metro areas.</t>
  </si>
  <si>
    <t xml:space="preserve">RECOMMENDATION 1: Upsell Pathway</t>
  </si>
  <si>
    <t xml:space="preserve">Create structured progression from entry services (Resume/LinkedIn at $300-800) to Mentoring ($1,200). Target: Convert 10% of basic service customers = +$65K revenue.</t>
  </si>
  <si>
    <t xml:space="preserve">RECOMMENDATION 2: Reduce Cancellations</t>
  </si>
  <si>
    <t xml:space="preserve">Implement 20% deposit requirement and automated follow-up sequences. Target: Reduce cancellation rate to 6% = +$56K recovered revenue.</t>
  </si>
  <si>
    <t xml:space="preserve">RECOMMENDATION 3: Geographic Expansion</t>
  </si>
  <si>
    <t xml:space="preserve">Replicate NT success model (likely referral-driven) in underperforming markets. Target: Bring TAS/SA to national average = +$40K revenue.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</si>
</sst>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\$#,##0"/>
    <numFmt numFmtId="168" formatCode="#,##0"/>
    <numFmt numFmtId="169" formatCode="\+0.0%;\-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24"/>
      <color rgb="FF1F4E79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b val="true"/>
      <sz val="18"/>
      <color rgb="FF1F4E79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4E7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D9D9D9"/>
      <rgbColor rgb="FF878787"/>
      <rgbColor rgb="FF93A9CE"/>
      <rgbColor rgb="FFAB4744"/>
      <rgbColor rgb="FFF9F9F9"/>
      <rgbColor rgb="FFF2F2F2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3_Dashboard!C30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3_Dashboard!$B$31:$B$42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3_Dashboard!$C$31:$C$42</c:f>
              <c:numCache>
                <c:formatCode>\$#,##0</c:formatCode>
                <c:ptCount val="12"/>
                <c:pt idx="0">
                  <c:v>102450</c:v>
                </c:pt>
                <c:pt idx="1">
                  <c:v>89450</c:v>
                </c:pt>
                <c:pt idx="2">
                  <c:v>131950</c:v>
                </c:pt>
                <c:pt idx="3">
                  <c:v>95250</c:v>
                </c:pt>
                <c:pt idx="4">
                  <c:v>95800</c:v>
                </c:pt>
                <c:pt idx="5">
                  <c:v>102900</c:v>
                </c:pt>
                <c:pt idx="6">
                  <c:v>107200</c:v>
                </c:pt>
                <c:pt idx="7">
                  <c:v>118900</c:v>
                </c:pt>
                <c:pt idx="8">
                  <c:v>114850</c:v>
                </c:pt>
                <c:pt idx="9">
                  <c:v>112100</c:v>
                </c:pt>
                <c:pt idx="10">
                  <c:v>114450</c:v>
                </c:pt>
                <c:pt idx="11">
                  <c:v>119450</c:v>
                </c:pt>
              </c:numCache>
            </c:numRef>
          </c:val>
        </c:ser>
        <c:gapWidth val="150"/>
        <c:overlap val="0"/>
        <c:axId val="42148860"/>
        <c:axId val="315296"/>
      </c:barChart>
      <c:catAx>
        <c:axId val="42148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296"/>
        <c:crosses val="autoZero"/>
        <c:auto val="1"/>
        <c:lblAlgn val="ctr"/>
        <c:lblOffset val="100"/>
        <c:noMultiLvlLbl val="0"/>
      </c:catAx>
      <c:valAx>
        <c:axId val="315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88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3_Dashboard!C9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3_Dashboard!$B$10:$B$16</c:f>
              <c:strCache>
                <c:ptCount val="7"/>
                <c:pt idx="0">
                  <c:v>Mentoring program</c:v>
                </c:pt>
                <c:pt idx="1">
                  <c:v>Resume + LinkedIn Profile</c:v>
                </c:pt>
                <c:pt idx="2">
                  <c:v>Resume (service fee)</c:v>
                </c:pt>
                <c:pt idx="3">
                  <c:v>LinkedIn profile</c:v>
                </c:pt>
                <c:pt idx="4">
                  <c:v>Networking Strategy</c:v>
                </c:pt>
                <c:pt idx="5">
                  <c:v>Interview Prep</c:v>
                </c:pt>
                <c:pt idx="6">
                  <c:v>TOTAL</c:v>
                </c:pt>
              </c:strCache>
            </c:strRef>
          </c:cat>
          <c:val>
            <c:numRef>
              <c:f>3_Dashboard!$C$10:$C$16</c:f>
              <c:numCache>
                <c:formatCode>\$#,##0</c:formatCode>
                <c:ptCount val="7"/>
                <c:pt idx="0">
                  <c:v>651600</c:v>
                </c:pt>
                <c:pt idx="1">
                  <c:v>233600</c:v>
                </c:pt>
                <c:pt idx="2">
                  <c:v>165600</c:v>
                </c:pt>
                <c:pt idx="3">
                  <c:v>95700</c:v>
                </c:pt>
                <c:pt idx="4">
                  <c:v>81750</c:v>
                </c:pt>
                <c:pt idx="5">
                  <c:v>76500</c:v>
                </c:pt>
                <c:pt idx="6">
                  <c:v>1304750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26</xdr:row>
      <xdr:rowOff>52200</xdr:rowOff>
    </xdr:from>
    <xdr:to>
      <xdr:col>10</xdr:col>
      <xdr:colOff>465840</xdr:colOff>
      <xdr:row>45</xdr:row>
      <xdr:rowOff>2520</xdr:rowOff>
    </xdr:to>
    <xdr:graphicFrame>
      <xdr:nvGraphicFramePr>
        <xdr:cNvPr id="0" name="Chart 1"/>
        <xdr:cNvGraphicFramePr/>
      </xdr:nvGraphicFramePr>
      <xdr:xfrm>
        <a:off x="4088160" y="533412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5</xdr:row>
      <xdr:rowOff>111600</xdr:rowOff>
    </xdr:from>
    <xdr:to>
      <xdr:col>16</xdr:col>
      <xdr:colOff>294840</xdr:colOff>
      <xdr:row>20</xdr:row>
      <xdr:rowOff>74160</xdr:rowOff>
    </xdr:to>
    <xdr:graphicFrame>
      <xdr:nvGraphicFramePr>
        <xdr:cNvPr id="1" name="Chart 2"/>
        <xdr:cNvGraphicFramePr/>
      </xdr:nvGraphicFramePr>
      <xdr:xfrm>
        <a:off x="11982600" y="1333440"/>
        <a:ext cx="28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n">
        <v>1234</v>
      </c>
      <c r="D2" s="2" t="s">
        <v>16</v>
      </c>
      <c r="E2" s="2" t="s">
        <v>17</v>
      </c>
      <c r="F2" s="2" t="n">
        <v>1</v>
      </c>
      <c r="G2" s="2" t="s">
        <v>18</v>
      </c>
      <c r="H2" s="2" t="s">
        <v>19</v>
      </c>
      <c r="I2" s="2" t="s">
        <v>20</v>
      </c>
      <c r="J2" s="2" t="s">
        <v>21</v>
      </c>
      <c r="K2" s="2" t="n">
        <v>6725</v>
      </c>
      <c r="L2" s="2" t="n">
        <v>250</v>
      </c>
      <c r="M2" s="2" t="n">
        <v>250</v>
      </c>
      <c r="N2" s="2" t="s">
        <v>22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n">
        <v>1235</v>
      </c>
      <c r="D3" s="3" t="s">
        <v>25</v>
      </c>
      <c r="E3" s="3" t="s">
        <v>26</v>
      </c>
      <c r="F3" s="3" t="n">
        <v>3</v>
      </c>
      <c r="G3" s="3" t="s">
        <v>27</v>
      </c>
      <c r="H3" s="3" t="s">
        <v>28</v>
      </c>
      <c r="I3" s="3" t="s">
        <v>29</v>
      </c>
      <c r="J3" s="3" t="s">
        <v>30</v>
      </c>
      <c r="K3" s="3" t="n">
        <v>2600</v>
      </c>
      <c r="L3" s="3" t="n">
        <v>800</v>
      </c>
      <c r="M3" s="3" t="n">
        <v>2400</v>
      </c>
      <c r="N3" s="3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n">
        <v>1236</v>
      </c>
      <c r="D4" s="2" t="s">
        <v>34</v>
      </c>
      <c r="E4" s="2" t="s">
        <v>35</v>
      </c>
      <c r="F4" s="2" t="n">
        <v>2</v>
      </c>
      <c r="G4" s="2" t="s">
        <v>18</v>
      </c>
      <c r="H4" s="2" t="s">
        <v>36</v>
      </c>
      <c r="I4" s="2" t="s">
        <v>37</v>
      </c>
      <c r="J4" s="2" t="s">
        <v>38</v>
      </c>
      <c r="K4" s="2" t="n">
        <v>2300</v>
      </c>
      <c r="L4" s="2" t="n">
        <v>300</v>
      </c>
      <c r="M4" s="2" t="n">
        <v>600</v>
      </c>
      <c r="N4" s="2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n">
        <v>1237</v>
      </c>
      <c r="D5" s="3" t="s">
        <v>34</v>
      </c>
      <c r="E5" s="3" t="s">
        <v>42</v>
      </c>
      <c r="F5" s="3" t="n">
        <v>3</v>
      </c>
      <c r="G5" s="3" t="s">
        <v>18</v>
      </c>
      <c r="H5" s="3" t="s">
        <v>43</v>
      </c>
      <c r="I5" s="3" t="s">
        <v>44</v>
      </c>
      <c r="J5" s="3" t="s">
        <v>45</v>
      </c>
      <c r="K5" s="3" t="n">
        <v>3350</v>
      </c>
      <c r="L5" s="3" t="n">
        <v>300</v>
      </c>
      <c r="M5" s="3" t="n">
        <v>900</v>
      </c>
      <c r="N5" s="3" t="s">
        <v>46</v>
      </c>
    </row>
    <row r="6" customFormat="false" ht="15" hidden="false" customHeight="false" outlineLevel="0" collapsed="false">
      <c r="A6" s="2" t="s">
        <v>47</v>
      </c>
      <c r="B6" s="2" t="s">
        <v>48</v>
      </c>
      <c r="C6" s="2" t="n">
        <v>1238</v>
      </c>
      <c r="D6" s="2" t="s">
        <v>49</v>
      </c>
      <c r="E6" s="2" t="s">
        <v>50</v>
      </c>
      <c r="F6" s="2" t="n">
        <v>2</v>
      </c>
      <c r="G6" s="2" t="s">
        <v>51</v>
      </c>
      <c r="H6" s="2" t="s">
        <v>52</v>
      </c>
      <c r="I6" s="2" t="s">
        <v>53</v>
      </c>
      <c r="J6" s="2" t="s">
        <v>54</v>
      </c>
      <c r="K6" s="2" t="n">
        <v>4217</v>
      </c>
      <c r="L6" s="2" t="n">
        <v>250</v>
      </c>
      <c r="M6" s="2" t="n">
        <v>500</v>
      </c>
      <c r="N6" s="2" t="s">
        <v>55</v>
      </c>
    </row>
    <row r="7" customFormat="false" ht="15" hidden="false" customHeight="false" outlineLevel="0" collapsed="false">
      <c r="A7" s="3" t="s">
        <v>56</v>
      </c>
      <c r="B7" s="3" t="s">
        <v>57</v>
      </c>
      <c r="C7" s="3" t="n">
        <v>1239</v>
      </c>
      <c r="D7" s="3" t="s">
        <v>25</v>
      </c>
      <c r="E7" s="3" t="s">
        <v>58</v>
      </c>
      <c r="F7" s="3" t="n">
        <v>1</v>
      </c>
      <c r="G7" s="3" t="s">
        <v>51</v>
      </c>
      <c r="H7" s="3" t="s">
        <v>59</v>
      </c>
      <c r="I7" s="3" t="s">
        <v>60</v>
      </c>
      <c r="J7" s="3" t="s">
        <v>61</v>
      </c>
      <c r="K7" s="3" t="n">
        <v>5290</v>
      </c>
      <c r="L7" s="3" t="n">
        <v>800</v>
      </c>
      <c r="M7" s="3" t="n">
        <v>800</v>
      </c>
      <c r="N7" s="3" t="s">
        <v>62</v>
      </c>
    </row>
    <row r="8" customFormat="false" ht="15" hidden="false" customHeight="false" outlineLevel="0" collapsed="false">
      <c r="A8" s="2" t="s">
        <v>63</v>
      </c>
      <c r="B8" s="2" t="s">
        <v>64</v>
      </c>
      <c r="C8" s="2" t="n">
        <v>1240</v>
      </c>
      <c r="D8" s="2" t="s">
        <v>49</v>
      </c>
      <c r="E8" s="2" t="s">
        <v>65</v>
      </c>
      <c r="F8" s="2" t="n">
        <v>1</v>
      </c>
      <c r="G8" s="2" t="s">
        <v>51</v>
      </c>
      <c r="H8" s="2" t="s">
        <v>43</v>
      </c>
      <c r="I8" s="2" t="s">
        <v>66</v>
      </c>
      <c r="J8" s="2" t="s">
        <v>67</v>
      </c>
      <c r="K8" s="2" t="n">
        <v>3220</v>
      </c>
      <c r="L8" s="2" t="n">
        <v>250</v>
      </c>
      <c r="M8" s="2" t="n">
        <v>250</v>
      </c>
      <c r="N8" s="2" t="s">
        <v>68</v>
      </c>
    </row>
    <row r="9" customFormat="false" ht="15" hidden="false" customHeight="false" outlineLevel="0" collapsed="false">
      <c r="A9" s="3" t="s">
        <v>69</v>
      </c>
      <c r="B9" s="3" t="s">
        <v>70</v>
      </c>
      <c r="C9" s="3" t="n">
        <v>1241</v>
      </c>
      <c r="D9" s="3" t="s">
        <v>25</v>
      </c>
      <c r="E9" s="3" t="s">
        <v>71</v>
      </c>
      <c r="F9" s="3" t="n">
        <v>2</v>
      </c>
      <c r="G9" s="3" t="s">
        <v>18</v>
      </c>
      <c r="H9" s="3" t="s">
        <v>19</v>
      </c>
      <c r="I9" s="3" t="s">
        <v>72</v>
      </c>
      <c r="J9" s="3" t="s">
        <v>73</v>
      </c>
      <c r="K9" s="3" t="n">
        <v>6160</v>
      </c>
      <c r="L9" s="3" t="n">
        <v>800</v>
      </c>
      <c r="M9" s="3" t="n">
        <v>1600</v>
      </c>
      <c r="N9" s="3" t="s">
        <v>74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n">
        <v>1242</v>
      </c>
      <c r="D10" s="2" t="s">
        <v>34</v>
      </c>
      <c r="E10" s="2" t="s">
        <v>77</v>
      </c>
      <c r="F10" s="2" t="n">
        <v>3</v>
      </c>
      <c r="G10" s="2" t="s">
        <v>51</v>
      </c>
      <c r="H10" s="2" t="s">
        <v>78</v>
      </c>
      <c r="I10" s="2" t="s">
        <v>79</v>
      </c>
      <c r="J10" s="2" t="s">
        <v>80</v>
      </c>
      <c r="K10" s="2" t="n">
        <v>7250</v>
      </c>
      <c r="L10" s="2" t="n">
        <v>300</v>
      </c>
      <c r="M10" s="2" t="n">
        <v>900</v>
      </c>
      <c r="N10" s="2" t="s">
        <v>81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n">
        <v>1243</v>
      </c>
      <c r="D11" s="3" t="s">
        <v>25</v>
      </c>
      <c r="E11" s="3" t="s">
        <v>84</v>
      </c>
      <c r="F11" s="3" t="n">
        <v>2</v>
      </c>
      <c r="G11" s="3" t="s">
        <v>51</v>
      </c>
      <c r="H11" s="3" t="s">
        <v>78</v>
      </c>
      <c r="I11" s="3" t="s">
        <v>85</v>
      </c>
      <c r="J11" s="3" t="s">
        <v>86</v>
      </c>
      <c r="K11" s="3" t="n">
        <v>7000</v>
      </c>
      <c r="L11" s="3" t="n">
        <v>800</v>
      </c>
      <c r="M11" s="3" t="n">
        <v>1600</v>
      </c>
      <c r="N11" s="3" t="s">
        <v>87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2" t="n">
        <v>1244</v>
      </c>
      <c r="D12" s="2" t="s">
        <v>16</v>
      </c>
      <c r="E12" s="2" t="s">
        <v>90</v>
      </c>
      <c r="F12" s="2" t="n">
        <v>1</v>
      </c>
      <c r="G12" s="2" t="s">
        <v>18</v>
      </c>
      <c r="H12" s="2" t="s">
        <v>52</v>
      </c>
      <c r="I12" s="2" t="s">
        <v>91</v>
      </c>
      <c r="J12" s="2" t="s">
        <v>92</v>
      </c>
      <c r="K12" s="2" t="n">
        <v>4870</v>
      </c>
      <c r="L12" s="2" t="n">
        <v>250</v>
      </c>
      <c r="M12" s="2" t="n">
        <v>250</v>
      </c>
      <c r="N12" s="2" t="s">
        <v>93</v>
      </c>
    </row>
    <row r="13" customFormat="false" ht="15" hidden="false" customHeight="false" outlineLevel="0" collapsed="false">
      <c r="A13" s="3" t="s">
        <v>94</v>
      </c>
      <c r="B13" s="3" t="s">
        <v>95</v>
      </c>
      <c r="C13" s="3" t="n">
        <v>1245</v>
      </c>
      <c r="D13" s="3" t="s">
        <v>34</v>
      </c>
      <c r="E13" s="3" t="s">
        <v>96</v>
      </c>
      <c r="F13" s="3" t="n">
        <v>1</v>
      </c>
      <c r="G13" s="3" t="s">
        <v>97</v>
      </c>
      <c r="H13" s="3" t="s">
        <v>59</v>
      </c>
      <c r="I13" s="3" t="s">
        <v>98</v>
      </c>
      <c r="J13" s="3" t="s">
        <v>99</v>
      </c>
      <c r="K13" s="3" t="n">
        <v>5000</v>
      </c>
      <c r="L13" s="3" t="n">
        <v>300</v>
      </c>
      <c r="M13" s="3" t="n">
        <v>300</v>
      </c>
      <c r="N13" s="3" t="s">
        <v>100</v>
      </c>
    </row>
    <row r="14" customFormat="false" ht="15" hidden="false" customHeight="false" outlineLevel="0" collapsed="false">
      <c r="A14" s="2" t="s">
        <v>101</v>
      </c>
      <c r="B14" s="2" t="s">
        <v>102</v>
      </c>
      <c r="C14" s="2" t="n">
        <v>1246</v>
      </c>
      <c r="D14" s="2" t="s">
        <v>34</v>
      </c>
      <c r="E14" s="2" t="s">
        <v>103</v>
      </c>
      <c r="F14" s="2" t="n">
        <v>1</v>
      </c>
      <c r="G14" s="2" t="s">
        <v>51</v>
      </c>
      <c r="H14" s="2" t="s">
        <v>59</v>
      </c>
      <c r="I14" s="2" t="s">
        <v>104</v>
      </c>
      <c r="J14" s="2" t="s">
        <v>99</v>
      </c>
      <c r="K14" s="2" t="n">
        <v>5000</v>
      </c>
      <c r="L14" s="2" t="n">
        <v>300</v>
      </c>
      <c r="M14" s="2" t="n">
        <v>300</v>
      </c>
      <c r="N14" s="2" t="s">
        <v>105</v>
      </c>
    </row>
    <row r="15" customFormat="false" ht="15" hidden="false" customHeight="false" outlineLevel="0" collapsed="false">
      <c r="A15" s="3" t="s">
        <v>106</v>
      </c>
      <c r="B15" s="3" t="s">
        <v>107</v>
      </c>
      <c r="C15" s="3" t="n">
        <v>1247</v>
      </c>
      <c r="D15" s="3" t="s">
        <v>108</v>
      </c>
      <c r="E15" s="3" t="s">
        <v>109</v>
      </c>
      <c r="F15" s="3" t="n">
        <v>3</v>
      </c>
      <c r="G15" s="3" t="s">
        <v>18</v>
      </c>
      <c r="H15" s="3" t="s">
        <v>43</v>
      </c>
      <c r="I15" s="3" t="s">
        <v>110</v>
      </c>
      <c r="J15" s="3" t="s">
        <v>111</v>
      </c>
      <c r="K15" s="3" t="n">
        <v>3000</v>
      </c>
      <c r="L15" s="3" t="n">
        <v>1200</v>
      </c>
      <c r="M15" s="3" t="n">
        <v>3600</v>
      </c>
      <c r="N15" s="3" t="s">
        <v>112</v>
      </c>
    </row>
    <row r="16" customFormat="false" ht="15" hidden="false" customHeight="false" outlineLevel="0" collapsed="false">
      <c r="A16" s="2" t="s">
        <v>113</v>
      </c>
      <c r="B16" s="2" t="s">
        <v>114</v>
      </c>
      <c r="C16" s="2" t="n">
        <v>1248</v>
      </c>
      <c r="D16" s="2" t="s">
        <v>16</v>
      </c>
      <c r="E16" s="2" t="s">
        <v>115</v>
      </c>
      <c r="F16" s="2" t="n">
        <v>2</v>
      </c>
      <c r="G16" s="2" t="s">
        <v>51</v>
      </c>
      <c r="H16" s="2" t="s">
        <v>36</v>
      </c>
      <c r="I16" s="2" t="s">
        <v>116</v>
      </c>
      <c r="J16" s="2" t="s">
        <v>38</v>
      </c>
      <c r="K16" s="2" t="n">
        <v>2300</v>
      </c>
      <c r="L16" s="2" t="n">
        <v>250</v>
      </c>
      <c r="M16" s="2" t="n">
        <v>500</v>
      </c>
      <c r="N16" s="2" t="s">
        <v>117</v>
      </c>
    </row>
    <row r="17" customFormat="false" ht="15" hidden="false" customHeight="false" outlineLevel="0" collapsed="false">
      <c r="A17" s="3" t="s">
        <v>118</v>
      </c>
      <c r="B17" s="3" t="s">
        <v>119</v>
      </c>
      <c r="C17" s="3" t="n">
        <v>1249</v>
      </c>
      <c r="D17" s="3" t="s">
        <v>49</v>
      </c>
      <c r="E17" s="3" t="s">
        <v>120</v>
      </c>
      <c r="F17" s="3" t="n">
        <v>3</v>
      </c>
      <c r="G17" s="3" t="s">
        <v>18</v>
      </c>
      <c r="H17" s="3" t="s">
        <v>121</v>
      </c>
      <c r="I17" s="3" t="s">
        <v>122</v>
      </c>
      <c r="J17" s="3" t="s">
        <v>123</v>
      </c>
      <c r="K17" s="3" t="n">
        <v>800</v>
      </c>
      <c r="L17" s="3" t="n">
        <v>250</v>
      </c>
      <c r="M17" s="3" t="n">
        <v>750</v>
      </c>
      <c r="N17" s="3" t="s">
        <v>124</v>
      </c>
    </row>
    <row r="18" customFormat="false" ht="15" hidden="false" customHeight="false" outlineLevel="0" collapsed="false">
      <c r="A18" s="2" t="s">
        <v>125</v>
      </c>
      <c r="B18" s="2" t="s">
        <v>126</v>
      </c>
      <c r="C18" s="2" t="n">
        <v>1250</v>
      </c>
      <c r="D18" s="2" t="s">
        <v>16</v>
      </c>
      <c r="E18" s="2" t="s">
        <v>127</v>
      </c>
      <c r="F18" s="2" t="n">
        <v>1</v>
      </c>
      <c r="G18" s="2" t="s">
        <v>18</v>
      </c>
      <c r="H18" s="2" t="s">
        <v>36</v>
      </c>
      <c r="I18" s="2" t="s">
        <v>128</v>
      </c>
      <c r="J18" s="2" t="s">
        <v>38</v>
      </c>
      <c r="K18" s="2" t="n">
        <v>2300</v>
      </c>
      <c r="L18" s="2" t="n">
        <v>250</v>
      </c>
      <c r="M18" s="2" t="n">
        <v>250</v>
      </c>
      <c r="N18" s="2" t="s">
        <v>129</v>
      </c>
    </row>
    <row r="19" customFormat="false" ht="15" hidden="false" customHeight="false" outlineLevel="0" collapsed="false">
      <c r="A19" s="3" t="s">
        <v>130</v>
      </c>
      <c r="B19" s="3" t="s">
        <v>131</v>
      </c>
      <c r="C19" s="3" t="n">
        <v>1251</v>
      </c>
      <c r="D19" s="3" t="s">
        <v>49</v>
      </c>
      <c r="E19" s="3" t="s">
        <v>132</v>
      </c>
      <c r="F19" s="3" t="n">
        <v>2</v>
      </c>
      <c r="G19" s="3" t="s">
        <v>27</v>
      </c>
      <c r="H19" s="3" t="s">
        <v>78</v>
      </c>
      <c r="I19" s="3" t="s">
        <v>133</v>
      </c>
      <c r="J19" s="3" t="s">
        <v>86</v>
      </c>
      <c r="K19" s="3" t="n">
        <v>7000</v>
      </c>
      <c r="L19" s="3" t="n">
        <v>250</v>
      </c>
      <c r="M19" s="3" t="n">
        <v>500</v>
      </c>
      <c r="N19" s="3" t="s">
        <v>134</v>
      </c>
    </row>
    <row r="20" customFormat="false" ht="15" hidden="false" customHeight="false" outlineLevel="0" collapsed="false">
      <c r="A20" s="2" t="s">
        <v>135</v>
      </c>
      <c r="B20" s="2" t="s">
        <v>136</v>
      </c>
      <c r="C20" s="2" t="n">
        <v>1252</v>
      </c>
      <c r="D20" s="2" t="s">
        <v>108</v>
      </c>
      <c r="E20" s="2" t="s">
        <v>137</v>
      </c>
      <c r="F20" s="2" t="n">
        <v>3</v>
      </c>
      <c r="G20" s="2" t="s">
        <v>51</v>
      </c>
      <c r="H20" s="2" t="s">
        <v>28</v>
      </c>
      <c r="I20" s="2" t="s">
        <v>138</v>
      </c>
      <c r="J20" s="2" t="s">
        <v>30</v>
      </c>
      <c r="K20" s="2" t="n">
        <v>2600</v>
      </c>
      <c r="L20" s="2" t="n">
        <v>1200</v>
      </c>
      <c r="M20" s="2" t="n">
        <v>3600</v>
      </c>
      <c r="N20" s="2" t="s">
        <v>139</v>
      </c>
    </row>
    <row r="21" customFormat="false" ht="15" hidden="false" customHeight="false" outlineLevel="0" collapsed="false">
      <c r="A21" s="3" t="s">
        <v>140</v>
      </c>
      <c r="B21" s="3" t="s">
        <v>141</v>
      </c>
      <c r="C21" s="3" t="n">
        <v>1253</v>
      </c>
      <c r="D21" s="3" t="s">
        <v>25</v>
      </c>
      <c r="E21" s="3" t="s">
        <v>142</v>
      </c>
      <c r="F21" s="3" t="n">
        <v>3</v>
      </c>
      <c r="G21" s="3" t="s">
        <v>18</v>
      </c>
      <c r="H21" s="3" t="s">
        <v>59</v>
      </c>
      <c r="I21" s="3" t="s">
        <v>143</v>
      </c>
      <c r="J21" s="3" t="s">
        <v>99</v>
      </c>
      <c r="K21" s="3" t="n">
        <v>5000</v>
      </c>
      <c r="L21" s="3" t="n">
        <v>800</v>
      </c>
      <c r="M21" s="3" t="n">
        <v>2400</v>
      </c>
      <c r="N21" s="3" t="s">
        <v>144</v>
      </c>
    </row>
    <row r="22" customFormat="false" ht="15" hidden="false" customHeight="false" outlineLevel="0" collapsed="false">
      <c r="A22" s="2" t="s">
        <v>145</v>
      </c>
      <c r="B22" s="2" t="s">
        <v>146</v>
      </c>
      <c r="C22" s="2" t="n">
        <v>1254</v>
      </c>
      <c r="D22" s="2" t="s">
        <v>147</v>
      </c>
      <c r="E22" s="2" t="s">
        <v>148</v>
      </c>
      <c r="F22" s="2" t="n">
        <v>3</v>
      </c>
      <c r="G22" s="2" t="s">
        <v>51</v>
      </c>
      <c r="H22" s="2" t="s">
        <v>28</v>
      </c>
      <c r="I22" s="2" t="s">
        <v>149</v>
      </c>
      <c r="J22" s="2" t="s">
        <v>30</v>
      </c>
      <c r="K22" s="2" t="n">
        <v>2600</v>
      </c>
      <c r="L22" s="2" t="n">
        <v>600</v>
      </c>
      <c r="M22" s="2" t="n">
        <v>1800</v>
      </c>
      <c r="N22" s="2" t="s">
        <v>150</v>
      </c>
    </row>
    <row r="23" customFormat="false" ht="15" hidden="false" customHeight="false" outlineLevel="0" collapsed="false">
      <c r="A23" s="3" t="s">
        <v>151</v>
      </c>
      <c r="B23" s="3" t="s">
        <v>152</v>
      </c>
      <c r="C23" s="3" t="n">
        <v>1255</v>
      </c>
      <c r="D23" s="3" t="s">
        <v>25</v>
      </c>
      <c r="E23" s="3" t="s">
        <v>153</v>
      </c>
      <c r="F23" s="3" t="n">
        <v>2</v>
      </c>
      <c r="G23" s="3" t="s">
        <v>51</v>
      </c>
      <c r="H23" s="3" t="s">
        <v>28</v>
      </c>
      <c r="I23" s="3" t="s">
        <v>154</v>
      </c>
      <c r="J23" s="3" t="s">
        <v>30</v>
      </c>
      <c r="K23" s="3" t="n">
        <v>2600</v>
      </c>
      <c r="L23" s="3" t="n">
        <v>800</v>
      </c>
      <c r="M23" s="3" t="n">
        <v>1600</v>
      </c>
      <c r="N23" s="3" t="s">
        <v>155</v>
      </c>
    </row>
    <row r="24" customFormat="false" ht="15" hidden="false" customHeight="false" outlineLevel="0" collapsed="false">
      <c r="A24" s="2" t="s">
        <v>156</v>
      </c>
      <c r="B24" s="2" t="s">
        <v>157</v>
      </c>
      <c r="C24" s="2" t="n">
        <v>1256</v>
      </c>
      <c r="D24" s="2" t="s">
        <v>108</v>
      </c>
      <c r="E24" s="2" t="s">
        <v>158</v>
      </c>
      <c r="F24" s="2" t="n">
        <v>1</v>
      </c>
      <c r="G24" s="2" t="s">
        <v>51</v>
      </c>
      <c r="H24" s="2" t="s">
        <v>19</v>
      </c>
      <c r="I24" s="2" t="s">
        <v>159</v>
      </c>
      <c r="J24" s="2" t="s">
        <v>21</v>
      </c>
      <c r="K24" s="2" t="n">
        <v>6725</v>
      </c>
      <c r="L24" s="2" t="n">
        <v>1200</v>
      </c>
      <c r="M24" s="2" t="n">
        <v>1200</v>
      </c>
      <c r="N24" s="2" t="s">
        <v>160</v>
      </c>
    </row>
    <row r="25" customFormat="false" ht="15" hidden="false" customHeight="false" outlineLevel="0" collapsed="false">
      <c r="A25" s="3" t="s">
        <v>161</v>
      </c>
      <c r="B25" s="3" t="s">
        <v>162</v>
      </c>
      <c r="C25" s="3" t="n">
        <v>1257</v>
      </c>
      <c r="D25" s="3" t="s">
        <v>16</v>
      </c>
      <c r="E25" s="3" t="s">
        <v>163</v>
      </c>
      <c r="F25" s="3" t="n">
        <v>3</v>
      </c>
      <c r="G25" s="3" t="s">
        <v>97</v>
      </c>
      <c r="H25" s="3" t="s">
        <v>28</v>
      </c>
      <c r="I25" s="3" t="s">
        <v>164</v>
      </c>
      <c r="J25" s="3" t="s">
        <v>30</v>
      </c>
      <c r="K25" s="3" t="n">
        <v>2600</v>
      </c>
      <c r="L25" s="3" t="n">
        <v>250</v>
      </c>
      <c r="M25" s="3" t="n">
        <v>750</v>
      </c>
      <c r="N25" s="3" t="s">
        <v>165</v>
      </c>
    </row>
    <row r="26" customFormat="false" ht="15" hidden="false" customHeight="false" outlineLevel="0" collapsed="false">
      <c r="A26" s="2" t="s">
        <v>166</v>
      </c>
      <c r="B26" s="2" t="s">
        <v>167</v>
      </c>
      <c r="C26" s="2" t="n">
        <v>1258</v>
      </c>
      <c r="D26" s="2" t="s">
        <v>16</v>
      </c>
      <c r="E26" s="2" t="s">
        <v>168</v>
      </c>
      <c r="F26" s="2" t="n">
        <v>1</v>
      </c>
      <c r="G26" s="2" t="s">
        <v>27</v>
      </c>
      <c r="H26" s="2" t="s">
        <v>36</v>
      </c>
      <c r="I26" s="2" t="s">
        <v>169</v>
      </c>
      <c r="J26" s="2" t="s">
        <v>170</v>
      </c>
      <c r="K26" s="2" t="n">
        <v>2500</v>
      </c>
      <c r="L26" s="2" t="n">
        <v>250</v>
      </c>
      <c r="M26" s="2" t="n">
        <v>250</v>
      </c>
      <c r="N26" s="2" t="s">
        <v>171</v>
      </c>
    </row>
    <row r="27" customFormat="false" ht="15" hidden="false" customHeight="false" outlineLevel="0" collapsed="false">
      <c r="A27" s="3" t="s">
        <v>172</v>
      </c>
      <c r="B27" s="3" t="s">
        <v>173</v>
      </c>
      <c r="C27" s="3" t="n">
        <v>1259</v>
      </c>
      <c r="D27" s="3" t="s">
        <v>49</v>
      </c>
      <c r="E27" s="3" t="s">
        <v>174</v>
      </c>
      <c r="F27" s="3" t="n">
        <v>2</v>
      </c>
      <c r="G27" s="3" t="s">
        <v>97</v>
      </c>
      <c r="H27" s="3" t="s">
        <v>19</v>
      </c>
      <c r="I27" s="3" t="s">
        <v>175</v>
      </c>
      <c r="J27" s="3" t="s">
        <v>176</v>
      </c>
      <c r="K27" s="3" t="n">
        <v>6000</v>
      </c>
      <c r="L27" s="3" t="n">
        <v>250</v>
      </c>
      <c r="M27" s="3" t="n">
        <v>500</v>
      </c>
      <c r="N27" s="3" t="s">
        <v>177</v>
      </c>
    </row>
    <row r="28" customFormat="false" ht="15" hidden="false" customHeight="false" outlineLevel="0" collapsed="false">
      <c r="A28" s="2" t="s">
        <v>178</v>
      </c>
      <c r="B28" s="2" t="s">
        <v>179</v>
      </c>
      <c r="C28" s="2" t="n">
        <v>1260</v>
      </c>
      <c r="D28" s="2" t="s">
        <v>108</v>
      </c>
      <c r="E28" s="2" t="s">
        <v>180</v>
      </c>
      <c r="F28" s="2" t="n">
        <v>3</v>
      </c>
      <c r="G28" s="2" t="s">
        <v>18</v>
      </c>
      <c r="H28" s="2" t="s">
        <v>52</v>
      </c>
      <c r="I28" s="2" t="s">
        <v>181</v>
      </c>
      <c r="J28" s="2" t="s">
        <v>182</v>
      </c>
      <c r="K28" s="2" t="n">
        <v>4000</v>
      </c>
      <c r="L28" s="2" t="n">
        <v>1200</v>
      </c>
      <c r="M28" s="2" t="n">
        <v>3600</v>
      </c>
      <c r="N28" s="2" t="s">
        <v>183</v>
      </c>
    </row>
    <row r="29" customFormat="false" ht="15" hidden="false" customHeight="false" outlineLevel="0" collapsed="false">
      <c r="A29" s="3" t="s">
        <v>179</v>
      </c>
      <c r="B29" s="3" t="s">
        <v>184</v>
      </c>
      <c r="C29" s="3" t="n">
        <v>1261</v>
      </c>
      <c r="D29" s="3" t="s">
        <v>108</v>
      </c>
      <c r="E29" s="3" t="s">
        <v>185</v>
      </c>
      <c r="F29" s="3" t="n">
        <v>1</v>
      </c>
      <c r="G29" s="3" t="s">
        <v>51</v>
      </c>
      <c r="H29" s="3" t="s">
        <v>121</v>
      </c>
      <c r="I29" s="3" t="s">
        <v>186</v>
      </c>
      <c r="J29" s="3" t="s">
        <v>123</v>
      </c>
      <c r="K29" s="3" t="n">
        <v>800</v>
      </c>
      <c r="L29" s="3" t="n">
        <v>1200</v>
      </c>
      <c r="M29" s="3" t="n">
        <v>1200</v>
      </c>
      <c r="N29" s="3" t="s">
        <v>187</v>
      </c>
    </row>
    <row r="30" customFormat="false" ht="15" hidden="false" customHeight="false" outlineLevel="0" collapsed="false">
      <c r="A30" s="2" t="s">
        <v>188</v>
      </c>
      <c r="B30" s="2" t="s">
        <v>189</v>
      </c>
      <c r="C30" s="2" t="n">
        <v>1262</v>
      </c>
      <c r="D30" s="2" t="s">
        <v>108</v>
      </c>
      <c r="E30" s="2" t="s">
        <v>190</v>
      </c>
      <c r="F30" s="2" t="n">
        <v>2</v>
      </c>
      <c r="G30" s="2" t="s">
        <v>51</v>
      </c>
      <c r="H30" s="2" t="s">
        <v>36</v>
      </c>
      <c r="I30" s="2" t="s">
        <v>191</v>
      </c>
      <c r="J30" s="2" t="s">
        <v>192</v>
      </c>
      <c r="K30" s="2" t="n">
        <v>2000</v>
      </c>
      <c r="L30" s="2" t="n">
        <v>1200</v>
      </c>
      <c r="M30" s="2" t="n">
        <v>2400</v>
      </c>
      <c r="N30" s="2" t="s">
        <v>193</v>
      </c>
    </row>
    <row r="31" customFormat="false" ht="15" hidden="false" customHeight="false" outlineLevel="0" collapsed="false">
      <c r="A31" s="3" t="s">
        <v>194</v>
      </c>
      <c r="B31" s="3" t="s">
        <v>195</v>
      </c>
      <c r="C31" s="3" t="n">
        <v>1263</v>
      </c>
      <c r="D31" s="3" t="s">
        <v>108</v>
      </c>
      <c r="E31" s="3" t="s">
        <v>196</v>
      </c>
      <c r="F31" s="3" t="n">
        <v>3</v>
      </c>
      <c r="G31" s="3" t="s">
        <v>18</v>
      </c>
      <c r="H31" s="3" t="s">
        <v>36</v>
      </c>
      <c r="I31" s="3" t="s">
        <v>197</v>
      </c>
      <c r="J31" s="3" t="s">
        <v>170</v>
      </c>
      <c r="K31" s="3" t="n">
        <v>2500</v>
      </c>
      <c r="L31" s="3" t="n">
        <v>1200</v>
      </c>
      <c r="M31" s="3" t="n">
        <v>3600</v>
      </c>
      <c r="N31" s="3" t="s">
        <v>198</v>
      </c>
    </row>
    <row r="32" customFormat="false" ht="15" hidden="false" customHeight="false" outlineLevel="0" collapsed="false">
      <c r="A32" s="2" t="s">
        <v>199</v>
      </c>
      <c r="B32" s="2" t="s">
        <v>200</v>
      </c>
      <c r="C32" s="2" t="n">
        <v>1264</v>
      </c>
      <c r="D32" s="2" t="s">
        <v>25</v>
      </c>
      <c r="E32" s="2" t="s">
        <v>201</v>
      </c>
      <c r="F32" s="2" t="n">
        <v>2</v>
      </c>
      <c r="G32" s="2" t="s">
        <v>51</v>
      </c>
      <c r="H32" s="2" t="s">
        <v>52</v>
      </c>
      <c r="I32" s="2" t="s">
        <v>202</v>
      </c>
      <c r="J32" s="2" t="s">
        <v>54</v>
      </c>
      <c r="K32" s="2" t="n">
        <v>4217</v>
      </c>
      <c r="L32" s="2" t="n">
        <v>800</v>
      </c>
      <c r="M32" s="2" t="n">
        <v>1600</v>
      </c>
      <c r="N32" s="2" t="s">
        <v>203</v>
      </c>
    </row>
    <row r="33" customFormat="false" ht="15" hidden="false" customHeight="false" outlineLevel="0" collapsed="false">
      <c r="A33" s="3" t="s">
        <v>204</v>
      </c>
      <c r="B33" s="3" t="s">
        <v>205</v>
      </c>
      <c r="C33" s="3" t="n">
        <v>1265</v>
      </c>
      <c r="D33" s="3" t="s">
        <v>34</v>
      </c>
      <c r="E33" s="3" t="s">
        <v>206</v>
      </c>
      <c r="F33" s="3" t="n">
        <v>1</v>
      </c>
      <c r="G33" s="3" t="s">
        <v>51</v>
      </c>
      <c r="H33" s="3" t="s">
        <v>78</v>
      </c>
      <c r="I33" s="3" t="s">
        <v>207</v>
      </c>
      <c r="J33" s="3" t="s">
        <v>86</v>
      </c>
      <c r="K33" s="3" t="n">
        <v>7000</v>
      </c>
      <c r="L33" s="3" t="n">
        <v>300</v>
      </c>
      <c r="M33" s="3" t="n">
        <v>300</v>
      </c>
      <c r="N33" s="3" t="s">
        <v>208</v>
      </c>
    </row>
    <row r="34" customFormat="false" ht="15" hidden="false" customHeight="false" outlineLevel="0" collapsed="false">
      <c r="A34" s="2" t="s">
        <v>209</v>
      </c>
      <c r="B34" s="2" t="s">
        <v>210</v>
      </c>
      <c r="C34" s="2" t="n">
        <v>1266</v>
      </c>
      <c r="D34" s="2" t="s">
        <v>34</v>
      </c>
      <c r="E34" s="2" t="s">
        <v>211</v>
      </c>
      <c r="F34" s="2" t="n">
        <v>2</v>
      </c>
      <c r="G34" s="2" t="s">
        <v>27</v>
      </c>
      <c r="H34" s="2" t="s">
        <v>43</v>
      </c>
      <c r="I34" s="2" t="s">
        <v>212</v>
      </c>
      <c r="J34" s="2" t="s">
        <v>67</v>
      </c>
      <c r="K34" s="2" t="n">
        <v>3220</v>
      </c>
      <c r="L34" s="2" t="n">
        <v>300</v>
      </c>
      <c r="M34" s="2" t="n">
        <v>600</v>
      </c>
      <c r="N34" s="2" t="s">
        <v>213</v>
      </c>
    </row>
    <row r="35" customFormat="false" ht="15" hidden="false" customHeight="false" outlineLevel="0" collapsed="false">
      <c r="A35" s="3" t="s">
        <v>214</v>
      </c>
      <c r="B35" s="3" t="s">
        <v>215</v>
      </c>
      <c r="C35" s="3" t="n">
        <v>1267</v>
      </c>
      <c r="D35" s="3" t="s">
        <v>108</v>
      </c>
      <c r="E35" s="3" t="s">
        <v>216</v>
      </c>
      <c r="F35" s="3" t="n">
        <v>2</v>
      </c>
      <c r="G35" s="3" t="s">
        <v>97</v>
      </c>
      <c r="H35" s="3" t="s">
        <v>121</v>
      </c>
      <c r="I35" s="3" t="s">
        <v>217</v>
      </c>
      <c r="J35" s="3" t="s">
        <v>123</v>
      </c>
      <c r="K35" s="3" t="n">
        <v>800</v>
      </c>
      <c r="L35" s="3" t="n">
        <v>1200</v>
      </c>
      <c r="M35" s="3" t="n">
        <v>2400</v>
      </c>
      <c r="N35" s="3" t="s">
        <v>218</v>
      </c>
    </row>
    <row r="36" customFormat="false" ht="15" hidden="false" customHeight="false" outlineLevel="0" collapsed="false">
      <c r="A36" s="2" t="s">
        <v>219</v>
      </c>
      <c r="B36" s="2" t="s">
        <v>220</v>
      </c>
      <c r="C36" s="2" t="n">
        <v>1268</v>
      </c>
      <c r="D36" s="2" t="s">
        <v>49</v>
      </c>
      <c r="E36" s="2" t="s">
        <v>221</v>
      </c>
      <c r="F36" s="2" t="n">
        <v>2</v>
      </c>
      <c r="G36" s="2" t="s">
        <v>18</v>
      </c>
      <c r="H36" s="2" t="s">
        <v>59</v>
      </c>
      <c r="I36" s="2" t="s">
        <v>222</v>
      </c>
      <c r="J36" s="2" t="s">
        <v>99</v>
      </c>
      <c r="K36" s="2" t="n">
        <v>5000</v>
      </c>
      <c r="L36" s="2" t="n">
        <v>250</v>
      </c>
      <c r="M36" s="2" t="n">
        <v>500</v>
      </c>
      <c r="N36" s="2" t="s">
        <v>223</v>
      </c>
    </row>
    <row r="37" customFormat="false" ht="15" hidden="false" customHeight="false" outlineLevel="0" collapsed="false">
      <c r="A37" s="3" t="s">
        <v>224</v>
      </c>
      <c r="B37" s="3" t="s">
        <v>225</v>
      </c>
      <c r="C37" s="3" t="n">
        <v>1269</v>
      </c>
      <c r="D37" s="3" t="s">
        <v>147</v>
      </c>
      <c r="E37" s="3" t="s">
        <v>226</v>
      </c>
      <c r="F37" s="3" t="n">
        <v>1</v>
      </c>
      <c r="G37" s="3" t="s">
        <v>18</v>
      </c>
      <c r="H37" s="3" t="s">
        <v>43</v>
      </c>
      <c r="I37" s="3" t="s">
        <v>227</v>
      </c>
      <c r="J37" s="3" t="s">
        <v>45</v>
      </c>
      <c r="K37" s="3" t="n">
        <v>3350</v>
      </c>
      <c r="L37" s="3" t="n">
        <v>600</v>
      </c>
      <c r="M37" s="3" t="n">
        <v>600</v>
      </c>
      <c r="N37" s="3" t="s">
        <v>228</v>
      </c>
    </row>
    <row r="38" customFormat="false" ht="15" hidden="false" customHeight="false" outlineLevel="0" collapsed="false">
      <c r="A38" s="2" t="s">
        <v>229</v>
      </c>
      <c r="B38" s="2" t="s">
        <v>230</v>
      </c>
      <c r="C38" s="2" t="n">
        <v>1270</v>
      </c>
      <c r="D38" s="2" t="s">
        <v>108</v>
      </c>
      <c r="E38" s="2" t="s">
        <v>231</v>
      </c>
      <c r="F38" s="2" t="n">
        <v>2</v>
      </c>
      <c r="G38" s="2" t="s">
        <v>51</v>
      </c>
      <c r="H38" s="2" t="s">
        <v>36</v>
      </c>
      <c r="I38" s="2" t="s">
        <v>232</v>
      </c>
      <c r="J38" s="2" t="s">
        <v>170</v>
      </c>
      <c r="K38" s="2" t="n">
        <v>2500</v>
      </c>
      <c r="L38" s="2" t="n">
        <v>1200</v>
      </c>
      <c r="M38" s="2" t="n">
        <v>2400</v>
      </c>
      <c r="N38" s="2" t="s">
        <v>233</v>
      </c>
    </row>
    <row r="39" customFormat="false" ht="15" hidden="false" customHeight="false" outlineLevel="0" collapsed="false">
      <c r="A39" s="3" t="s">
        <v>234</v>
      </c>
      <c r="B39" s="3" t="s">
        <v>235</v>
      </c>
      <c r="C39" s="3" t="n">
        <v>1271</v>
      </c>
      <c r="D39" s="3" t="s">
        <v>49</v>
      </c>
      <c r="E39" s="3" t="s">
        <v>236</v>
      </c>
      <c r="F39" s="3" t="n">
        <v>1</v>
      </c>
      <c r="G39" s="3" t="s">
        <v>97</v>
      </c>
      <c r="H39" s="3" t="s">
        <v>19</v>
      </c>
      <c r="I39" s="3" t="s">
        <v>237</v>
      </c>
      <c r="J39" s="3" t="s">
        <v>21</v>
      </c>
      <c r="K39" s="3" t="n">
        <v>6725</v>
      </c>
      <c r="L39" s="3" t="n">
        <v>250</v>
      </c>
      <c r="M39" s="3" t="n">
        <v>250</v>
      </c>
      <c r="N39" s="3" t="s">
        <v>238</v>
      </c>
    </row>
    <row r="40" customFormat="false" ht="15" hidden="false" customHeight="false" outlineLevel="0" collapsed="false">
      <c r="A40" s="2" t="s">
        <v>239</v>
      </c>
      <c r="B40" s="2" t="s">
        <v>240</v>
      </c>
      <c r="C40" s="2" t="n">
        <v>1272</v>
      </c>
      <c r="D40" s="2" t="s">
        <v>16</v>
      </c>
      <c r="E40" s="2" t="s">
        <v>241</v>
      </c>
      <c r="F40" s="2" t="n">
        <v>3</v>
      </c>
      <c r="G40" s="2" t="s">
        <v>51</v>
      </c>
      <c r="H40" s="2" t="s">
        <v>43</v>
      </c>
      <c r="I40" s="2" t="s">
        <v>242</v>
      </c>
      <c r="J40" s="2" t="s">
        <v>67</v>
      </c>
      <c r="K40" s="2" t="n">
        <v>3220</v>
      </c>
      <c r="L40" s="2" t="n">
        <v>250</v>
      </c>
      <c r="M40" s="2" t="n">
        <v>750</v>
      </c>
      <c r="N40" s="2" t="s">
        <v>243</v>
      </c>
    </row>
    <row r="41" customFormat="false" ht="15" hidden="false" customHeight="false" outlineLevel="0" collapsed="false">
      <c r="A41" s="3" t="s">
        <v>244</v>
      </c>
      <c r="B41" s="3" t="s">
        <v>245</v>
      </c>
      <c r="C41" s="3" t="n">
        <v>1273</v>
      </c>
      <c r="D41" s="3" t="s">
        <v>25</v>
      </c>
      <c r="E41" s="3" t="s">
        <v>246</v>
      </c>
      <c r="F41" s="3" t="n">
        <v>3</v>
      </c>
      <c r="G41" s="3" t="s">
        <v>51</v>
      </c>
      <c r="H41" s="3" t="s">
        <v>43</v>
      </c>
      <c r="I41" s="3" t="s">
        <v>247</v>
      </c>
      <c r="J41" s="3" t="s">
        <v>111</v>
      </c>
      <c r="K41" s="3" t="n">
        <v>3000</v>
      </c>
      <c r="L41" s="3" t="n">
        <v>800</v>
      </c>
      <c r="M41" s="3" t="n">
        <v>2400</v>
      </c>
      <c r="N41" s="3" t="s">
        <v>248</v>
      </c>
    </row>
    <row r="42" customFormat="false" ht="15" hidden="false" customHeight="false" outlineLevel="0" collapsed="false">
      <c r="A42" s="2" t="s">
        <v>249</v>
      </c>
      <c r="B42" s="2" t="s">
        <v>250</v>
      </c>
      <c r="C42" s="2" t="n">
        <v>1274</v>
      </c>
      <c r="D42" s="2" t="s">
        <v>108</v>
      </c>
      <c r="E42" s="2" t="s">
        <v>251</v>
      </c>
      <c r="F42" s="2" t="n">
        <v>1</v>
      </c>
      <c r="G42" s="2" t="s">
        <v>51</v>
      </c>
      <c r="H42" s="2" t="s">
        <v>52</v>
      </c>
      <c r="I42" s="2" t="s">
        <v>252</v>
      </c>
      <c r="J42" s="2" t="s">
        <v>54</v>
      </c>
      <c r="K42" s="2" t="n">
        <v>4217</v>
      </c>
      <c r="L42" s="2" t="n">
        <v>1200</v>
      </c>
      <c r="M42" s="2" t="n">
        <v>1200</v>
      </c>
      <c r="N42" s="2" t="s">
        <v>253</v>
      </c>
    </row>
    <row r="43" customFormat="false" ht="15" hidden="false" customHeight="false" outlineLevel="0" collapsed="false">
      <c r="A43" s="3" t="s">
        <v>254</v>
      </c>
      <c r="B43" s="3" t="s">
        <v>255</v>
      </c>
      <c r="C43" s="3" t="n">
        <v>1275</v>
      </c>
      <c r="D43" s="3" t="s">
        <v>34</v>
      </c>
      <c r="E43" s="3" t="s">
        <v>256</v>
      </c>
      <c r="F43" s="3" t="n">
        <v>2</v>
      </c>
      <c r="G43" s="3" t="s">
        <v>51</v>
      </c>
      <c r="H43" s="3" t="s">
        <v>78</v>
      </c>
      <c r="I43" s="3" t="s">
        <v>257</v>
      </c>
      <c r="J43" s="3" t="s">
        <v>80</v>
      </c>
      <c r="K43" s="3" t="n">
        <v>7250</v>
      </c>
      <c r="L43" s="3" t="n">
        <v>300</v>
      </c>
      <c r="M43" s="3" t="n">
        <v>600</v>
      </c>
      <c r="N43" s="3" t="s">
        <v>258</v>
      </c>
    </row>
    <row r="44" customFormat="false" ht="15" hidden="false" customHeight="false" outlineLevel="0" collapsed="false">
      <c r="A44" s="2" t="s">
        <v>259</v>
      </c>
      <c r="B44" s="2" t="s">
        <v>260</v>
      </c>
      <c r="C44" s="2" t="n">
        <v>1276</v>
      </c>
      <c r="D44" s="2" t="s">
        <v>108</v>
      </c>
      <c r="E44" s="2" t="s">
        <v>261</v>
      </c>
      <c r="F44" s="2" t="n">
        <v>1</v>
      </c>
      <c r="G44" s="2" t="s">
        <v>18</v>
      </c>
      <c r="H44" s="2" t="s">
        <v>28</v>
      </c>
      <c r="I44" s="2" t="s">
        <v>262</v>
      </c>
      <c r="J44" s="2" t="s">
        <v>30</v>
      </c>
      <c r="K44" s="2" t="n">
        <v>2600</v>
      </c>
      <c r="L44" s="2" t="n">
        <v>1200</v>
      </c>
      <c r="M44" s="2" t="n">
        <v>1200</v>
      </c>
      <c r="N44" s="2" t="s">
        <v>263</v>
      </c>
    </row>
    <row r="45" customFormat="false" ht="15" hidden="false" customHeight="false" outlineLevel="0" collapsed="false">
      <c r="A45" s="3" t="s">
        <v>264</v>
      </c>
      <c r="B45" s="3" t="s">
        <v>265</v>
      </c>
      <c r="C45" s="3" t="n">
        <v>1277</v>
      </c>
      <c r="D45" s="3" t="s">
        <v>108</v>
      </c>
      <c r="E45" s="3" t="s">
        <v>266</v>
      </c>
      <c r="F45" s="3" t="n">
        <v>1</v>
      </c>
      <c r="G45" s="3" t="s">
        <v>27</v>
      </c>
      <c r="H45" s="3" t="s">
        <v>59</v>
      </c>
      <c r="I45" s="3" t="s">
        <v>267</v>
      </c>
      <c r="J45" s="3" t="s">
        <v>61</v>
      </c>
      <c r="K45" s="3" t="n">
        <v>5290</v>
      </c>
      <c r="L45" s="3" t="n">
        <v>1200</v>
      </c>
      <c r="M45" s="3" t="n">
        <v>1200</v>
      </c>
      <c r="N45" s="3" t="s">
        <v>268</v>
      </c>
    </row>
    <row r="46" customFormat="false" ht="15" hidden="false" customHeight="false" outlineLevel="0" collapsed="false">
      <c r="A46" s="2" t="s">
        <v>269</v>
      </c>
      <c r="B46" s="2" t="s">
        <v>270</v>
      </c>
      <c r="C46" s="2" t="n">
        <v>1278</v>
      </c>
      <c r="D46" s="2" t="s">
        <v>108</v>
      </c>
      <c r="E46" s="2" t="s">
        <v>271</v>
      </c>
      <c r="F46" s="2" t="n">
        <v>2</v>
      </c>
      <c r="G46" s="2" t="s">
        <v>18</v>
      </c>
      <c r="H46" s="2" t="s">
        <v>36</v>
      </c>
      <c r="I46" s="2" t="s">
        <v>272</v>
      </c>
      <c r="J46" s="2" t="s">
        <v>170</v>
      </c>
      <c r="K46" s="2" t="n">
        <v>2500</v>
      </c>
      <c r="L46" s="2" t="n">
        <v>1200</v>
      </c>
      <c r="M46" s="2" t="n">
        <v>2400</v>
      </c>
      <c r="N46" s="2" t="s">
        <v>273</v>
      </c>
    </row>
    <row r="47" customFormat="false" ht="15" hidden="false" customHeight="false" outlineLevel="0" collapsed="false">
      <c r="A47" s="3" t="s">
        <v>274</v>
      </c>
      <c r="B47" s="3" t="s">
        <v>275</v>
      </c>
      <c r="C47" s="3" t="n">
        <v>1279</v>
      </c>
      <c r="D47" s="3" t="s">
        <v>16</v>
      </c>
      <c r="E47" s="3" t="s">
        <v>276</v>
      </c>
      <c r="F47" s="3" t="n">
        <v>1</v>
      </c>
      <c r="G47" s="3" t="s">
        <v>18</v>
      </c>
      <c r="H47" s="3" t="s">
        <v>43</v>
      </c>
      <c r="I47" s="3" t="s">
        <v>277</v>
      </c>
      <c r="J47" s="3" t="s">
        <v>45</v>
      </c>
      <c r="K47" s="3" t="n">
        <v>3350</v>
      </c>
      <c r="L47" s="3" t="n">
        <v>250</v>
      </c>
      <c r="M47" s="3" t="n">
        <v>250</v>
      </c>
      <c r="N47" s="3" t="s">
        <v>278</v>
      </c>
    </row>
    <row r="48" customFormat="false" ht="15" hidden="false" customHeight="false" outlineLevel="0" collapsed="false">
      <c r="A48" s="2" t="s">
        <v>279</v>
      </c>
      <c r="B48" s="2" t="s">
        <v>179</v>
      </c>
      <c r="C48" s="2" t="n">
        <v>1280</v>
      </c>
      <c r="D48" s="2" t="s">
        <v>108</v>
      </c>
      <c r="E48" s="2" t="s">
        <v>280</v>
      </c>
      <c r="F48" s="2" t="n">
        <v>2</v>
      </c>
      <c r="G48" s="2" t="s">
        <v>18</v>
      </c>
      <c r="H48" s="2" t="s">
        <v>52</v>
      </c>
      <c r="I48" s="2" t="s">
        <v>281</v>
      </c>
      <c r="J48" s="2" t="s">
        <v>182</v>
      </c>
      <c r="K48" s="2" t="n">
        <v>4000</v>
      </c>
      <c r="L48" s="2" t="n">
        <v>1200</v>
      </c>
      <c r="M48" s="2" t="n">
        <v>2400</v>
      </c>
      <c r="N48" s="2" t="s">
        <v>282</v>
      </c>
    </row>
    <row r="49" customFormat="false" ht="15" hidden="false" customHeight="false" outlineLevel="0" collapsed="false">
      <c r="A49" s="3" t="s">
        <v>283</v>
      </c>
      <c r="B49" s="3" t="s">
        <v>284</v>
      </c>
      <c r="C49" s="3" t="n">
        <v>1281</v>
      </c>
      <c r="D49" s="3" t="s">
        <v>49</v>
      </c>
      <c r="E49" s="3" t="s">
        <v>285</v>
      </c>
      <c r="F49" s="3" t="n">
        <v>2</v>
      </c>
      <c r="G49" s="3" t="s">
        <v>18</v>
      </c>
      <c r="H49" s="3" t="s">
        <v>59</v>
      </c>
      <c r="I49" s="3" t="s">
        <v>286</v>
      </c>
      <c r="J49" s="3" t="s">
        <v>99</v>
      </c>
      <c r="K49" s="3" t="n">
        <v>5000</v>
      </c>
      <c r="L49" s="3" t="n">
        <v>250</v>
      </c>
      <c r="M49" s="3" t="n">
        <v>500</v>
      </c>
      <c r="N49" s="3" t="s">
        <v>287</v>
      </c>
    </row>
    <row r="50" customFormat="false" ht="15" hidden="false" customHeight="false" outlineLevel="0" collapsed="false">
      <c r="A50" s="2" t="s">
        <v>288</v>
      </c>
      <c r="B50" s="2" t="s">
        <v>289</v>
      </c>
      <c r="C50" s="2" t="n">
        <v>1282</v>
      </c>
      <c r="D50" s="2" t="s">
        <v>147</v>
      </c>
      <c r="E50" s="2" t="s">
        <v>290</v>
      </c>
      <c r="F50" s="2" t="n">
        <v>3</v>
      </c>
      <c r="G50" s="2" t="s">
        <v>18</v>
      </c>
      <c r="H50" s="2" t="s">
        <v>59</v>
      </c>
      <c r="I50" s="2" t="s">
        <v>291</v>
      </c>
      <c r="J50" s="2" t="s">
        <v>292</v>
      </c>
      <c r="K50" s="2" t="n">
        <v>5600</v>
      </c>
      <c r="L50" s="2" t="n">
        <v>600</v>
      </c>
      <c r="M50" s="2" t="n">
        <v>1800</v>
      </c>
      <c r="N50" s="2" t="s">
        <v>293</v>
      </c>
    </row>
    <row r="51" customFormat="false" ht="15" hidden="false" customHeight="false" outlineLevel="0" collapsed="false">
      <c r="A51" s="3" t="s">
        <v>294</v>
      </c>
      <c r="B51" s="3" t="s">
        <v>295</v>
      </c>
      <c r="C51" s="3" t="n">
        <v>1283</v>
      </c>
      <c r="D51" s="3" t="s">
        <v>49</v>
      </c>
      <c r="E51" s="3" t="s">
        <v>296</v>
      </c>
      <c r="F51" s="3" t="n">
        <v>1</v>
      </c>
      <c r="G51" s="3" t="s">
        <v>18</v>
      </c>
      <c r="H51" s="3" t="s">
        <v>36</v>
      </c>
      <c r="I51" s="3" t="s">
        <v>297</v>
      </c>
      <c r="J51" s="3" t="s">
        <v>170</v>
      </c>
      <c r="K51" s="3" t="n">
        <v>2500</v>
      </c>
      <c r="L51" s="3" t="n">
        <v>250</v>
      </c>
      <c r="M51" s="3" t="n">
        <v>250</v>
      </c>
      <c r="N51" s="3" t="s">
        <v>298</v>
      </c>
    </row>
    <row r="52" customFormat="false" ht="15" hidden="false" customHeight="false" outlineLevel="0" collapsed="false">
      <c r="A52" s="2" t="s">
        <v>299</v>
      </c>
      <c r="B52" s="2" t="s">
        <v>300</v>
      </c>
      <c r="C52" s="2" t="n">
        <v>1284</v>
      </c>
      <c r="D52" s="2" t="s">
        <v>25</v>
      </c>
      <c r="E52" s="2" t="s">
        <v>301</v>
      </c>
      <c r="F52" s="2" t="n">
        <v>2</v>
      </c>
      <c r="G52" s="2" t="s">
        <v>18</v>
      </c>
      <c r="H52" s="2" t="s">
        <v>43</v>
      </c>
      <c r="I52" s="2" t="s">
        <v>302</v>
      </c>
      <c r="J52" s="2" t="s">
        <v>45</v>
      </c>
      <c r="K52" s="2" t="n">
        <v>3350</v>
      </c>
      <c r="L52" s="2" t="n">
        <v>800</v>
      </c>
      <c r="M52" s="2" t="n">
        <v>1600</v>
      </c>
      <c r="N52" s="2" t="s">
        <v>303</v>
      </c>
    </row>
    <row r="53" customFormat="false" ht="15" hidden="false" customHeight="false" outlineLevel="0" collapsed="false">
      <c r="A53" s="3" t="s">
        <v>304</v>
      </c>
      <c r="B53" s="3" t="s">
        <v>305</v>
      </c>
      <c r="C53" s="3" t="n">
        <v>1285</v>
      </c>
      <c r="D53" s="3" t="s">
        <v>16</v>
      </c>
      <c r="E53" s="3" t="s">
        <v>306</v>
      </c>
      <c r="F53" s="3" t="n">
        <v>3</v>
      </c>
      <c r="G53" s="3" t="s">
        <v>51</v>
      </c>
      <c r="H53" s="3" t="s">
        <v>36</v>
      </c>
      <c r="I53" s="3" t="s">
        <v>307</v>
      </c>
      <c r="J53" s="3" t="s">
        <v>38</v>
      </c>
      <c r="K53" s="3" t="n">
        <v>2300</v>
      </c>
      <c r="L53" s="3" t="n">
        <v>250</v>
      </c>
      <c r="M53" s="3" t="n">
        <v>750</v>
      </c>
      <c r="N53" s="3" t="s">
        <v>308</v>
      </c>
    </row>
    <row r="54" customFormat="false" ht="15" hidden="false" customHeight="false" outlineLevel="0" collapsed="false">
      <c r="A54" s="2" t="s">
        <v>309</v>
      </c>
      <c r="B54" s="2" t="s">
        <v>310</v>
      </c>
      <c r="C54" s="2" t="n">
        <v>1286</v>
      </c>
      <c r="D54" s="2" t="s">
        <v>147</v>
      </c>
      <c r="E54" s="2" t="s">
        <v>311</v>
      </c>
      <c r="F54" s="2" t="n">
        <v>2</v>
      </c>
      <c r="G54" s="2" t="s">
        <v>51</v>
      </c>
      <c r="H54" s="2" t="s">
        <v>36</v>
      </c>
      <c r="I54" s="2" t="s">
        <v>312</v>
      </c>
      <c r="J54" s="2" t="s">
        <v>170</v>
      </c>
      <c r="K54" s="2" t="n">
        <v>2500</v>
      </c>
      <c r="L54" s="2" t="n">
        <v>600</v>
      </c>
      <c r="M54" s="2" t="n">
        <v>1200</v>
      </c>
      <c r="N54" s="2" t="s">
        <v>313</v>
      </c>
    </row>
    <row r="55" customFormat="false" ht="15" hidden="false" customHeight="false" outlineLevel="0" collapsed="false">
      <c r="A55" s="3" t="s">
        <v>224</v>
      </c>
      <c r="B55" s="3" t="s">
        <v>314</v>
      </c>
      <c r="C55" s="3" t="n">
        <v>1287</v>
      </c>
      <c r="D55" s="3" t="s">
        <v>25</v>
      </c>
      <c r="E55" s="3" t="s">
        <v>315</v>
      </c>
      <c r="F55" s="3" t="n">
        <v>3</v>
      </c>
      <c r="G55" s="3" t="s">
        <v>51</v>
      </c>
      <c r="H55" s="3" t="s">
        <v>121</v>
      </c>
      <c r="I55" s="3" t="s">
        <v>316</v>
      </c>
      <c r="J55" s="3" t="s">
        <v>317</v>
      </c>
      <c r="K55" s="3" t="n">
        <v>870</v>
      </c>
      <c r="L55" s="3" t="n">
        <v>800</v>
      </c>
      <c r="M55" s="3" t="n">
        <v>2400</v>
      </c>
      <c r="N55" s="3" t="s">
        <v>318</v>
      </c>
    </row>
    <row r="56" customFormat="false" ht="15" hidden="false" customHeight="false" outlineLevel="0" collapsed="false">
      <c r="A56" s="2" t="s">
        <v>319</v>
      </c>
      <c r="B56" s="2" t="s">
        <v>320</v>
      </c>
      <c r="C56" s="2" t="n">
        <v>1288</v>
      </c>
      <c r="D56" s="2" t="s">
        <v>16</v>
      </c>
      <c r="E56" s="2" t="s">
        <v>321</v>
      </c>
      <c r="F56" s="2" t="n">
        <v>2</v>
      </c>
      <c r="G56" s="2" t="s">
        <v>51</v>
      </c>
      <c r="H56" s="2" t="s">
        <v>43</v>
      </c>
      <c r="I56" s="2" t="s">
        <v>322</v>
      </c>
      <c r="J56" s="2" t="s">
        <v>45</v>
      </c>
      <c r="K56" s="2" t="n">
        <v>3350</v>
      </c>
      <c r="L56" s="2" t="n">
        <v>250</v>
      </c>
      <c r="M56" s="2" t="n">
        <v>500</v>
      </c>
      <c r="N56" s="2" t="s">
        <v>323</v>
      </c>
    </row>
    <row r="57" customFormat="false" ht="15" hidden="false" customHeight="false" outlineLevel="0" collapsed="false">
      <c r="A57" s="3" t="s">
        <v>324</v>
      </c>
      <c r="B57" s="3" t="s">
        <v>325</v>
      </c>
      <c r="C57" s="3" t="n">
        <v>1289</v>
      </c>
      <c r="D57" s="3" t="s">
        <v>108</v>
      </c>
      <c r="E57" s="3" t="s">
        <v>326</v>
      </c>
      <c r="F57" s="3" t="n">
        <v>2</v>
      </c>
      <c r="G57" s="3" t="s">
        <v>51</v>
      </c>
      <c r="H57" s="3" t="s">
        <v>36</v>
      </c>
      <c r="I57" s="3" t="s">
        <v>327</v>
      </c>
      <c r="J57" s="3" t="s">
        <v>170</v>
      </c>
      <c r="K57" s="3" t="n">
        <v>2500</v>
      </c>
      <c r="L57" s="3" t="n">
        <v>1200</v>
      </c>
      <c r="M57" s="3" t="n">
        <v>2400</v>
      </c>
      <c r="N57" s="3" t="s">
        <v>328</v>
      </c>
    </row>
    <row r="58" customFormat="false" ht="15" hidden="false" customHeight="false" outlineLevel="0" collapsed="false">
      <c r="A58" s="2" t="s">
        <v>329</v>
      </c>
      <c r="B58" s="2" t="s">
        <v>330</v>
      </c>
      <c r="C58" s="2" t="n">
        <v>1290</v>
      </c>
      <c r="D58" s="2" t="s">
        <v>34</v>
      </c>
      <c r="E58" s="2" t="s">
        <v>331</v>
      </c>
      <c r="F58" s="2" t="n">
        <v>3</v>
      </c>
      <c r="G58" s="2" t="s">
        <v>27</v>
      </c>
      <c r="H58" s="2" t="s">
        <v>59</v>
      </c>
      <c r="I58" s="2" t="s">
        <v>332</v>
      </c>
      <c r="J58" s="2" t="s">
        <v>99</v>
      </c>
      <c r="K58" s="2" t="n">
        <v>5000</v>
      </c>
      <c r="L58" s="2" t="n">
        <v>300</v>
      </c>
      <c r="M58" s="2" t="n">
        <v>900</v>
      </c>
      <c r="N58" s="2" t="s">
        <v>333</v>
      </c>
    </row>
    <row r="59" customFormat="false" ht="15" hidden="false" customHeight="false" outlineLevel="0" collapsed="false">
      <c r="A59" s="3" t="s">
        <v>334</v>
      </c>
      <c r="B59" s="3" t="s">
        <v>335</v>
      </c>
      <c r="C59" s="3" t="n">
        <v>1291</v>
      </c>
      <c r="D59" s="3" t="s">
        <v>108</v>
      </c>
      <c r="E59" s="3" t="s">
        <v>336</v>
      </c>
      <c r="F59" s="3" t="n">
        <v>1</v>
      </c>
      <c r="G59" s="3" t="s">
        <v>51</v>
      </c>
      <c r="H59" s="3" t="s">
        <v>28</v>
      </c>
      <c r="I59" s="3" t="s">
        <v>337</v>
      </c>
      <c r="J59" s="3" t="s">
        <v>30</v>
      </c>
      <c r="K59" s="3" t="n">
        <v>2600</v>
      </c>
      <c r="L59" s="3" t="n">
        <v>1200</v>
      </c>
      <c r="M59" s="3" t="n">
        <v>1200</v>
      </c>
      <c r="N59" s="3" t="s">
        <v>338</v>
      </c>
    </row>
    <row r="60" customFormat="false" ht="15" hidden="false" customHeight="false" outlineLevel="0" collapsed="false">
      <c r="A60" s="2" t="s">
        <v>299</v>
      </c>
      <c r="B60" s="2" t="s">
        <v>339</v>
      </c>
      <c r="C60" s="2" t="n">
        <v>1292</v>
      </c>
      <c r="D60" s="2" t="s">
        <v>49</v>
      </c>
      <c r="E60" s="2" t="s">
        <v>340</v>
      </c>
      <c r="F60" s="2" t="n">
        <v>3</v>
      </c>
      <c r="G60" s="2" t="s">
        <v>18</v>
      </c>
      <c r="H60" s="2" t="s">
        <v>121</v>
      </c>
      <c r="I60" s="2" t="s">
        <v>341</v>
      </c>
      <c r="J60" s="2" t="s">
        <v>123</v>
      </c>
      <c r="K60" s="2" t="n">
        <v>800</v>
      </c>
      <c r="L60" s="2" t="n">
        <v>250</v>
      </c>
      <c r="M60" s="2" t="n">
        <v>750</v>
      </c>
      <c r="N60" s="2" t="s">
        <v>342</v>
      </c>
    </row>
    <row r="61" customFormat="false" ht="15" hidden="false" customHeight="false" outlineLevel="0" collapsed="false">
      <c r="A61" s="3" t="s">
        <v>343</v>
      </c>
      <c r="B61" s="3" t="s">
        <v>344</v>
      </c>
      <c r="C61" s="3" t="n">
        <v>1293</v>
      </c>
      <c r="D61" s="3" t="s">
        <v>108</v>
      </c>
      <c r="E61" s="3" t="s">
        <v>345</v>
      </c>
      <c r="F61" s="3" t="n">
        <v>2</v>
      </c>
      <c r="G61" s="3" t="s">
        <v>51</v>
      </c>
      <c r="H61" s="3" t="s">
        <v>36</v>
      </c>
      <c r="I61" s="3" t="s">
        <v>346</v>
      </c>
      <c r="J61" s="3" t="s">
        <v>192</v>
      </c>
      <c r="K61" s="3" t="n">
        <v>2000</v>
      </c>
      <c r="L61" s="3" t="n">
        <v>1200</v>
      </c>
      <c r="M61" s="3" t="n">
        <v>2400</v>
      </c>
      <c r="N61" s="3" t="s">
        <v>347</v>
      </c>
    </row>
    <row r="62" customFormat="false" ht="15" hidden="false" customHeight="false" outlineLevel="0" collapsed="false">
      <c r="A62" s="2" t="s">
        <v>348</v>
      </c>
      <c r="B62" s="2" t="s">
        <v>47</v>
      </c>
      <c r="C62" s="2" t="n">
        <v>1294</v>
      </c>
      <c r="D62" s="2" t="s">
        <v>108</v>
      </c>
      <c r="E62" s="2" t="s">
        <v>349</v>
      </c>
      <c r="F62" s="2" t="n">
        <v>3</v>
      </c>
      <c r="G62" s="2" t="s">
        <v>51</v>
      </c>
      <c r="H62" s="2" t="s">
        <v>19</v>
      </c>
      <c r="I62" s="2" t="s">
        <v>350</v>
      </c>
      <c r="J62" s="2" t="s">
        <v>176</v>
      </c>
      <c r="K62" s="2" t="n">
        <v>6000</v>
      </c>
      <c r="L62" s="2" t="n">
        <v>1200</v>
      </c>
      <c r="M62" s="2" t="n">
        <v>3600</v>
      </c>
      <c r="N62" s="2" t="s">
        <v>351</v>
      </c>
    </row>
    <row r="63" customFormat="false" ht="15" hidden="false" customHeight="false" outlineLevel="0" collapsed="false">
      <c r="A63" s="3" t="s">
        <v>352</v>
      </c>
      <c r="B63" s="3" t="s">
        <v>353</v>
      </c>
      <c r="C63" s="3" t="n">
        <v>1295</v>
      </c>
      <c r="D63" s="3" t="s">
        <v>147</v>
      </c>
      <c r="E63" s="3" t="s">
        <v>354</v>
      </c>
      <c r="F63" s="3" t="n">
        <v>3</v>
      </c>
      <c r="G63" s="3" t="s">
        <v>51</v>
      </c>
      <c r="H63" s="3" t="s">
        <v>36</v>
      </c>
      <c r="I63" s="3" t="s">
        <v>355</v>
      </c>
      <c r="J63" s="3" t="s">
        <v>38</v>
      </c>
      <c r="K63" s="3" t="n">
        <v>2300</v>
      </c>
      <c r="L63" s="3" t="n">
        <v>600</v>
      </c>
      <c r="M63" s="3" t="n">
        <v>1800</v>
      </c>
      <c r="N63" s="3" t="s">
        <v>356</v>
      </c>
    </row>
    <row r="64" customFormat="false" ht="15" hidden="false" customHeight="false" outlineLevel="0" collapsed="false">
      <c r="A64" s="2" t="s">
        <v>357</v>
      </c>
      <c r="B64" s="2" t="s">
        <v>358</v>
      </c>
      <c r="C64" s="2" t="n">
        <v>1296</v>
      </c>
      <c r="D64" s="2" t="s">
        <v>49</v>
      </c>
      <c r="E64" s="2" t="s">
        <v>354</v>
      </c>
      <c r="F64" s="2" t="n">
        <v>1</v>
      </c>
      <c r="G64" s="2" t="s">
        <v>18</v>
      </c>
      <c r="H64" s="2" t="s">
        <v>52</v>
      </c>
      <c r="I64" s="2" t="s">
        <v>359</v>
      </c>
      <c r="J64" s="2" t="s">
        <v>54</v>
      </c>
      <c r="K64" s="2" t="n">
        <v>4217</v>
      </c>
      <c r="L64" s="2" t="n">
        <v>250</v>
      </c>
      <c r="M64" s="2" t="n">
        <v>250</v>
      </c>
      <c r="N64" s="2" t="s">
        <v>360</v>
      </c>
    </row>
    <row r="65" customFormat="false" ht="15" hidden="false" customHeight="false" outlineLevel="0" collapsed="false">
      <c r="A65" s="3" t="s">
        <v>361</v>
      </c>
      <c r="B65" s="3" t="s">
        <v>362</v>
      </c>
      <c r="C65" s="3" t="n">
        <v>1297</v>
      </c>
      <c r="D65" s="3" t="s">
        <v>49</v>
      </c>
      <c r="E65" s="3" t="s">
        <v>363</v>
      </c>
      <c r="F65" s="3" t="n">
        <v>3</v>
      </c>
      <c r="G65" s="3" t="s">
        <v>18</v>
      </c>
      <c r="H65" s="3" t="s">
        <v>121</v>
      </c>
      <c r="I65" s="3" t="s">
        <v>364</v>
      </c>
      <c r="J65" s="3" t="s">
        <v>123</v>
      </c>
      <c r="K65" s="3" t="n">
        <v>800</v>
      </c>
      <c r="L65" s="3" t="n">
        <v>250</v>
      </c>
      <c r="M65" s="3" t="n">
        <v>750</v>
      </c>
      <c r="N65" s="3" t="s">
        <v>365</v>
      </c>
    </row>
    <row r="66" customFormat="false" ht="15" hidden="false" customHeight="false" outlineLevel="0" collapsed="false">
      <c r="A66" s="2" t="s">
        <v>366</v>
      </c>
      <c r="B66" s="2" t="s">
        <v>367</v>
      </c>
      <c r="C66" s="2" t="n">
        <v>1298</v>
      </c>
      <c r="D66" s="2" t="s">
        <v>108</v>
      </c>
      <c r="E66" s="2" t="s">
        <v>368</v>
      </c>
      <c r="F66" s="2" t="n">
        <v>3</v>
      </c>
      <c r="G66" s="2" t="s">
        <v>51</v>
      </c>
      <c r="H66" s="2" t="s">
        <v>78</v>
      </c>
      <c r="I66" s="2" t="s">
        <v>369</v>
      </c>
      <c r="J66" s="2" t="s">
        <v>80</v>
      </c>
      <c r="K66" s="2" t="n">
        <v>7250</v>
      </c>
      <c r="L66" s="2" t="n">
        <v>1200</v>
      </c>
      <c r="M66" s="2" t="n">
        <v>3600</v>
      </c>
      <c r="N66" s="2" t="s">
        <v>370</v>
      </c>
    </row>
    <row r="67" customFormat="false" ht="15" hidden="false" customHeight="false" outlineLevel="0" collapsed="false">
      <c r="A67" s="3" t="s">
        <v>57</v>
      </c>
      <c r="B67" s="3" t="s">
        <v>371</v>
      </c>
      <c r="C67" s="3" t="n">
        <v>1299</v>
      </c>
      <c r="D67" s="3" t="s">
        <v>108</v>
      </c>
      <c r="E67" s="3" t="s">
        <v>372</v>
      </c>
      <c r="F67" s="3" t="n">
        <v>3</v>
      </c>
      <c r="G67" s="3" t="s">
        <v>51</v>
      </c>
      <c r="H67" s="3" t="s">
        <v>121</v>
      </c>
      <c r="I67" s="3" t="s">
        <v>373</v>
      </c>
      <c r="J67" s="3" t="s">
        <v>317</v>
      </c>
      <c r="K67" s="3" t="n">
        <v>870</v>
      </c>
      <c r="L67" s="3" t="n">
        <v>1200</v>
      </c>
      <c r="M67" s="3" t="n">
        <v>3600</v>
      </c>
      <c r="N67" s="3" t="s">
        <v>374</v>
      </c>
    </row>
    <row r="68" customFormat="false" ht="15" hidden="false" customHeight="false" outlineLevel="0" collapsed="false">
      <c r="A68" s="2" t="s">
        <v>375</v>
      </c>
      <c r="B68" s="2" t="s">
        <v>376</v>
      </c>
      <c r="C68" s="2" t="n">
        <v>1300</v>
      </c>
      <c r="D68" s="2" t="s">
        <v>34</v>
      </c>
      <c r="E68" s="2" t="s">
        <v>377</v>
      </c>
      <c r="F68" s="2" t="n">
        <v>1</v>
      </c>
      <c r="G68" s="2" t="s">
        <v>18</v>
      </c>
      <c r="H68" s="2" t="s">
        <v>28</v>
      </c>
      <c r="I68" s="2" t="s">
        <v>378</v>
      </c>
      <c r="J68" s="2" t="s">
        <v>30</v>
      </c>
      <c r="K68" s="2" t="n">
        <v>2600</v>
      </c>
      <c r="L68" s="2" t="n">
        <v>300</v>
      </c>
      <c r="M68" s="2" t="n">
        <v>300</v>
      </c>
      <c r="N68" s="2" t="s">
        <v>379</v>
      </c>
    </row>
    <row r="69" customFormat="false" ht="15" hidden="false" customHeight="false" outlineLevel="0" collapsed="false">
      <c r="A69" s="3" t="s">
        <v>380</v>
      </c>
      <c r="B69" s="3" t="s">
        <v>381</v>
      </c>
      <c r="C69" s="3" t="n">
        <v>1301</v>
      </c>
      <c r="D69" s="3" t="s">
        <v>147</v>
      </c>
      <c r="E69" s="3" t="s">
        <v>382</v>
      </c>
      <c r="F69" s="3" t="n">
        <v>2</v>
      </c>
      <c r="G69" s="3" t="s">
        <v>18</v>
      </c>
      <c r="H69" s="3" t="s">
        <v>19</v>
      </c>
      <c r="I69" s="3" t="s">
        <v>383</v>
      </c>
      <c r="J69" s="3" t="s">
        <v>21</v>
      </c>
      <c r="K69" s="3" t="n">
        <v>6725</v>
      </c>
      <c r="L69" s="3" t="n">
        <v>600</v>
      </c>
      <c r="M69" s="3" t="n">
        <v>1200</v>
      </c>
      <c r="N69" s="3" t="s">
        <v>384</v>
      </c>
    </row>
    <row r="70" customFormat="false" ht="15" hidden="false" customHeight="false" outlineLevel="0" collapsed="false">
      <c r="A70" s="2" t="s">
        <v>385</v>
      </c>
      <c r="B70" s="2" t="s">
        <v>386</v>
      </c>
      <c r="C70" s="2" t="n">
        <v>1302</v>
      </c>
      <c r="D70" s="2" t="s">
        <v>49</v>
      </c>
      <c r="E70" s="2" t="s">
        <v>387</v>
      </c>
      <c r="F70" s="2" t="n">
        <v>1</v>
      </c>
      <c r="G70" s="2" t="s">
        <v>51</v>
      </c>
      <c r="H70" s="2" t="s">
        <v>78</v>
      </c>
      <c r="I70" s="2" t="s">
        <v>388</v>
      </c>
      <c r="J70" s="2" t="s">
        <v>80</v>
      </c>
      <c r="K70" s="2" t="n">
        <v>7250</v>
      </c>
      <c r="L70" s="2" t="n">
        <v>250</v>
      </c>
      <c r="M70" s="2" t="n">
        <v>250</v>
      </c>
      <c r="N70" s="2" t="s">
        <v>389</v>
      </c>
    </row>
    <row r="71" customFormat="false" ht="15" hidden="false" customHeight="false" outlineLevel="0" collapsed="false">
      <c r="A71" s="3" t="s">
        <v>390</v>
      </c>
      <c r="B71" s="3" t="s">
        <v>391</v>
      </c>
      <c r="C71" s="3" t="n">
        <v>1303</v>
      </c>
      <c r="D71" s="3" t="s">
        <v>108</v>
      </c>
      <c r="E71" s="3" t="s">
        <v>392</v>
      </c>
      <c r="F71" s="3" t="n">
        <v>3</v>
      </c>
      <c r="G71" s="3" t="s">
        <v>18</v>
      </c>
      <c r="H71" s="3" t="s">
        <v>36</v>
      </c>
      <c r="I71" s="3" t="s">
        <v>393</v>
      </c>
      <c r="J71" s="3" t="s">
        <v>170</v>
      </c>
      <c r="K71" s="3" t="n">
        <v>2500</v>
      </c>
      <c r="L71" s="3" t="n">
        <v>1200</v>
      </c>
      <c r="M71" s="3" t="n">
        <v>3600</v>
      </c>
      <c r="N71" s="3" t="s">
        <v>394</v>
      </c>
    </row>
    <row r="72" customFormat="false" ht="15" hidden="false" customHeight="false" outlineLevel="0" collapsed="false">
      <c r="A72" s="2" t="s">
        <v>254</v>
      </c>
      <c r="B72" s="2" t="s">
        <v>395</v>
      </c>
      <c r="C72" s="2" t="n">
        <v>1304</v>
      </c>
      <c r="D72" s="2" t="s">
        <v>147</v>
      </c>
      <c r="E72" s="2" t="s">
        <v>396</v>
      </c>
      <c r="F72" s="2" t="n">
        <v>1</v>
      </c>
      <c r="G72" s="2" t="s">
        <v>18</v>
      </c>
      <c r="H72" s="2" t="s">
        <v>121</v>
      </c>
      <c r="I72" s="2" t="s">
        <v>397</v>
      </c>
      <c r="J72" s="2" t="s">
        <v>317</v>
      </c>
      <c r="K72" s="2" t="n">
        <v>870</v>
      </c>
      <c r="L72" s="2" t="n">
        <v>600</v>
      </c>
      <c r="M72" s="2" t="n">
        <v>600</v>
      </c>
      <c r="N72" s="2" t="s">
        <v>398</v>
      </c>
    </row>
    <row r="73" customFormat="false" ht="15" hidden="false" customHeight="false" outlineLevel="0" collapsed="false">
      <c r="A73" s="3" t="s">
        <v>399</v>
      </c>
      <c r="B73" s="3" t="s">
        <v>400</v>
      </c>
      <c r="C73" s="3" t="n">
        <v>1305</v>
      </c>
      <c r="D73" s="3" t="s">
        <v>34</v>
      </c>
      <c r="E73" s="3" t="s">
        <v>401</v>
      </c>
      <c r="F73" s="3" t="n">
        <v>1</v>
      </c>
      <c r="G73" s="3" t="s">
        <v>18</v>
      </c>
      <c r="H73" s="3" t="s">
        <v>43</v>
      </c>
      <c r="I73" s="3" t="s">
        <v>402</v>
      </c>
      <c r="J73" s="3" t="s">
        <v>45</v>
      </c>
      <c r="K73" s="3" t="n">
        <v>3350</v>
      </c>
      <c r="L73" s="3" t="n">
        <v>300</v>
      </c>
      <c r="M73" s="3" t="n">
        <v>300</v>
      </c>
      <c r="N73" s="3" t="s">
        <v>403</v>
      </c>
    </row>
    <row r="74" customFormat="false" ht="15" hidden="false" customHeight="false" outlineLevel="0" collapsed="false">
      <c r="A74" s="2" t="s">
        <v>404</v>
      </c>
      <c r="B74" s="2" t="s">
        <v>405</v>
      </c>
      <c r="C74" s="2" t="n">
        <v>1306</v>
      </c>
      <c r="D74" s="2" t="s">
        <v>108</v>
      </c>
      <c r="E74" s="2" t="s">
        <v>406</v>
      </c>
      <c r="F74" s="2" t="n">
        <v>1</v>
      </c>
      <c r="G74" s="2" t="s">
        <v>18</v>
      </c>
      <c r="H74" s="2" t="s">
        <v>78</v>
      </c>
      <c r="I74" s="2" t="s">
        <v>407</v>
      </c>
      <c r="J74" s="2" t="s">
        <v>408</v>
      </c>
      <c r="K74" s="2" t="n">
        <v>7310</v>
      </c>
      <c r="L74" s="2" t="n">
        <v>1200</v>
      </c>
      <c r="M74" s="2" t="n">
        <v>1200</v>
      </c>
      <c r="N74" s="2" t="s">
        <v>409</v>
      </c>
    </row>
    <row r="75" customFormat="false" ht="15" hidden="false" customHeight="false" outlineLevel="0" collapsed="false">
      <c r="A75" s="3" t="s">
        <v>410</v>
      </c>
      <c r="B75" s="3" t="s">
        <v>411</v>
      </c>
      <c r="C75" s="3" t="n">
        <v>1307</v>
      </c>
      <c r="D75" s="3" t="s">
        <v>16</v>
      </c>
      <c r="E75" s="3" t="s">
        <v>368</v>
      </c>
      <c r="F75" s="3" t="n">
        <v>1</v>
      </c>
      <c r="G75" s="3" t="s">
        <v>27</v>
      </c>
      <c r="H75" s="3" t="s">
        <v>59</v>
      </c>
      <c r="I75" s="3" t="s">
        <v>412</v>
      </c>
      <c r="J75" s="3" t="s">
        <v>99</v>
      </c>
      <c r="K75" s="3" t="n">
        <v>5000</v>
      </c>
      <c r="L75" s="3" t="n">
        <v>250</v>
      </c>
      <c r="M75" s="3" t="n">
        <v>250</v>
      </c>
      <c r="N75" s="3" t="s">
        <v>413</v>
      </c>
    </row>
    <row r="76" customFormat="false" ht="15" hidden="false" customHeight="false" outlineLevel="0" collapsed="false">
      <c r="A76" s="2" t="s">
        <v>414</v>
      </c>
      <c r="B76" s="2" t="s">
        <v>415</v>
      </c>
      <c r="C76" s="2" t="n">
        <v>1308</v>
      </c>
      <c r="D76" s="2" t="s">
        <v>49</v>
      </c>
      <c r="E76" s="2" t="s">
        <v>416</v>
      </c>
      <c r="F76" s="2" t="n">
        <v>3</v>
      </c>
      <c r="G76" s="2" t="s">
        <v>18</v>
      </c>
      <c r="H76" s="2" t="s">
        <v>121</v>
      </c>
      <c r="I76" s="2" t="s">
        <v>417</v>
      </c>
      <c r="J76" s="2" t="s">
        <v>317</v>
      </c>
      <c r="K76" s="2" t="n">
        <v>870</v>
      </c>
      <c r="L76" s="2" t="n">
        <v>250</v>
      </c>
      <c r="M76" s="2" t="n">
        <v>750</v>
      </c>
      <c r="N76" s="2" t="s">
        <v>418</v>
      </c>
    </row>
    <row r="77" customFormat="false" ht="15" hidden="false" customHeight="false" outlineLevel="0" collapsed="false">
      <c r="A77" s="3" t="s">
        <v>419</v>
      </c>
      <c r="B77" s="3" t="s">
        <v>420</v>
      </c>
      <c r="C77" s="3" t="n">
        <v>1309</v>
      </c>
      <c r="D77" s="3" t="s">
        <v>16</v>
      </c>
      <c r="E77" s="3" t="s">
        <v>421</v>
      </c>
      <c r="F77" s="3" t="n">
        <v>2</v>
      </c>
      <c r="G77" s="3" t="s">
        <v>18</v>
      </c>
      <c r="H77" s="3" t="s">
        <v>43</v>
      </c>
      <c r="I77" s="3" t="s">
        <v>422</v>
      </c>
      <c r="J77" s="3" t="s">
        <v>67</v>
      </c>
      <c r="K77" s="3" t="n">
        <v>3220</v>
      </c>
      <c r="L77" s="3" t="n">
        <v>250</v>
      </c>
      <c r="M77" s="3" t="n">
        <v>500</v>
      </c>
      <c r="N77" s="3" t="s">
        <v>423</v>
      </c>
    </row>
    <row r="78" customFormat="false" ht="15" hidden="false" customHeight="false" outlineLevel="0" collapsed="false">
      <c r="A78" s="2" t="s">
        <v>424</v>
      </c>
      <c r="B78" s="2" t="s">
        <v>220</v>
      </c>
      <c r="C78" s="2" t="n">
        <v>1310</v>
      </c>
      <c r="D78" s="2" t="s">
        <v>25</v>
      </c>
      <c r="E78" s="2" t="s">
        <v>425</v>
      </c>
      <c r="F78" s="2" t="n">
        <v>1</v>
      </c>
      <c r="G78" s="2" t="s">
        <v>18</v>
      </c>
      <c r="H78" s="2" t="s">
        <v>28</v>
      </c>
      <c r="I78" s="2" t="s">
        <v>426</v>
      </c>
      <c r="J78" s="2" t="s">
        <v>30</v>
      </c>
      <c r="K78" s="2" t="n">
        <v>2600</v>
      </c>
      <c r="L78" s="2" t="n">
        <v>800</v>
      </c>
      <c r="M78" s="2" t="n">
        <v>800</v>
      </c>
      <c r="N78" s="2" t="s">
        <v>427</v>
      </c>
    </row>
    <row r="79" customFormat="false" ht="15" hidden="false" customHeight="false" outlineLevel="0" collapsed="false">
      <c r="A79" s="3" t="s">
        <v>428</v>
      </c>
      <c r="B79" s="3" t="s">
        <v>429</v>
      </c>
      <c r="C79" s="3" t="n">
        <v>1311</v>
      </c>
      <c r="D79" s="3" t="s">
        <v>108</v>
      </c>
      <c r="E79" s="3" t="s">
        <v>430</v>
      </c>
      <c r="F79" s="3" t="n">
        <v>2</v>
      </c>
      <c r="G79" s="3" t="s">
        <v>18</v>
      </c>
      <c r="H79" s="3" t="s">
        <v>121</v>
      </c>
      <c r="I79" s="3" t="s">
        <v>431</v>
      </c>
      <c r="J79" s="3" t="s">
        <v>123</v>
      </c>
      <c r="K79" s="3" t="n">
        <v>800</v>
      </c>
      <c r="L79" s="3" t="n">
        <v>1200</v>
      </c>
      <c r="M79" s="3" t="n">
        <v>2400</v>
      </c>
      <c r="N79" s="3" t="s">
        <v>432</v>
      </c>
    </row>
    <row r="80" customFormat="false" ht="15" hidden="false" customHeight="false" outlineLevel="0" collapsed="false">
      <c r="A80" s="2" t="s">
        <v>433</v>
      </c>
      <c r="B80" s="2" t="s">
        <v>434</v>
      </c>
      <c r="C80" s="2" t="n">
        <v>1312</v>
      </c>
      <c r="D80" s="2" t="s">
        <v>49</v>
      </c>
      <c r="E80" s="2" t="s">
        <v>435</v>
      </c>
      <c r="F80" s="2" t="n">
        <v>2</v>
      </c>
      <c r="G80" s="2" t="s">
        <v>51</v>
      </c>
      <c r="H80" s="2" t="s">
        <v>43</v>
      </c>
      <c r="I80" s="2" t="s">
        <v>436</v>
      </c>
      <c r="J80" s="2" t="s">
        <v>111</v>
      </c>
      <c r="K80" s="2" t="n">
        <v>3000</v>
      </c>
      <c r="L80" s="2" t="n">
        <v>250</v>
      </c>
      <c r="M80" s="2" t="n">
        <v>500</v>
      </c>
      <c r="N80" s="2" t="s">
        <v>437</v>
      </c>
    </row>
    <row r="81" customFormat="false" ht="15" hidden="false" customHeight="false" outlineLevel="0" collapsed="false">
      <c r="A81" s="3" t="s">
        <v>438</v>
      </c>
      <c r="B81" s="3" t="s">
        <v>439</v>
      </c>
      <c r="C81" s="3" t="n">
        <v>1313</v>
      </c>
      <c r="D81" s="3" t="s">
        <v>108</v>
      </c>
      <c r="E81" s="3" t="s">
        <v>440</v>
      </c>
      <c r="F81" s="3" t="n">
        <v>1</v>
      </c>
      <c r="G81" s="3" t="s">
        <v>27</v>
      </c>
      <c r="H81" s="3" t="s">
        <v>36</v>
      </c>
      <c r="I81" s="3" t="s">
        <v>441</v>
      </c>
      <c r="J81" s="3" t="s">
        <v>170</v>
      </c>
      <c r="K81" s="3" t="n">
        <v>2500</v>
      </c>
      <c r="L81" s="3" t="n">
        <v>1200</v>
      </c>
      <c r="M81" s="3" t="n">
        <v>1200</v>
      </c>
      <c r="N81" s="3" t="s">
        <v>442</v>
      </c>
    </row>
    <row r="82" customFormat="false" ht="15" hidden="false" customHeight="false" outlineLevel="0" collapsed="false">
      <c r="A82" s="2" t="s">
        <v>443</v>
      </c>
      <c r="B82" s="2" t="s">
        <v>444</v>
      </c>
      <c r="C82" s="2" t="n">
        <v>1314</v>
      </c>
      <c r="D82" s="2" t="s">
        <v>49</v>
      </c>
      <c r="E82" s="2" t="s">
        <v>445</v>
      </c>
      <c r="F82" s="2" t="n">
        <v>3</v>
      </c>
      <c r="G82" s="2" t="s">
        <v>51</v>
      </c>
      <c r="H82" s="2" t="s">
        <v>43</v>
      </c>
      <c r="I82" s="2" t="s">
        <v>446</v>
      </c>
      <c r="J82" s="2" t="s">
        <v>111</v>
      </c>
      <c r="K82" s="2" t="n">
        <v>3000</v>
      </c>
      <c r="L82" s="2" t="n">
        <v>250</v>
      </c>
      <c r="M82" s="2" t="n">
        <v>750</v>
      </c>
      <c r="N82" s="2" t="s">
        <v>447</v>
      </c>
    </row>
    <row r="83" customFormat="false" ht="15" hidden="false" customHeight="false" outlineLevel="0" collapsed="false">
      <c r="A83" s="3" t="s">
        <v>113</v>
      </c>
      <c r="B83" s="3" t="s">
        <v>448</v>
      </c>
      <c r="C83" s="3" t="n">
        <v>1315</v>
      </c>
      <c r="D83" s="3" t="s">
        <v>34</v>
      </c>
      <c r="E83" s="3" t="s">
        <v>449</v>
      </c>
      <c r="F83" s="3" t="n">
        <v>3</v>
      </c>
      <c r="G83" s="3" t="s">
        <v>51</v>
      </c>
      <c r="H83" s="3" t="s">
        <v>52</v>
      </c>
      <c r="I83" s="3" t="s">
        <v>450</v>
      </c>
      <c r="J83" s="3" t="s">
        <v>54</v>
      </c>
      <c r="K83" s="3" t="n">
        <v>4217</v>
      </c>
      <c r="L83" s="3" t="n">
        <v>300</v>
      </c>
      <c r="M83" s="3" t="n">
        <v>900</v>
      </c>
      <c r="N83" s="3" t="s">
        <v>451</v>
      </c>
    </row>
    <row r="84" customFormat="false" ht="15" hidden="false" customHeight="false" outlineLevel="0" collapsed="false">
      <c r="A84" s="2" t="s">
        <v>452</v>
      </c>
      <c r="B84" s="2" t="s">
        <v>453</v>
      </c>
      <c r="C84" s="2" t="n">
        <v>1316</v>
      </c>
      <c r="D84" s="2" t="s">
        <v>16</v>
      </c>
      <c r="E84" s="2" t="s">
        <v>454</v>
      </c>
      <c r="F84" s="2" t="n">
        <v>1</v>
      </c>
      <c r="G84" s="2" t="s">
        <v>51</v>
      </c>
      <c r="H84" s="2" t="s">
        <v>43</v>
      </c>
      <c r="I84" s="2" t="s">
        <v>455</v>
      </c>
      <c r="J84" s="2" t="s">
        <v>45</v>
      </c>
      <c r="K84" s="2" t="n">
        <v>3350</v>
      </c>
      <c r="L84" s="2" t="n">
        <v>250</v>
      </c>
      <c r="M84" s="2" t="n">
        <v>250</v>
      </c>
      <c r="N84" s="2" t="s">
        <v>456</v>
      </c>
    </row>
    <row r="85" customFormat="false" ht="15" hidden="false" customHeight="false" outlineLevel="0" collapsed="false">
      <c r="A85" s="3" t="s">
        <v>457</v>
      </c>
      <c r="B85" s="3" t="s">
        <v>458</v>
      </c>
      <c r="C85" s="3" t="n">
        <v>1317</v>
      </c>
      <c r="D85" s="3" t="s">
        <v>108</v>
      </c>
      <c r="E85" s="3" t="s">
        <v>459</v>
      </c>
      <c r="F85" s="3" t="n">
        <v>3</v>
      </c>
      <c r="G85" s="3" t="s">
        <v>18</v>
      </c>
      <c r="H85" s="3" t="s">
        <v>28</v>
      </c>
      <c r="I85" s="3" t="s">
        <v>460</v>
      </c>
      <c r="J85" s="3" t="s">
        <v>30</v>
      </c>
      <c r="K85" s="3" t="n">
        <v>2600</v>
      </c>
      <c r="L85" s="3" t="n">
        <v>1200</v>
      </c>
      <c r="M85" s="3" t="n">
        <v>3600</v>
      </c>
      <c r="N85" s="3" t="s">
        <v>461</v>
      </c>
    </row>
    <row r="86" customFormat="false" ht="15" hidden="false" customHeight="false" outlineLevel="0" collapsed="false">
      <c r="A86" s="2" t="s">
        <v>462</v>
      </c>
      <c r="B86" s="2" t="s">
        <v>463</v>
      </c>
      <c r="C86" s="2" t="n">
        <v>1318</v>
      </c>
      <c r="D86" s="2" t="s">
        <v>108</v>
      </c>
      <c r="E86" s="2" t="s">
        <v>464</v>
      </c>
      <c r="F86" s="2" t="n">
        <v>2</v>
      </c>
      <c r="G86" s="2" t="s">
        <v>51</v>
      </c>
      <c r="H86" s="2" t="s">
        <v>52</v>
      </c>
      <c r="I86" s="2" t="s">
        <v>465</v>
      </c>
      <c r="J86" s="2" t="s">
        <v>54</v>
      </c>
      <c r="K86" s="2" t="n">
        <v>4217</v>
      </c>
      <c r="L86" s="2" t="n">
        <v>1200</v>
      </c>
      <c r="M86" s="2" t="n">
        <v>2400</v>
      </c>
      <c r="N86" s="2" t="s">
        <v>466</v>
      </c>
    </row>
    <row r="87" customFormat="false" ht="15" hidden="false" customHeight="false" outlineLevel="0" collapsed="false">
      <c r="A87" s="3" t="s">
        <v>467</v>
      </c>
      <c r="B87" s="3" t="s">
        <v>468</v>
      </c>
      <c r="C87" s="3" t="n">
        <v>1319</v>
      </c>
      <c r="D87" s="3" t="s">
        <v>108</v>
      </c>
      <c r="E87" s="3" t="s">
        <v>469</v>
      </c>
      <c r="F87" s="3" t="n">
        <v>2</v>
      </c>
      <c r="G87" s="3" t="s">
        <v>18</v>
      </c>
      <c r="H87" s="3" t="s">
        <v>78</v>
      </c>
      <c r="I87" s="3" t="s">
        <v>470</v>
      </c>
      <c r="J87" s="3" t="s">
        <v>80</v>
      </c>
      <c r="K87" s="3" t="n">
        <v>7250</v>
      </c>
      <c r="L87" s="3" t="n">
        <v>1200</v>
      </c>
      <c r="M87" s="3" t="n">
        <v>2400</v>
      </c>
      <c r="N87" s="3" t="s">
        <v>471</v>
      </c>
    </row>
    <row r="88" customFormat="false" ht="15" hidden="false" customHeight="false" outlineLevel="0" collapsed="false">
      <c r="A88" s="2" t="s">
        <v>472</v>
      </c>
      <c r="B88" s="2" t="s">
        <v>473</v>
      </c>
      <c r="C88" s="2" t="n">
        <v>1320</v>
      </c>
      <c r="D88" s="2" t="s">
        <v>147</v>
      </c>
      <c r="E88" s="2" t="s">
        <v>474</v>
      </c>
      <c r="F88" s="2" t="n">
        <v>1</v>
      </c>
      <c r="G88" s="2" t="s">
        <v>27</v>
      </c>
      <c r="H88" s="2" t="s">
        <v>121</v>
      </c>
      <c r="I88" s="2" t="s">
        <v>475</v>
      </c>
      <c r="J88" s="2" t="s">
        <v>317</v>
      </c>
      <c r="K88" s="2" t="n">
        <v>870</v>
      </c>
      <c r="L88" s="2" t="n">
        <v>600</v>
      </c>
      <c r="M88" s="2" t="n">
        <v>600</v>
      </c>
      <c r="N88" s="2" t="s">
        <v>476</v>
      </c>
    </row>
    <row r="89" customFormat="false" ht="15" hidden="false" customHeight="false" outlineLevel="0" collapsed="false">
      <c r="A89" s="3" t="s">
        <v>477</v>
      </c>
      <c r="B89" s="3" t="s">
        <v>478</v>
      </c>
      <c r="C89" s="3" t="n">
        <v>1321</v>
      </c>
      <c r="D89" s="3" t="s">
        <v>16</v>
      </c>
      <c r="E89" s="3" t="s">
        <v>479</v>
      </c>
      <c r="F89" s="3" t="n">
        <v>1</v>
      </c>
      <c r="G89" s="3" t="s">
        <v>18</v>
      </c>
      <c r="H89" s="3" t="s">
        <v>78</v>
      </c>
      <c r="I89" s="3" t="s">
        <v>480</v>
      </c>
      <c r="J89" s="3" t="s">
        <v>86</v>
      </c>
      <c r="K89" s="3" t="n">
        <v>7000</v>
      </c>
      <c r="L89" s="3" t="n">
        <v>250</v>
      </c>
      <c r="M89" s="3" t="n">
        <v>250</v>
      </c>
      <c r="N89" s="3" t="s">
        <v>481</v>
      </c>
    </row>
    <row r="90" customFormat="false" ht="15" hidden="false" customHeight="false" outlineLevel="0" collapsed="false">
      <c r="A90" s="2" t="s">
        <v>482</v>
      </c>
      <c r="B90" s="2" t="s">
        <v>304</v>
      </c>
      <c r="C90" s="2" t="n">
        <v>1322</v>
      </c>
      <c r="D90" s="2" t="s">
        <v>49</v>
      </c>
      <c r="E90" s="2" t="s">
        <v>483</v>
      </c>
      <c r="F90" s="2" t="n">
        <v>3</v>
      </c>
      <c r="G90" s="2" t="s">
        <v>18</v>
      </c>
      <c r="H90" s="2" t="s">
        <v>36</v>
      </c>
      <c r="I90" s="2" t="s">
        <v>484</v>
      </c>
      <c r="J90" s="2" t="s">
        <v>170</v>
      </c>
      <c r="K90" s="2" t="n">
        <v>2500</v>
      </c>
      <c r="L90" s="2" t="n">
        <v>250</v>
      </c>
      <c r="M90" s="2" t="n">
        <v>750</v>
      </c>
      <c r="N90" s="2" t="s">
        <v>485</v>
      </c>
    </row>
    <row r="91" customFormat="false" ht="15" hidden="false" customHeight="false" outlineLevel="0" collapsed="false">
      <c r="A91" s="3" t="s">
        <v>486</v>
      </c>
      <c r="B91" s="3" t="s">
        <v>487</v>
      </c>
      <c r="C91" s="3" t="n">
        <v>1323</v>
      </c>
      <c r="D91" s="3" t="s">
        <v>147</v>
      </c>
      <c r="E91" s="3" t="s">
        <v>488</v>
      </c>
      <c r="F91" s="3" t="n">
        <v>3</v>
      </c>
      <c r="G91" s="3" t="s">
        <v>18</v>
      </c>
      <c r="H91" s="3" t="s">
        <v>59</v>
      </c>
      <c r="I91" s="3" t="s">
        <v>489</v>
      </c>
      <c r="J91" s="3" t="s">
        <v>61</v>
      </c>
      <c r="K91" s="3" t="n">
        <v>5290</v>
      </c>
      <c r="L91" s="3" t="n">
        <v>600</v>
      </c>
      <c r="M91" s="3" t="n">
        <v>1800</v>
      </c>
      <c r="N91" s="3" t="s">
        <v>490</v>
      </c>
    </row>
    <row r="92" customFormat="false" ht="15" hidden="false" customHeight="false" outlineLevel="0" collapsed="false">
      <c r="A92" s="2" t="s">
        <v>491</v>
      </c>
      <c r="B92" s="2" t="s">
        <v>492</v>
      </c>
      <c r="C92" s="2" t="n">
        <v>1324</v>
      </c>
      <c r="D92" s="2" t="s">
        <v>147</v>
      </c>
      <c r="E92" s="2" t="s">
        <v>493</v>
      </c>
      <c r="F92" s="2" t="n">
        <v>1</v>
      </c>
      <c r="G92" s="2" t="s">
        <v>18</v>
      </c>
      <c r="H92" s="2" t="s">
        <v>121</v>
      </c>
      <c r="I92" s="2" t="s">
        <v>494</v>
      </c>
      <c r="J92" s="2" t="s">
        <v>123</v>
      </c>
      <c r="K92" s="2" t="n">
        <v>800</v>
      </c>
      <c r="L92" s="2" t="n">
        <v>600</v>
      </c>
      <c r="M92" s="2" t="n">
        <v>600</v>
      </c>
      <c r="N92" s="2" t="s">
        <v>495</v>
      </c>
    </row>
    <row r="93" customFormat="false" ht="15" hidden="false" customHeight="false" outlineLevel="0" collapsed="false">
      <c r="A93" s="3" t="s">
        <v>496</v>
      </c>
      <c r="B93" s="3" t="s">
        <v>381</v>
      </c>
      <c r="C93" s="3" t="n">
        <v>1325</v>
      </c>
      <c r="D93" s="3" t="s">
        <v>16</v>
      </c>
      <c r="E93" s="3" t="s">
        <v>497</v>
      </c>
      <c r="F93" s="3" t="n">
        <v>2</v>
      </c>
      <c r="G93" s="3" t="s">
        <v>51</v>
      </c>
      <c r="H93" s="3" t="s">
        <v>59</v>
      </c>
      <c r="I93" s="3" t="s">
        <v>498</v>
      </c>
      <c r="J93" s="3" t="s">
        <v>99</v>
      </c>
      <c r="K93" s="3" t="n">
        <v>5000</v>
      </c>
      <c r="L93" s="3" t="n">
        <v>250</v>
      </c>
      <c r="M93" s="3" t="n">
        <v>500</v>
      </c>
      <c r="N93" s="3" t="s">
        <v>499</v>
      </c>
    </row>
    <row r="94" customFormat="false" ht="15" hidden="false" customHeight="false" outlineLevel="0" collapsed="false">
      <c r="A94" s="2" t="s">
        <v>500</v>
      </c>
      <c r="B94" s="2" t="s">
        <v>501</v>
      </c>
      <c r="C94" s="2" t="n">
        <v>1326</v>
      </c>
      <c r="D94" s="2" t="s">
        <v>16</v>
      </c>
      <c r="E94" s="2" t="s">
        <v>502</v>
      </c>
      <c r="F94" s="2" t="n">
        <v>3</v>
      </c>
      <c r="G94" s="2" t="s">
        <v>18</v>
      </c>
      <c r="H94" s="2" t="s">
        <v>78</v>
      </c>
      <c r="I94" s="2" t="s">
        <v>503</v>
      </c>
      <c r="J94" s="2" t="s">
        <v>86</v>
      </c>
      <c r="K94" s="2" t="n">
        <v>7000</v>
      </c>
      <c r="L94" s="2" t="n">
        <v>250</v>
      </c>
      <c r="M94" s="2" t="n">
        <v>750</v>
      </c>
      <c r="N94" s="2" t="s">
        <v>504</v>
      </c>
    </row>
    <row r="95" customFormat="false" ht="15" hidden="false" customHeight="false" outlineLevel="0" collapsed="false">
      <c r="A95" s="3" t="s">
        <v>505</v>
      </c>
      <c r="B95" s="3" t="s">
        <v>506</v>
      </c>
      <c r="C95" s="3" t="n">
        <v>1327</v>
      </c>
      <c r="D95" s="3" t="s">
        <v>25</v>
      </c>
      <c r="E95" s="3" t="s">
        <v>507</v>
      </c>
      <c r="F95" s="3" t="n">
        <v>2</v>
      </c>
      <c r="G95" s="3" t="s">
        <v>51</v>
      </c>
      <c r="H95" s="3" t="s">
        <v>43</v>
      </c>
      <c r="I95" s="3" t="s">
        <v>508</v>
      </c>
      <c r="J95" s="3" t="s">
        <v>67</v>
      </c>
      <c r="K95" s="3" t="n">
        <v>3220</v>
      </c>
      <c r="L95" s="3" t="n">
        <v>800</v>
      </c>
      <c r="M95" s="3" t="n">
        <v>1600</v>
      </c>
      <c r="N95" s="3" t="s">
        <v>509</v>
      </c>
    </row>
    <row r="96" customFormat="false" ht="15" hidden="false" customHeight="false" outlineLevel="0" collapsed="false">
      <c r="A96" s="2" t="s">
        <v>510</v>
      </c>
      <c r="B96" s="2" t="s">
        <v>511</v>
      </c>
      <c r="C96" s="2" t="n">
        <v>1328</v>
      </c>
      <c r="D96" s="2" t="s">
        <v>108</v>
      </c>
      <c r="E96" s="2" t="s">
        <v>512</v>
      </c>
      <c r="F96" s="2" t="n">
        <v>3</v>
      </c>
      <c r="G96" s="2" t="s">
        <v>97</v>
      </c>
      <c r="H96" s="2" t="s">
        <v>121</v>
      </c>
      <c r="I96" s="2" t="s">
        <v>513</v>
      </c>
      <c r="J96" s="2" t="s">
        <v>123</v>
      </c>
      <c r="K96" s="2" t="n">
        <v>800</v>
      </c>
      <c r="L96" s="2" t="n">
        <v>1200</v>
      </c>
      <c r="M96" s="2" t="n">
        <v>3600</v>
      </c>
      <c r="N96" s="2" t="s">
        <v>514</v>
      </c>
    </row>
    <row r="97" customFormat="false" ht="15" hidden="false" customHeight="false" outlineLevel="0" collapsed="false">
      <c r="A97" s="3" t="s">
        <v>515</v>
      </c>
      <c r="B97" s="3" t="s">
        <v>516</v>
      </c>
      <c r="C97" s="3" t="n">
        <v>1329</v>
      </c>
      <c r="D97" s="3" t="s">
        <v>34</v>
      </c>
      <c r="E97" s="3" t="s">
        <v>416</v>
      </c>
      <c r="F97" s="3" t="n">
        <v>2</v>
      </c>
      <c r="G97" s="3" t="s">
        <v>18</v>
      </c>
      <c r="H97" s="3" t="s">
        <v>52</v>
      </c>
      <c r="I97" s="3" t="s">
        <v>517</v>
      </c>
      <c r="J97" s="3" t="s">
        <v>92</v>
      </c>
      <c r="K97" s="3" t="n">
        <v>4870</v>
      </c>
      <c r="L97" s="3" t="n">
        <v>300</v>
      </c>
      <c r="M97" s="3" t="n">
        <v>600</v>
      </c>
      <c r="N97" s="3" t="s">
        <v>518</v>
      </c>
    </row>
    <row r="98" customFormat="false" ht="15" hidden="false" customHeight="false" outlineLevel="0" collapsed="false">
      <c r="A98" s="2" t="s">
        <v>519</v>
      </c>
      <c r="B98" s="2" t="s">
        <v>520</v>
      </c>
      <c r="C98" s="2" t="n">
        <v>1330</v>
      </c>
      <c r="D98" s="2" t="s">
        <v>16</v>
      </c>
      <c r="E98" s="2" t="s">
        <v>521</v>
      </c>
      <c r="F98" s="2" t="n">
        <v>1</v>
      </c>
      <c r="G98" s="2" t="s">
        <v>51</v>
      </c>
      <c r="H98" s="2" t="s">
        <v>78</v>
      </c>
      <c r="I98" s="2" t="s">
        <v>522</v>
      </c>
      <c r="J98" s="2" t="s">
        <v>86</v>
      </c>
      <c r="K98" s="2" t="n">
        <v>7000</v>
      </c>
      <c r="L98" s="2" t="n">
        <v>250</v>
      </c>
      <c r="M98" s="2" t="n">
        <v>250</v>
      </c>
      <c r="N98" s="2" t="s">
        <v>523</v>
      </c>
    </row>
    <row r="99" customFormat="false" ht="15" hidden="false" customHeight="false" outlineLevel="0" collapsed="false">
      <c r="A99" s="3" t="s">
        <v>524</v>
      </c>
      <c r="B99" s="3" t="s">
        <v>525</v>
      </c>
      <c r="C99" s="3" t="n">
        <v>1331</v>
      </c>
      <c r="D99" s="3" t="s">
        <v>108</v>
      </c>
      <c r="E99" s="3" t="s">
        <v>526</v>
      </c>
      <c r="F99" s="3" t="n">
        <v>2</v>
      </c>
      <c r="G99" s="3" t="s">
        <v>51</v>
      </c>
      <c r="H99" s="3" t="s">
        <v>52</v>
      </c>
      <c r="I99" s="3" t="s">
        <v>527</v>
      </c>
      <c r="J99" s="3" t="s">
        <v>92</v>
      </c>
      <c r="K99" s="3" t="n">
        <v>4870</v>
      </c>
      <c r="L99" s="3" t="n">
        <v>1200</v>
      </c>
      <c r="M99" s="3" t="n">
        <v>2400</v>
      </c>
      <c r="N99" s="3" t="s">
        <v>528</v>
      </c>
    </row>
    <row r="100" customFormat="false" ht="15" hidden="false" customHeight="false" outlineLevel="0" collapsed="false">
      <c r="A100" s="2" t="s">
        <v>529</v>
      </c>
      <c r="B100" s="2" t="s">
        <v>530</v>
      </c>
      <c r="C100" s="2" t="n">
        <v>1332</v>
      </c>
      <c r="D100" s="2" t="s">
        <v>108</v>
      </c>
      <c r="E100" s="2" t="s">
        <v>531</v>
      </c>
      <c r="F100" s="2" t="n">
        <v>2</v>
      </c>
      <c r="G100" s="2" t="s">
        <v>18</v>
      </c>
      <c r="H100" s="2" t="s">
        <v>36</v>
      </c>
      <c r="I100" s="2" t="s">
        <v>532</v>
      </c>
      <c r="J100" s="2" t="s">
        <v>170</v>
      </c>
      <c r="K100" s="2" t="n">
        <v>2500</v>
      </c>
      <c r="L100" s="2" t="n">
        <v>1200</v>
      </c>
      <c r="M100" s="2" t="n">
        <v>2400</v>
      </c>
      <c r="N100" s="2" t="s">
        <v>533</v>
      </c>
    </row>
    <row r="101" customFormat="false" ht="15" hidden="false" customHeight="false" outlineLevel="0" collapsed="false">
      <c r="A101" s="3" t="s">
        <v>534</v>
      </c>
      <c r="B101" s="3" t="s">
        <v>535</v>
      </c>
      <c r="C101" s="3" t="n">
        <v>1333</v>
      </c>
      <c r="D101" s="3" t="s">
        <v>34</v>
      </c>
      <c r="E101" s="3" t="s">
        <v>536</v>
      </c>
      <c r="F101" s="3" t="n">
        <v>2</v>
      </c>
      <c r="G101" s="3" t="s">
        <v>51</v>
      </c>
      <c r="H101" s="3" t="s">
        <v>59</v>
      </c>
      <c r="I101" s="3" t="s">
        <v>537</v>
      </c>
      <c r="J101" s="3" t="s">
        <v>61</v>
      </c>
      <c r="K101" s="3" t="n">
        <v>5290</v>
      </c>
      <c r="L101" s="3" t="n">
        <v>300</v>
      </c>
      <c r="M101" s="3" t="n">
        <v>600</v>
      </c>
      <c r="N101" s="3" t="s">
        <v>538</v>
      </c>
    </row>
    <row r="102" customFormat="false" ht="15" hidden="false" customHeight="false" outlineLevel="0" collapsed="false">
      <c r="A102" s="2" t="s">
        <v>539</v>
      </c>
      <c r="B102" s="2" t="s">
        <v>540</v>
      </c>
      <c r="C102" s="2" t="n">
        <v>1334</v>
      </c>
      <c r="D102" s="2" t="s">
        <v>16</v>
      </c>
      <c r="E102" s="2" t="s">
        <v>541</v>
      </c>
      <c r="F102" s="2" t="n">
        <v>2</v>
      </c>
      <c r="G102" s="2" t="s">
        <v>18</v>
      </c>
      <c r="H102" s="2" t="s">
        <v>121</v>
      </c>
      <c r="I102" s="2" t="s">
        <v>542</v>
      </c>
      <c r="J102" s="2" t="s">
        <v>123</v>
      </c>
      <c r="K102" s="2" t="n">
        <v>800</v>
      </c>
      <c r="L102" s="2" t="n">
        <v>250</v>
      </c>
      <c r="M102" s="2" t="n">
        <v>500</v>
      </c>
      <c r="N102" s="2" t="s">
        <v>543</v>
      </c>
    </row>
    <row r="103" customFormat="false" ht="15" hidden="false" customHeight="false" outlineLevel="0" collapsed="false">
      <c r="A103" s="3" t="s">
        <v>264</v>
      </c>
      <c r="B103" s="3" t="s">
        <v>544</v>
      </c>
      <c r="C103" s="3" t="n">
        <v>1335</v>
      </c>
      <c r="D103" s="3" t="s">
        <v>49</v>
      </c>
      <c r="E103" s="3" t="s">
        <v>246</v>
      </c>
      <c r="F103" s="3" t="n">
        <v>3</v>
      </c>
      <c r="G103" s="3" t="s">
        <v>18</v>
      </c>
      <c r="H103" s="3" t="s">
        <v>19</v>
      </c>
      <c r="I103" s="3" t="s">
        <v>545</v>
      </c>
      <c r="J103" s="3" t="s">
        <v>176</v>
      </c>
      <c r="K103" s="3" t="n">
        <v>6000</v>
      </c>
      <c r="L103" s="3" t="n">
        <v>250</v>
      </c>
      <c r="M103" s="3" t="n">
        <v>750</v>
      </c>
      <c r="N103" s="3" t="s">
        <v>546</v>
      </c>
    </row>
    <row r="104" customFormat="false" ht="15" hidden="false" customHeight="false" outlineLevel="0" collapsed="false">
      <c r="A104" s="2" t="s">
        <v>547</v>
      </c>
      <c r="B104" s="2" t="s">
        <v>548</v>
      </c>
      <c r="C104" s="2" t="n">
        <v>1336</v>
      </c>
      <c r="D104" s="2" t="s">
        <v>147</v>
      </c>
      <c r="E104" s="2" t="s">
        <v>549</v>
      </c>
      <c r="F104" s="2" t="n">
        <v>1</v>
      </c>
      <c r="G104" s="2" t="s">
        <v>51</v>
      </c>
      <c r="H104" s="2" t="s">
        <v>59</v>
      </c>
      <c r="I104" s="2" t="s">
        <v>550</v>
      </c>
      <c r="J104" s="2" t="s">
        <v>292</v>
      </c>
      <c r="K104" s="2" t="n">
        <v>5600</v>
      </c>
      <c r="L104" s="2" t="n">
        <v>600</v>
      </c>
      <c r="M104" s="2" t="n">
        <v>600</v>
      </c>
      <c r="N104" s="2" t="s">
        <v>551</v>
      </c>
    </row>
    <row r="105" customFormat="false" ht="15" hidden="false" customHeight="false" outlineLevel="0" collapsed="false">
      <c r="A105" s="3" t="s">
        <v>534</v>
      </c>
      <c r="B105" s="3" t="s">
        <v>552</v>
      </c>
      <c r="C105" s="3" t="n">
        <v>1337</v>
      </c>
      <c r="D105" s="3" t="s">
        <v>108</v>
      </c>
      <c r="E105" s="3" t="s">
        <v>553</v>
      </c>
      <c r="F105" s="3" t="n">
        <v>3</v>
      </c>
      <c r="G105" s="3" t="s">
        <v>18</v>
      </c>
      <c r="H105" s="3" t="s">
        <v>52</v>
      </c>
      <c r="I105" s="3" t="s">
        <v>554</v>
      </c>
      <c r="J105" s="3" t="s">
        <v>92</v>
      </c>
      <c r="K105" s="3" t="n">
        <v>4870</v>
      </c>
      <c r="L105" s="3" t="n">
        <v>1200</v>
      </c>
      <c r="M105" s="3" t="n">
        <v>3600</v>
      </c>
      <c r="N105" s="3" t="s">
        <v>555</v>
      </c>
    </row>
    <row r="106" customFormat="false" ht="15" hidden="false" customHeight="false" outlineLevel="0" collapsed="false">
      <c r="A106" s="2" t="s">
        <v>556</v>
      </c>
      <c r="B106" s="2" t="s">
        <v>557</v>
      </c>
      <c r="C106" s="2" t="n">
        <v>1338</v>
      </c>
      <c r="D106" s="2" t="s">
        <v>16</v>
      </c>
      <c r="E106" s="2" t="s">
        <v>558</v>
      </c>
      <c r="F106" s="2" t="n">
        <v>2</v>
      </c>
      <c r="G106" s="2" t="s">
        <v>18</v>
      </c>
      <c r="H106" s="2" t="s">
        <v>36</v>
      </c>
      <c r="I106" s="2" t="s">
        <v>559</v>
      </c>
      <c r="J106" s="2" t="s">
        <v>38</v>
      </c>
      <c r="K106" s="2" t="n">
        <v>2300</v>
      </c>
      <c r="L106" s="2" t="n">
        <v>250</v>
      </c>
      <c r="M106" s="2" t="n">
        <v>500</v>
      </c>
      <c r="N106" s="2" t="s">
        <v>560</v>
      </c>
    </row>
    <row r="107" customFormat="false" ht="15" hidden="false" customHeight="false" outlineLevel="0" collapsed="false">
      <c r="A107" s="3" t="s">
        <v>561</v>
      </c>
      <c r="B107" s="3" t="s">
        <v>562</v>
      </c>
      <c r="C107" s="3" t="n">
        <v>1339</v>
      </c>
      <c r="D107" s="3" t="s">
        <v>49</v>
      </c>
      <c r="E107" s="3" t="s">
        <v>563</v>
      </c>
      <c r="F107" s="3" t="n">
        <v>2</v>
      </c>
      <c r="G107" s="3" t="s">
        <v>18</v>
      </c>
      <c r="H107" s="3" t="s">
        <v>19</v>
      </c>
      <c r="I107" s="3" t="s">
        <v>564</v>
      </c>
      <c r="J107" s="3" t="s">
        <v>21</v>
      </c>
      <c r="K107" s="3" t="n">
        <v>6725</v>
      </c>
      <c r="L107" s="3" t="n">
        <v>250</v>
      </c>
      <c r="M107" s="3" t="n">
        <v>500</v>
      </c>
      <c r="N107" s="3" t="s">
        <v>565</v>
      </c>
    </row>
    <row r="108" customFormat="false" ht="15" hidden="false" customHeight="false" outlineLevel="0" collapsed="false">
      <c r="A108" s="2" t="s">
        <v>566</v>
      </c>
      <c r="B108" s="2" t="s">
        <v>567</v>
      </c>
      <c r="C108" s="2" t="n">
        <v>1340</v>
      </c>
      <c r="D108" s="2" t="s">
        <v>49</v>
      </c>
      <c r="E108" s="2" t="s">
        <v>158</v>
      </c>
      <c r="F108" s="2" t="n">
        <v>3</v>
      </c>
      <c r="G108" s="2" t="s">
        <v>18</v>
      </c>
      <c r="H108" s="2" t="s">
        <v>19</v>
      </c>
      <c r="I108" s="2" t="s">
        <v>568</v>
      </c>
      <c r="J108" s="2" t="s">
        <v>21</v>
      </c>
      <c r="K108" s="2" t="n">
        <v>6725</v>
      </c>
      <c r="L108" s="2" t="n">
        <v>250</v>
      </c>
      <c r="M108" s="2" t="n">
        <v>750</v>
      </c>
      <c r="N108" s="2" t="s">
        <v>569</v>
      </c>
    </row>
    <row r="109" customFormat="false" ht="15" hidden="false" customHeight="false" outlineLevel="0" collapsed="false">
      <c r="A109" s="3" t="s">
        <v>570</v>
      </c>
      <c r="B109" s="3" t="s">
        <v>119</v>
      </c>
      <c r="C109" s="3" t="n">
        <v>1341</v>
      </c>
      <c r="D109" s="3" t="s">
        <v>25</v>
      </c>
      <c r="E109" s="3" t="s">
        <v>571</v>
      </c>
      <c r="F109" s="3" t="n">
        <v>3</v>
      </c>
      <c r="G109" s="3" t="s">
        <v>51</v>
      </c>
      <c r="H109" s="3" t="s">
        <v>36</v>
      </c>
      <c r="I109" s="3" t="s">
        <v>572</v>
      </c>
      <c r="J109" s="3" t="s">
        <v>170</v>
      </c>
      <c r="K109" s="3" t="n">
        <v>2500</v>
      </c>
      <c r="L109" s="3" t="n">
        <v>800</v>
      </c>
      <c r="M109" s="3" t="n">
        <v>2400</v>
      </c>
      <c r="N109" s="3" t="s">
        <v>573</v>
      </c>
    </row>
    <row r="110" customFormat="false" ht="15" hidden="false" customHeight="false" outlineLevel="0" collapsed="false">
      <c r="A110" s="2" t="s">
        <v>574</v>
      </c>
      <c r="B110" s="2" t="s">
        <v>575</v>
      </c>
      <c r="C110" s="2" t="n">
        <v>1342</v>
      </c>
      <c r="D110" s="2" t="s">
        <v>108</v>
      </c>
      <c r="E110" s="2" t="s">
        <v>576</v>
      </c>
      <c r="F110" s="2" t="n">
        <v>1</v>
      </c>
      <c r="G110" s="2" t="s">
        <v>51</v>
      </c>
      <c r="H110" s="2" t="s">
        <v>52</v>
      </c>
      <c r="I110" s="2" t="s">
        <v>577</v>
      </c>
      <c r="J110" s="2" t="s">
        <v>182</v>
      </c>
      <c r="K110" s="2" t="n">
        <v>4000</v>
      </c>
      <c r="L110" s="2" t="n">
        <v>1200</v>
      </c>
      <c r="M110" s="2" t="n">
        <v>1200</v>
      </c>
      <c r="N110" s="2" t="s">
        <v>578</v>
      </c>
    </row>
    <row r="111" customFormat="false" ht="15" hidden="false" customHeight="false" outlineLevel="0" collapsed="false">
      <c r="A111" s="3" t="s">
        <v>579</v>
      </c>
      <c r="B111" s="3" t="s">
        <v>580</v>
      </c>
      <c r="C111" s="3" t="n">
        <v>1343</v>
      </c>
      <c r="D111" s="3" t="s">
        <v>49</v>
      </c>
      <c r="E111" s="3" t="s">
        <v>581</v>
      </c>
      <c r="F111" s="3" t="n">
        <v>3</v>
      </c>
      <c r="G111" s="3" t="s">
        <v>51</v>
      </c>
      <c r="H111" s="3" t="s">
        <v>59</v>
      </c>
      <c r="I111" s="3" t="s">
        <v>582</v>
      </c>
      <c r="J111" s="3" t="s">
        <v>99</v>
      </c>
      <c r="K111" s="3" t="n">
        <v>5000</v>
      </c>
      <c r="L111" s="3" t="n">
        <v>250</v>
      </c>
      <c r="M111" s="3" t="n">
        <v>750</v>
      </c>
      <c r="N111" s="3" t="s">
        <v>583</v>
      </c>
    </row>
    <row r="112" customFormat="false" ht="15" hidden="false" customHeight="false" outlineLevel="0" collapsed="false">
      <c r="A112" s="2" t="s">
        <v>584</v>
      </c>
      <c r="B112" s="2" t="s">
        <v>585</v>
      </c>
      <c r="C112" s="2" t="n">
        <v>1344</v>
      </c>
      <c r="D112" s="2" t="s">
        <v>108</v>
      </c>
      <c r="E112" s="2" t="s">
        <v>586</v>
      </c>
      <c r="F112" s="2" t="n">
        <v>3</v>
      </c>
      <c r="G112" s="2" t="s">
        <v>97</v>
      </c>
      <c r="H112" s="2" t="s">
        <v>59</v>
      </c>
      <c r="I112" s="2" t="s">
        <v>587</v>
      </c>
      <c r="J112" s="2" t="s">
        <v>99</v>
      </c>
      <c r="K112" s="2" t="n">
        <v>5000</v>
      </c>
      <c r="L112" s="2" t="n">
        <v>1200</v>
      </c>
      <c r="M112" s="2" t="n">
        <v>3600</v>
      </c>
      <c r="N112" s="2" t="s">
        <v>588</v>
      </c>
    </row>
    <row r="113" customFormat="false" ht="15" hidden="false" customHeight="false" outlineLevel="0" collapsed="false">
      <c r="A113" s="3" t="s">
        <v>496</v>
      </c>
      <c r="B113" s="3" t="s">
        <v>589</v>
      </c>
      <c r="C113" s="3" t="n">
        <v>1345</v>
      </c>
      <c r="D113" s="3" t="s">
        <v>16</v>
      </c>
      <c r="E113" s="3" t="s">
        <v>590</v>
      </c>
      <c r="F113" s="3" t="n">
        <v>1</v>
      </c>
      <c r="G113" s="3" t="s">
        <v>51</v>
      </c>
      <c r="H113" s="3" t="s">
        <v>52</v>
      </c>
      <c r="I113" s="3" t="s">
        <v>591</v>
      </c>
      <c r="J113" s="3" t="s">
        <v>54</v>
      </c>
      <c r="K113" s="3" t="n">
        <v>4217</v>
      </c>
      <c r="L113" s="3" t="n">
        <v>250</v>
      </c>
      <c r="M113" s="3" t="n">
        <v>250</v>
      </c>
      <c r="N113" s="3" t="s">
        <v>592</v>
      </c>
    </row>
    <row r="114" customFormat="false" ht="15" hidden="false" customHeight="false" outlineLevel="0" collapsed="false">
      <c r="A114" s="2" t="s">
        <v>24</v>
      </c>
      <c r="B114" s="2" t="s">
        <v>152</v>
      </c>
      <c r="C114" s="2" t="n">
        <v>1346</v>
      </c>
      <c r="D114" s="2" t="s">
        <v>25</v>
      </c>
      <c r="E114" s="2" t="s">
        <v>593</v>
      </c>
      <c r="F114" s="2" t="n">
        <v>2</v>
      </c>
      <c r="G114" s="2" t="s">
        <v>51</v>
      </c>
      <c r="H114" s="2" t="s">
        <v>52</v>
      </c>
      <c r="I114" s="2" t="s">
        <v>594</v>
      </c>
      <c r="J114" s="2" t="s">
        <v>92</v>
      </c>
      <c r="K114" s="2" t="n">
        <v>4870</v>
      </c>
      <c r="L114" s="2" t="n">
        <v>800</v>
      </c>
      <c r="M114" s="2" t="n">
        <v>1600</v>
      </c>
      <c r="N114" s="2" t="s">
        <v>595</v>
      </c>
    </row>
    <row r="115" customFormat="false" ht="15" hidden="false" customHeight="false" outlineLevel="0" collapsed="false">
      <c r="A115" s="3" t="s">
        <v>596</v>
      </c>
      <c r="B115" s="3" t="s">
        <v>597</v>
      </c>
      <c r="C115" s="3" t="n">
        <v>1347</v>
      </c>
      <c r="D115" s="3" t="s">
        <v>34</v>
      </c>
      <c r="E115" s="3" t="s">
        <v>598</v>
      </c>
      <c r="F115" s="3" t="n">
        <v>3</v>
      </c>
      <c r="G115" s="3" t="s">
        <v>18</v>
      </c>
      <c r="H115" s="3" t="s">
        <v>78</v>
      </c>
      <c r="I115" s="3" t="s">
        <v>599</v>
      </c>
      <c r="J115" s="3" t="s">
        <v>80</v>
      </c>
      <c r="K115" s="3" t="n">
        <v>7250</v>
      </c>
      <c r="L115" s="3" t="n">
        <v>300</v>
      </c>
      <c r="M115" s="3" t="n">
        <v>900</v>
      </c>
      <c r="N115" s="3" t="s">
        <v>600</v>
      </c>
    </row>
    <row r="116" customFormat="false" ht="15" hidden="false" customHeight="false" outlineLevel="0" collapsed="false">
      <c r="A116" s="2" t="s">
        <v>491</v>
      </c>
      <c r="B116" s="2" t="s">
        <v>601</v>
      </c>
      <c r="C116" s="2" t="n">
        <v>1348</v>
      </c>
      <c r="D116" s="2" t="s">
        <v>25</v>
      </c>
      <c r="E116" s="2" t="s">
        <v>602</v>
      </c>
      <c r="F116" s="2" t="n">
        <v>1</v>
      </c>
      <c r="G116" s="2" t="s">
        <v>51</v>
      </c>
      <c r="H116" s="2" t="s">
        <v>59</v>
      </c>
      <c r="I116" s="2" t="s">
        <v>603</v>
      </c>
      <c r="J116" s="2" t="s">
        <v>99</v>
      </c>
      <c r="K116" s="2" t="n">
        <v>5000</v>
      </c>
      <c r="L116" s="2" t="n">
        <v>800</v>
      </c>
      <c r="M116" s="2" t="n">
        <v>800</v>
      </c>
      <c r="N116" s="2" t="s">
        <v>604</v>
      </c>
    </row>
    <row r="117" customFormat="false" ht="15" hidden="false" customHeight="false" outlineLevel="0" collapsed="false">
      <c r="A117" s="3" t="s">
        <v>605</v>
      </c>
      <c r="B117" s="3" t="s">
        <v>606</v>
      </c>
      <c r="C117" s="3" t="n">
        <v>1349</v>
      </c>
      <c r="D117" s="3" t="s">
        <v>147</v>
      </c>
      <c r="E117" s="3" t="s">
        <v>607</v>
      </c>
      <c r="F117" s="3" t="n">
        <v>1</v>
      </c>
      <c r="G117" s="3" t="s">
        <v>18</v>
      </c>
      <c r="H117" s="3" t="s">
        <v>28</v>
      </c>
      <c r="I117" s="3" t="s">
        <v>608</v>
      </c>
      <c r="J117" s="3" t="s">
        <v>30</v>
      </c>
      <c r="K117" s="3" t="n">
        <v>2600</v>
      </c>
      <c r="L117" s="3" t="n">
        <v>600</v>
      </c>
      <c r="M117" s="3" t="n">
        <v>600</v>
      </c>
      <c r="N117" s="3" t="s">
        <v>609</v>
      </c>
    </row>
    <row r="118" customFormat="false" ht="15" hidden="false" customHeight="false" outlineLevel="0" collapsed="false">
      <c r="A118" s="2" t="s">
        <v>329</v>
      </c>
      <c r="B118" s="2" t="s">
        <v>610</v>
      </c>
      <c r="C118" s="2" t="n">
        <v>1350</v>
      </c>
      <c r="D118" s="2" t="s">
        <v>108</v>
      </c>
      <c r="E118" s="2" t="s">
        <v>127</v>
      </c>
      <c r="F118" s="2" t="n">
        <v>2</v>
      </c>
      <c r="G118" s="2" t="s">
        <v>51</v>
      </c>
      <c r="H118" s="2" t="s">
        <v>36</v>
      </c>
      <c r="I118" s="2" t="s">
        <v>611</v>
      </c>
      <c r="J118" s="2" t="s">
        <v>170</v>
      </c>
      <c r="K118" s="2" t="n">
        <v>2500</v>
      </c>
      <c r="L118" s="2" t="n">
        <v>1200</v>
      </c>
      <c r="M118" s="2" t="n">
        <v>2400</v>
      </c>
      <c r="N118" s="2" t="s">
        <v>612</v>
      </c>
    </row>
    <row r="119" customFormat="false" ht="15" hidden="false" customHeight="false" outlineLevel="0" collapsed="false">
      <c r="A119" s="3" t="s">
        <v>613</v>
      </c>
      <c r="B119" s="3" t="s">
        <v>614</v>
      </c>
      <c r="C119" s="3" t="n">
        <v>1351</v>
      </c>
      <c r="D119" s="3" t="s">
        <v>147</v>
      </c>
      <c r="E119" s="3" t="s">
        <v>331</v>
      </c>
      <c r="F119" s="3" t="n">
        <v>3</v>
      </c>
      <c r="G119" s="3" t="s">
        <v>51</v>
      </c>
      <c r="H119" s="3" t="s">
        <v>78</v>
      </c>
      <c r="I119" s="3" t="s">
        <v>615</v>
      </c>
      <c r="J119" s="3" t="s">
        <v>408</v>
      </c>
      <c r="K119" s="3" t="n">
        <v>7310</v>
      </c>
      <c r="L119" s="3" t="n">
        <v>600</v>
      </c>
      <c r="M119" s="3" t="n">
        <v>1800</v>
      </c>
      <c r="N119" s="3" t="s">
        <v>616</v>
      </c>
    </row>
    <row r="120" customFormat="false" ht="15" hidden="false" customHeight="false" outlineLevel="0" collapsed="false">
      <c r="A120" s="2" t="s">
        <v>617</v>
      </c>
      <c r="B120" s="2" t="s">
        <v>618</v>
      </c>
      <c r="C120" s="2" t="n">
        <v>1352</v>
      </c>
      <c r="D120" s="2" t="s">
        <v>34</v>
      </c>
      <c r="E120" s="2" t="s">
        <v>619</v>
      </c>
      <c r="F120" s="2" t="n">
        <v>3</v>
      </c>
      <c r="G120" s="2" t="s">
        <v>27</v>
      </c>
      <c r="H120" s="2" t="s">
        <v>59</v>
      </c>
      <c r="I120" s="2" t="s">
        <v>620</v>
      </c>
      <c r="J120" s="2" t="s">
        <v>99</v>
      </c>
      <c r="K120" s="2" t="n">
        <v>5000</v>
      </c>
      <c r="L120" s="2" t="n">
        <v>300</v>
      </c>
      <c r="M120" s="2" t="n">
        <v>900</v>
      </c>
      <c r="N120" s="2" t="s">
        <v>621</v>
      </c>
    </row>
    <row r="121" customFormat="false" ht="15" hidden="false" customHeight="false" outlineLevel="0" collapsed="false">
      <c r="A121" s="3" t="s">
        <v>622</v>
      </c>
      <c r="B121" s="3" t="s">
        <v>623</v>
      </c>
      <c r="C121" s="3" t="n">
        <v>1353</v>
      </c>
      <c r="D121" s="3" t="s">
        <v>108</v>
      </c>
      <c r="E121" s="3" t="s">
        <v>624</v>
      </c>
      <c r="F121" s="3" t="n">
        <v>2</v>
      </c>
      <c r="G121" s="3" t="s">
        <v>18</v>
      </c>
      <c r="H121" s="3" t="s">
        <v>59</v>
      </c>
      <c r="I121" s="3" t="s">
        <v>625</v>
      </c>
      <c r="J121" s="3" t="s">
        <v>61</v>
      </c>
      <c r="K121" s="3" t="n">
        <v>5290</v>
      </c>
      <c r="L121" s="3" t="n">
        <v>1200</v>
      </c>
      <c r="M121" s="3" t="n">
        <v>2400</v>
      </c>
      <c r="N121" s="3" t="s">
        <v>626</v>
      </c>
    </row>
    <row r="122" customFormat="false" ht="15" hidden="false" customHeight="false" outlineLevel="0" collapsed="false">
      <c r="A122" s="2" t="s">
        <v>627</v>
      </c>
      <c r="B122" s="2" t="s">
        <v>487</v>
      </c>
      <c r="C122" s="2" t="n">
        <v>1354</v>
      </c>
      <c r="D122" s="2" t="s">
        <v>147</v>
      </c>
      <c r="E122" s="2" t="s">
        <v>285</v>
      </c>
      <c r="F122" s="2" t="n">
        <v>2</v>
      </c>
      <c r="G122" s="2" t="s">
        <v>18</v>
      </c>
      <c r="H122" s="2" t="s">
        <v>52</v>
      </c>
      <c r="I122" s="2" t="s">
        <v>628</v>
      </c>
      <c r="J122" s="2" t="s">
        <v>54</v>
      </c>
      <c r="K122" s="2" t="n">
        <v>4217</v>
      </c>
      <c r="L122" s="2" t="n">
        <v>600</v>
      </c>
      <c r="M122" s="2" t="n">
        <v>1200</v>
      </c>
      <c r="N122" s="2" t="s">
        <v>629</v>
      </c>
    </row>
    <row r="123" customFormat="false" ht="15" hidden="false" customHeight="false" outlineLevel="0" collapsed="false">
      <c r="A123" s="3" t="s">
        <v>380</v>
      </c>
      <c r="B123" s="3" t="s">
        <v>630</v>
      </c>
      <c r="C123" s="3" t="n">
        <v>1355</v>
      </c>
      <c r="D123" s="3" t="s">
        <v>34</v>
      </c>
      <c r="E123" s="3" t="s">
        <v>449</v>
      </c>
      <c r="F123" s="3" t="n">
        <v>2</v>
      </c>
      <c r="G123" s="3" t="s">
        <v>18</v>
      </c>
      <c r="H123" s="3" t="s">
        <v>121</v>
      </c>
      <c r="I123" s="3" t="s">
        <v>631</v>
      </c>
      <c r="J123" s="3" t="s">
        <v>317</v>
      </c>
      <c r="K123" s="3" t="n">
        <v>870</v>
      </c>
      <c r="L123" s="3" t="n">
        <v>300</v>
      </c>
      <c r="M123" s="3" t="n">
        <v>600</v>
      </c>
      <c r="N123" s="3" t="s">
        <v>632</v>
      </c>
    </row>
    <row r="124" customFormat="false" ht="15" hidden="false" customHeight="false" outlineLevel="0" collapsed="false">
      <c r="A124" s="2" t="s">
        <v>633</v>
      </c>
      <c r="B124" s="2" t="s">
        <v>634</v>
      </c>
      <c r="C124" s="2" t="n">
        <v>1356</v>
      </c>
      <c r="D124" s="2" t="s">
        <v>49</v>
      </c>
      <c r="E124" s="2" t="s">
        <v>635</v>
      </c>
      <c r="F124" s="2" t="n">
        <v>1</v>
      </c>
      <c r="G124" s="2" t="s">
        <v>51</v>
      </c>
      <c r="H124" s="2" t="s">
        <v>28</v>
      </c>
      <c r="I124" s="2" t="s">
        <v>636</v>
      </c>
      <c r="J124" s="2" t="s">
        <v>30</v>
      </c>
      <c r="K124" s="2" t="n">
        <v>2600</v>
      </c>
      <c r="L124" s="2" t="n">
        <v>250</v>
      </c>
      <c r="M124" s="2" t="n">
        <v>250</v>
      </c>
      <c r="N124" s="2" t="s">
        <v>637</v>
      </c>
    </row>
    <row r="125" customFormat="false" ht="15" hidden="false" customHeight="false" outlineLevel="0" collapsed="false">
      <c r="A125" s="3" t="s">
        <v>638</v>
      </c>
      <c r="B125" s="3" t="s">
        <v>639</v>
      </c>
      <c r="C125" s="3" t="n">
        <v>1357</v>
      </c>
      <c r="D125" s="3" t="s">
        <v>16</v>
      </c>
      <c r="E125" s="3" t="s">
        <v>640</v>
      </c>
      <c r="F125" s="3" t="n">
        <v>1</v>
      </c>
      <c r="G125" s="3" t="s">
        <v>18</v>
      </c>
      <c r="H125" s="3" t="s">
        <v>19</v>
      </c>
      <c r="I125" s="3" t="s">
        <v>641</v>
      </c>
      <c r="J125" s="3" t="s">
        <v>73</v>
      </c>
      <c r="K125" s="3" t="n">
        <v>6160</v>
      </c>
      <c r="L125" s="3" t="n">
        <v>250</v>
      </c>
      <c r="M125" s="3" t="n">
        <v>250</v>
      </c>
      <c r="N125" s="3" t="s">
        <v>642</v>
      </c>
    </row>
    <row r="126" customFormat="false" ht="15" hidden="false" customHeight="false" outlineLevel="0" collapsed="false">
      <c r="A126" s="2" t="s">
        <v>643</v>
      </c>
      <c r="B126" s="2" t="s">
        <v>644</v>
      </c>
      <c r="C126" s="2" t="n">
        <v>1358</v>
      </c>
      <c r="D126" s="2" t="s">
        <v>34</v>
      </c>
      <c r="E126" s="2" t="s">
        <v>645</v>
      </c>
      <c r="F126" s="2" t="n">
        <v>3</v>
      </c>
      <c r="G126" s="2" t="s">
        <v>27</v>
      </c>
      <c r="H126" s="2" t="s">
        <v>43</v>
      </c>
      <c r="I126" s="2" t="s">
        <v>646</v>
      </c>
      <c r="J126" s="2" t="s">
        <v>45</v>
      </c>
      <c r="K126" s="2" t="n">
        <v>3350</v>
      </c>
      <c r="L126" s="2" t="n">
        <v>300</v>
      </c>
      <c r="M126" s="2" t="n">
        <v>900</v>
      </c>
      <c r="N126" s="2" t="s">
        <v>647</v>
      </c>
    </row>
    <row r="127" customFormat="false" ht="15" hidden="false" customHeight="false" outlineLevel="0" collapsed="false">
      <c r="A127" s="3" t="s">
        <v>648</v>
      </c>
      <c r="B127" s="3" t="s">
        <v>649</v>
      </c>
      <c r="C127" s="3" t="n">
        <v>1359</v>
      </c>
      <c r="D127" s="3" t="s">
        <v>108</v>
      </c>
      <c r="E127" s="3" t="s">
        <v>42</v>
      </c>
      <c r="F127" s="3" t="n">
        <v>3</v>
      </c>
      <c r="G127" s="3" t="s">
        <v>51</v>
      </c>
      <c r="H127" s="3" t="s">
        <v>78</v>
      </c>
      <c r="I127" s="3" t="s">
        <v>650</v>
      </c>
      <c r="J127" s="3" t="s">
        <v>408</v>
      </c>
      <c r="K127" s="3" t="n">
        <v>7310</v>
      </c>
      <c r="L127" s="3" t="n">
        <v>1200</v>
      </c>
      <c r="M127" s="3" t="n">
        <v>3600</v>
      </c>
      <c r="N127" s="3" t="s">
        <v>651</v>
      </c>
    </row>
    <row r="128" customFormat="false" ht="15" hidden="false" customHeight="false" outlineLevel="0" collapsed="false">
      <c r="A128" s="2" t="s">
        <v>570</v>
      </c>
      <c r="B128" s="2" t="s">
        <v>652</v>
      </c>
      <c r="C128" s="2" t="n">
        <v>1360</v>
      </c>
      <c r="D128" s="2" t="s">
        <v>108</v>
      </c>
      <c r="E128" s="2" t="s">
        <v>653</v>
      </c>
      <c r="F128" s="2" t="n">
        <v>3</v>
      </c>
      <c r="G128" s="2" t="s">
        <v>18</v>
      </c>
      <c r="H128" s="2" t="s">
        <v>28</v>
      </c>
      <c r="I128" s="2" t="s">
        <v>654</v>
      </c>
      <c r="J128" s="2" t="s">
        <v>30</v>
      </c>
      <c r="K128" s="2" t="n">
        <v>2600</v>
      </c>
      <c r="L128" s="2" t="n">
        <v>1200</v>
      </c>
      <c r="M128" s="2" t="n">
        <v>3600</v>
      </c>
      <c r="N128" s="2" t="s">
        <v>655</v>
      </c>
    </row>
    <row r="129" customFormat="false" ht="15" hidden="false" customHeight="false" outlineLevel="0" collapsed="false">
      <c r="A129" s="3" t="s">
        <v>656</v>
      </c>
      <c r="B129" s="3" t="s">
        <v>657</v>
      </c>
      <c r="C129" s="3" t="n">
        <v>1361</v>
      </c>
      <c r="D129" s="3" t="s">
        <v>49</v>
      </c>
      <c r="E129" s="3" t="s">
        <v>251</v>
      </c>
      <c r="F129" s="3" t="n">
        <v>3</v>
      </c>
      <c r="G129" s="3" t="s">
        <v>27</v>
      </c>
      <c r="H129" s="3" t="s">
        <v>28</v>
      </c>
      <c r="I129" s="3" t="s">
        <v>658</v>
      </c>
      <c r="J129" s="3" t="s">
        <v>30</v>
      </c>
      <c r="K129" s="3" t="n">
        <v>2600</v>
      </c>
      <c r="L129" s="3" t="n">
        <v>250</v>
      </c>
      <c r="M129" s="3" t="n">
        <v>750</v>
      </c>
      <c r="N129" s="3" t="s">
        <v>659</v>
      </c>
    </row>
    <row r="130" customFormat="false" ht="15" hidden="false" customHeight="false" outlineLevel="0" collapsed="false">
      <c r="A130" s="2" t="s">
        <v>660</v>
      </c>
      <c r="B130" s="2" t="s">
        <v>661</v>
      </c>
      <c r="C130" s="2" t="n">
        <v>1362</v>
      </c>
      <c r="D130" s="2" t="s">
        <v>108</v>
      </c>
      <c r="E130" s="2" t="s">
        <v>662</v>
      </c>
      <c r="F130" s="2" t="n">
        <v>2</v>
      </c>
      <c r="G130" s="2" t="s">
        <v>51</v>
      </c>
      <c r="H130" s="2" t="s">
        <v>19</v>
      </c>
      <c r="I130" s="2" t="s">
        <v>663</v>
      </c>
      <c r="J130" s="2" t="s">
        <v>73</v>
      </c>
      <c r="K130" s="2" t="n">
        <v>6160</v>
      </c>
      <c r="L130" s="2" t="n">
        <v>1200</v>
      </c>
      <c r="M130" s="2" t="n">
        <v>2400</v>
      </c>
      <c r="N130" s="2" t="s">
        <v>664</v>
      </c>
    </row>
    <row r="131" customFormat="false" ht="15" hidden="false" customHeight="false" outlineLevel="0" collapsed="false">
      <c r="A131" s="3" t="s">
        <v>665</v>
      </c>
      <c r="B131" s="3" t="s">
        <v>666</v>
      </c>
      <c r="C131" s="3" t="n">
        <v>1363</v>
      </c>
      <c r="D131" s="3" t="s">
        <v>108</v>
      </c>
      <c r="E131" s="3" t="s">
        <v>382</v>
      </c>
      <c r="F131" s="3" t="n">
        <v>2</v>
      </c>
      <c r="G131" s="3" t="s">
        <v>27</v>
      </c>
      <c r="H131" s="3" t="s">
        <v>52</v>
      </c>
      <c r="I131" s="3" t="s">
        <v>667</v>
      </c>
      <c r="J131" s="3" t="s">
        <v>92</v>
      </c>
      <c r="K131" s="3" t="n">
        <v>4870</v>
      </c>
      <c r="L131" s="3" t="n">
        <v>1200</v>
      </c>
      <c r="M131" s="3" t="n">
        <v>2400</v>
      </c>
      <c r="N131" s="3" t="s">
        <v>668</v>
      </c>
    </row>
    <row r="132" customFormat="false" ht="15" hidden="false" customHeight="false" outlineLevel="0" collapsed="false">
      <c r="A132" s="2" t="s">
        <v>669</v>
      </c>
      <c r="B132" s="2" t="s">
        <v>670</v>
      </c>
      <c r="C132" s="2" t="n">
        <v>1364</v>
      </c>
      <c r="D132" s="2" t="s">
        <v>108</v>
      </c>
      <c r="E132" s="2" t="s">
        <v>671</v>
      </c>
      <c r="F132" s="2" t="n">
        <v>3</v>
      </c>
      <c r="G132" s="2" t="s">
        <v>51</v>
      </c>
      <c r="H132" s="2" t="s">
        <v>59</v>
      </c>
      <c r="I132" s="2" t="s">
        <v>672</v>
      </c>
      <c r="J132" s="2" t="s">
        <v>292</v>
      </c>
      <c r="K132" s="2" t="n">
        <v>5600</v>
      </c>
      <c r="L132" s="2" t="n">
        <v>1200</v>
      </c>
      <c r="M132" s="2" t="n">
        <v>3600</v>
      </c>
      <c r="N132" s="2" t="s">
        <v>673</v>
      </c>
    </row>
    <row r="133" customFormat="false" ht="15" hidden="false" customHeight="false" outlineLevel="0" collapsed="false">
      <c r="A133" s="3" t="s">
        <v>674</v>
      </c>
      <c r="B133" s="3" t="s">
        <v>675</v>
      </c>
      <c r="C133" s="3" t="n">
        <v>1365</v>
      </c>
      <c r="D133" s="3" t="s">
        <v>34</v>
      </c>
      <c r="E133" s="3" t="s">
        <v>676</v>
      </c>
      <c r="F133" s="3" t="n">
        <v>3</v>
      </c>
      <c r="G133" s="3" t="s">
        <v>51</v>
      </c>
      <c r="H133" s="3" t="s">
        <v>28</v>
      </c>
      <c r="I133" s="3" t="s">
        <v>677</v>
      </c>
      <c r="J133" s="3" t="s">
        <v>30</v>
      </c>
      <c r="K133" s="3" t="n">
        <v>2600</v>
      </c>
      <c r="L133" s="3" t="n">
        <v>300</v>
      </c>
      <c r="M133" s="3" t="n">
        <v>900</v>
      </c>
      <c r="N133" s="3" t="s">
        <v>678</v>
      </c>
    </row>
    <row r="134" customFormat="false" ht="15" hidden="false" customHeight="false" outlineLevel="0" collapsed="false">
      <c r="A134" s="2" t="s">
        <v>679</v>
      </c>
      <c r="B134" s="2" t="s">
        <v>680</v>
      </c>
      <c r="C134" s="2" t="n">
        <v>1366</v>
      </c>
      <c r="D134" s="2" t="s">
        <v>108</v>
      </c>
      <c r="E134" s="2" t="s">
        <v>336</v>
      </c>
      <c r="F134" s="2" t="n">
        <v>3</v>
      </c>
      <c r="G134" s="2" t="s">
        <v>97</v>
      </c>
      <c r="H134" s="2" t="s">
        <v>78</v>
      </c>
      <c r="I134" s="2" t="s">
        <v>681</v>
      </c>
      <c r="J134" s="2" t="s">
        <v>86</v>
      </c>
      <c r="K134" s="2" t="n">
        <v>7000</v>
      </c>
      <c r="L134" s="2" t="n">
        <v>1200</v>
      </c>
      <c r="M134" s="2" t="n">
        <v>3600</v>
      </c>
      <c r="N134" s="2" t="s">
        <v>682</v>
      </c>
    </row>
    <row r="135" customFormat="false" ht="15" hidden="false" customHeight="false" outlineLevel="0" collapsed="false">
      <c r="A135" s="3" t="s">
        <v>683</v>
      </c>
      <c r="B135" s="3" t="s">
        <v>684</v>
      </c>
      <c r="C135" s="3" t="n">
        <v>1367</v>
      </c>
      <c r="D135" s="3" t="s">
        <v>25</v>
      </c>
      <c r="E135" s="3" t="s">
        <v>685</v>
      </c>
      <c r="F135" s="3" t="n">
        <v>2</v>
      </c>
      <c r="G135" s="3" t="s">
        <v>51</v>
      </c>
      <c r="H135" s="3" t="s">
        <v>59</v>
      </c>
      <c r="I135" s="3" t="s">
        <v>686</v>
      </c>
      <c r="J135" s="3" t="s">
        <v>292</v>
      </c>
      <c r="K135" s="3" t="n">
        <v>5600</v>
      </c>
      <c r="L135" s="3" t="n">
        <v>800</v>
      </c>
      <c r="M135" s="3" t="n">
        <v>1600</v>
      </c>
      <c r="N135" s="3" t="s">
        <v>687</v>
      </c>
    </row>
    <row r="136" customFormat="false" ht="15" hidden="false" customHeight="false" outlineLevel="0" collapsed="false">
      <c r="A136" s="2" t="s">
        <v>596</v>
      </c>
      <c r="B136" s="2" t="s">
        <v>688</v>
      </c>
      <c r="C136" s="2" t="n">
        <v>1368</v>
      </c>
      <c r="D136" s="2" t="s">
        <v>25</v>
      </c>
      <c r="E136" s="2" t="s">
        <v>401</v>
      </c>
      <c r="F136" s="2" t="n">
        <v>3</v>
      </c>
      <c r="G136" s="2" t="s">
        <v>27</v>
      </c>
      <c r="H136" s="2" t="s">
        <v>78</v>
      </c>
      <c r="I136" s="2" t="s">
        <v>689</v>
      </c>
      <c r="J136" s="2" t="s">
        <v>86</v>
      </c>
      <c r="K136" s="2" t="n">
        <v>7000</v>
      </c>
      <c r="L136" s="2" t="n">
        <v>800</v>
      </c>
      <c r="M136" s="2" t="n">
        <v>2400</v>
      </c>
      <c r="N136" s="2" t="s">
        <v>690</v>
      </c>
    </row>
    <row r="137" customFormat="false" ht="15" hidden="false" customHeight="false" outlineLevel="0" collapsed="false">
      <c r="A137" s="3" t="s">
        <v>691</v>
      </c>
      <c r="B137" s="3" t="s">
        <v>304</v>
      </c>
      <c r="C137" s="3" t="n">
        <v>1369</v>
      </c>
      <c r="D137" s="3" t="s">
        <v>108</v>
      </c>
      <c r="E137" s="3" t="s">
        <v>692</v>
      </c>
      <c r="F137" s="3" t="n">
        <v>2</v>
      </c>
      <c r="G137" s="3" t="s">
        <v>51</v>
      </c>
      <c r="H137" s="3" t="s">
        <v>52</v>
      </c>
      <c r="I137" s="3" t="s">
        <v>693</v>
      </c>
      <c r="J137" s="3" t="s">
        <v>182</v>
      </c>
      <c r="K137" s="3" t="n">
        <v>4000</v>
      </c>
      <c r="L137" s="3" t="n">
        <v>1200</v>
      </c>
      <c r="M137" s="3" t="n">
        <v>2400</v>
      </c>
      <c r="N137" s="3" t="s">
        <v>694</v>
      </c>
    </row>
    <row r="138" customFormat="false" ht="15" hidden="false" customHeight="false" outlineLevel="0" collapsed="false">
      <c r="A138" s="2" t="s">
        <v>695</v>
      </c>
      <c r="B138" s="2" t="s">
        <v>696</v>
      </c>
      <c r="C138" s="2" t="n">
        <v>1370</v>
      </c>
      <c r="D138" s="2" t="s">
        <v>108</v>
      </c>
      <c r="E138" s="2" t="s">
        <v>697</v>
      </c>
      <c r="F138" s="2" t="n">
        <v>2</v>
      </c>
      <c r="G138" s="2" t="s">
        <v>27</v>
      </c>
      <c r="H138" s="2" t="s">
        <v>121</v>
      </c>
      <c r="I138" s="2" t="s">
        <v>698</v>
      </c>
      <c r="J138" s="2" t="s">
        <v>317</v>
      </c>
      <c r="K138" s="2" t="n">
        <v>870</v>
      </c>
      <c r="L138" s="2" t="n">
        <v>1200</v>
      </c>
      <c r="M138" s="2" t="n">
        <v>2400</v>
      </c>
      <c r="N138" s="2" t="s">
        <v>699</v>
      </c>
    </row>
    <row r="139" customFormat="false" ht="15" hidden="false" customHeight="false" outlineLevel="0" collapsed="false">
      <c r="A139" s="3" t="s">
        <v>700</v>
      </c>
      <c r="B139" s="3" t="s">
        <v>701</v>
      </c>
      <c r="C139" s="3" t="n">
        <v>1371</v>
      </c>
      <c r="D139" s="3" t="s">
        <v>147</v>
      </c>
      <c r="E139" s="3" t="s">
        <v>702</v>
      </c>
      <c r="F139" s="3" t="n">
        <v>3</v>
      </c>
      <c r="G139" s="3" t="s">
        <v>18</v>
      </c>
      <c r="H139" s="3" t="s">
        <v>36</v>
      </c>
      <c r="I139" s="3" t="s">
        <v>703</v>
      </c>
      <c r="J139" s="3" t="s">
        <v>170</v>
      </c>
      <c r="K139" s="3" t="n">
        <v>2500</v>
      </c>
      <c r="L139" s="3" t="n">
        <v>600</v>
      </c>
      <c r="M139" s="3" t="n">
        <v>1800</v>
      </c>
      <c r="N139" s="3" t="s">
        <v>704</v>
      </c>
    </row>
    <row r="140" customFormat="false" ht="15" hidden="false" customHeight="false" outlineLevel="0" collapsed="false">
      <c r="A140" s="2" t="s">
        <v>705</v>
      </c>
      <c r="B140" s="2" t="s">
        <v>706</v>
      </c>
      <c r="C140" s="2" t="n">
        <v>1372</v>
      </c>
      <c r="D140" s="2" t="s">
        <v>25</v>
      </c>
      <c r="E140" s="2" t="s">
        <v>707</v>
      </c>
      <c r="F140" s="2" t="n">
        <v>1</v>
      </c>
      <c r="G140" s="2" t="s">
        <v>18</v>
      </c>
      <c r="H140" s="2" t="s">
        <v>121</v>
      </c>
      <c r="I140" s="2" t="s">
        <v>708</v>
      </c>
      <c r="J140" s="2" t="s">
        <v>317</v>
      </c>
      <c r="K140" s="2" t="n">
        <v>870</v>
      </c>
      <c r="L140" s="2" t="n">
        <v>800</v>
      </c>
      <c r="M140" s="2" t="n">
        <v>800</v>
      </c>
      <c r="N140" s="2" t="s">
        <v>709</v>
      </c>
    </row>
    <row r="141" customFormat="false" ht="15" hidden="false" customHeight="false" outlineLevel="0" collapsed="false">
      <c r="A141" s="3" t="s">
        <v>710</v>
      </c>
      <c r="B141" s="3" t="s">
        <v>711</v>
      </c>
      <c r="C141" s="3" t="n">
        <v>1373</v>
      </c>
      <c r="D141" s="3" t="s">
        <v>16</v>
      </c>
      <c r="E141" s="3" t="s">
        <v>712</v>
      </c>
      <c r="F141" s="3" t="n">
        <v>1</v>
      </c>
      <c r="G141" s="3" t="s">
        <v>27</v>
      </c>
      <c r="H141" s="3" t="s">
        <v>28</v>
      </c>
      <c r="I141" s="3" t="s">
        <v>713</v>
      </c>
      <c r="J141" s="3" t="s">
        <v>30</v>
      </c>
      <c r="K141" s="3" t="n">
        <v>2600</v>
      </c>
      <c r="L141" s="3" t="n">
        <v>250</v>
      </c>
      <c r="M141" s="3" t="n">
        <v>250</v>
      </c>
      <c r="N141" s="3" t="s">
        <v>714</v>
      </c>
    </row>
    <row r="142" customFormat="false" ht="15" hidden="false" customHeight="false" outlineLevel="0" collapsed="false">
      <c r="A142" s="2" t="s">
        <v>715</v>
      </c>
      <c r="B142" s="2" t="s">
        <v>716</v>
      </c>
      <c r="C142" s="2" t="n">
        <v>1374</v>
      </c>
      <c r="D142" s="2" t="s">
        <v>16</v>
      </c>
      <c r="E142" s="2" t="s">
        <v>382</v>
      </c>
      <c r="F142" s="2" t="n">
        <v>2</v>
      </c>
      <c r="G142" s="2" t="s">
        <v>18</v>
      </c>
      <c r="H142" s="2" t="s">
        <v>28</v>
      </c>
      <c r="I142" s="2" t="s">
        <v>717</v>
      </c>
      <c r="J142" s="2" t="s">
        <v>30</v>
      </c>
      <c r="K142" s="2" t="n">
        <v>2600</v>
      </c>
      <c r="L142" s="2" t="n">
        <v>250</v>
      </c>
      <c r="M142" s="2" t="n">
        <v>500</v>
      </c>
      <c r="N142" s="2" t="s">
        <v>718</v>
      </c>
    </row>
    <row r="143" customFormat="false" ht="15" hidden="false" customHeight="false" outlineLevel="0" collapsed="false">
      <c r="A143" s="3" t="s">
        <v>719</v>
      </c>
      <c r="B143" s="3" t="s">
        <v>64</v>
      </c>
      <c r="C143" s="3" t="n">
        <v>1375</v>
      </c>
      <c r="D143" s="3" t="s">
        <v>34</v>
      </c>
      <c r="E143" s="3" t="s">
        <v>720</v>
      </c>
      <c r="F143" s="3" t="n">
        <v>3</v>
      </c>
      <c r="G143" s="3" t="s">
        <v>18</v>
      </c>
      <c r="H143" s="3" t="s">
        <v>121</v>
      </c>
      <c r="I143" s="3" t="s">
        <v>721</v>
      </c>
      <c r="J143" s="3" t="s">
        <v>317</v>
      </c>
      <c r="K143" s="3" t="n">
        <v>870</v>
      </c>
      <c r="L143" s="3" t="n">
        <v>300</v>
      </c>
      <c r="M143" s="3" t="n">
        <v>900</v>
      </c>
      <c r="N143" s="3" t="s">
        <v>722</v>
      </c>
    </row>
    <row r="144" customFormat="false" ht="15" hidden="false" customHeight="false" outlineLevel="0" collapsed="false">
      <c r="A144" s="2" t="s">
        <v>723</v>
      </c>
      <c r="B144" s="2" t="s">
        <v>724</v>
      </c>
      <c r="C144" s="2" t="n">
        <v>1376</v>
      </c>
      <c r="D144" s="2" t="s">
        <v>34</v>
      </c>
      <c r="E144" s="2" t="s">
        <v>725</v>
      </c>
      <c r="F144" s="2" t="n">
        <v>2</v>
      </c>
      <c r="G144" s="2" t="s">
        <v>27</v>
      </c>
      <c r="H144" s="2" t="s">
        <v>36</v>
      </c>
      <c r="I144" s="2" t="s">
        <v>726</v>
      </c>
      <c r="J144" s="2" t="s">
        <v>38</v>
      </c>
      <c r="K144" s="2" t="n">
        <v>2300</v>
      </c>
      <c r="L144" s="2" t="n">
        <v>300</v>
      </c>
      <c r="M144" s="2" t="n">
        <v>600</v>
      </c>
      <c r="N144" s="2" t="s">
        <v>727</v>
      </c>
    </row>
    <row r="145" customFormat="false" ht="15" hidden="false" customHeight="false" outlineLevel="0" collapsed="false">
      <c r="A145" s="3" t="s">
        <v>728</v>
      </c>
      <c r="B145" s="3" t="s">
        <v>729</v>
      </c>
      <c r="C145" s="3" t="n">
        <v>1377</v>
      </c>
      <c r="D145" s="3" t="s">
        <v>147</v>
      </c>
      <c r="E145" s="3" t="s">
        <v>730</v>
      </c>
      <c r="F145" s="3" t="n">
        <v>3</v>
      </c>
      <c r="G145" s="3" t="s">
        <v>51</v>
      </c>
      <c r="H145" s="3" t="s">
        <v>121</v>
      </c>
      <c r="I145" s="3" t="s">
        <v>731</v>
      </c>
      <c r="J145" s="3" t="s">
        <v>123</v>
      </c>
      <c r="K145" s="3" t="n">
        <v>800</v>
      </c>
      <c r="L145" s="3" t="n">
        <v>600</v>
      </c>
      <c r="M145" s="3" t="n">
        <v>1800</v>
      </c>
      <c r="N145" s="3" t="s">
        <v>732</v>
      </c>
    </row>
    <row r="146" customFormat="false" ht="15" hidden="false" customHeight="false" outlineLevel="0" collapsed="false">
      <c r="A146" s="2" t="s">
        <v>733</v>
      </c>
      <c r="B146" s="2" t="s">
        <v>734</v>
      </c>
      <c r="C146" s="2" t="n">
        <v>1378</v>
      </c>
      <c r="D146" s="2" t="s">
        <v>108</v>
      </c>
      <c r="E146" s="2" t="s">
        <v>735</v>
      </c>
      <c r="F146" s="2" t="n">
        <v>3</v>
      </c>
      <c r="G146" s="2" t="s">
        <v>18</v>
      </c>
      <c r="H146" s="2" t="s">
        <v>59</v>
      </c>
      <c r="I146" s="2" t="s">
        <v>736</v>
      </c>
      <c r="J146" s="2" t="s">
        <v>292</v>
      </c>
      <c r="K146" s="2" t="n">
        <v>5600</v>
      </c>
      <c r="L146" s="2" t="n">
        <v>1200</v>
      </c>
      <c r="M146" s="2" t="n">
        <v>3600</v>
      </c>
      <c r="N146" s="2" t="s">
        <v>737</v>
      </c>
    </row>
    <row r="147" customFormat="false" ht="15" hidden="false" customHeight="false" outlineLevel="0" collapsed="false">
      <c r="A147" s="3" t="s">
        <v>738</v>
      </c>
      <c r="B147" s="3" t="s">
        <v>739</v>
      </c>
      <c r="C147" s="3" t="n">
        <v>1379</v>
      </c>
      <c r="D147" s="3" t="s">
        <v>34</v>
      </c>
      <c r="E147" s="3" t="s">
        <v>740</v>
      </c>
      <c r="F147" s="3" t="n">
        <v>2</v>
      </c>
      <c r="G147" s="3" t="s">
        <v>18</v>
      </c>
      <c r="H147" s="3" t="s">
        <v>121</v>
      </c>
      <c r="I147" s="3" t="s">
        <v>741</v>
      </c>
      <c r="J147" s="3" t="s">
        <v>123</v>
      </c>
      <c r="K147" s="3" t="n">
        <v>800</v>
      </c>
      <c r="L147" s="3" t="n">
        <v>300</v>
      </c>
      <c r="M147" s="3" t="n">
        <v>600</v>
      </c>
      <c r="N147" s="3" t="s">
        <v>742</v>
      </c>
    </row>
    <row r="148" customFormat="false" ht="15" hidden="false" customHeight="false" outlineLevel="0" collapsed="false">
      <c r="A148" s="2" t="s">
        <v>89</v>
      </c>
      <c r="B148" s="2" t="s">
        <v>743</v>
      </c>
      <c r="C148" s="2" t="n">
        <v>1380</v>
      </c>
      <c r="D148" s="2" t="s">
        <v>16</v>
      </c>
      <c r="E148" s="2" t="s">
        <v>744</v>
      </c>
      <c r="F148" s="2" t="n">
        <v>3</v>
      </c>
      <c r="G148" s="2" t="s">
        <v>51</v>
      </c>
      <c r="H148" s="2" t="s">
        <v>43</v>
      </c>
      <c r="I148" s="2" t="s">
        <v>745</v>
      </c>
      <c r="J148" s="2" t="s">
        <v>45</v>
      </c>
      <c r="K148" s="2" t="n">
        <v>3350</v>
      </c>
      <c r="L148" s="2" t="n">
        <v>250</v>
      </c>
      <c r="M148" s="2" t="n">
        <v>750</v>
      </c>
      <c r="N148" s="2" t="s">
        <v>746</v>
      </c>
    </row>
    <row r="149" customFormat="false" ht="15" hidden="false" customHeight="false" outlineLevel="0" collapsed="false">
      <c r="A149" s="3" t="s">
        <v>747</v>
      </c>
      <c r="B149" s="3" t="s">
        <v>748</v>
      </c>
      <c r="C149" s="3" t="n">
        <v>1381</v>
      </c>
      <c r="D149" s="3" t="s">
        <v>25</v>
      </c>
      <c r="E149" s="3" t="s">
        <v>354</v>
      </c>
      <c r="F149" s="3" t="n">
        <v>3</v>
      </c>
      <c r="G149" s="3" t="s">
        <v>51</v>
      </c>
      <c r="H149" s="3" t="s">
        <v>36</v>
      </c>
      <c r="I149" s="3" t="s">
        <v>749</v>
      </c>
      <c r="J149" s="3" t="s">
        <v>192</v>
      </c>
      <c r="K149" s="3" t="n">
        <v>2000</v>
      </c>
      <c r="L149" s="3" t="n">
        <v>800</v>
      </c>
      <c r="M149" s="3" t="n">
        <v>2400</v>
      </c>
      <c r="N149" s="3" t="s">
        <v>750</v>
      </c>
    </row>
    <row r="150" customFormat="false" ht="15" hidden="false" customHeight="false" outlineLevel="0" collapsed="false">
      <c r="A150" s="2" t="s">
        <v>751</v>
      </c>
      <c r="B150" s="2" t="s">
        <v>752</v>
      </c>
      <c r="C150" s="2" t="n">
        <v>1382</v>
      </c>
      <c r="D150" s="2" t="s">
        <v>108</v>
      </c>
      <c r="E150" s="2" t="s">
        <v>753</v>
      </c>
      <c r="F150" s="2" t="n">
        <v>2</v>
      </c>
      <c r="G150" s="2" t="s">
        <v>51</v>
      </c>
      <c r="H150" s="2" t="s">
        <v>36</v>
      </c>
      <c r="I150" s="2" t="s">
        <v>754</v>
      </c>
      <c r="J150" s="2" t="s">
        <v>192</v>
      </c>
      <c r="K150" s="2" t="n">
        <v>2000</v>
      </c>
      <c r="L150" s="2" t="n">
        <v>1200</v>
      </c>
      <c r="M150" s="2" t="n">
        <v>2400</v>
      </c>
      <c r="N150" s="2" t="s">
        <v>755</v>
      </c>
    </row>
    <row r="151" customFormat="false" ht="15" hidden="false" customHeight="false" outlineLevel="0" collapsed="false">
      <c r="A151" s="3" t="s">
        <v>633</v>
      </c>
      <c r="B151" s="3" t="s">
        <v>756</v>
      </c>
      <c r="C151" s="3" t="n">
        <v>1383</v>
      </c>
      <c r="D151" s="3" t="s">
        <v>34</v>
      </c>
      <c r="E151" s="3" t="s">
        <v>757</v>
      </c>
      <c r="F151" s="3" t="n">
        <v>3</v>
      </c>
      <c r="G151" s="3" t="s">
        <v>51</v>
      </c>
      <c r="H151" s="3" t="s">
        <v>36</v>
      </c>
      <c r="I151" s="3" t="s">
        <v>758</v>
      </c>
      <c r="J151" s="3" t="s">
        <v>170</v>
      </c>
      <c r="K151" s="3" t="n">
        <v>2500</v>
      </c>
      <c r="L151" s="3" t="n">
        <v>300</v>
      </c>
      <c r="M151" s="3" t="n">
        <v>900</v>
      </c>
      <c r="N151" s="3" t="s">
        <v>759</v>
      </c>
    </row>
    <row r="152" customFormat="false" ht="15" hidden="false" customHeight="false" outlineLevel="0" collapsed="false">
      <c r="A152" s="2" t="s">
        <v>760</v>
      </c>
      <c r="B152" s="2" t="s">
        <v>761</v>
      </c>
      <c r="C152" s="2" t="n">
        <v>1384</v>
      </c>
      <c r="D152" s="2" t="s">
        <v>108</v>
      </c>
      <c r="E152" s="2" t="s">
        <v>762</v>
      </c>
      <c r="F152" s="2" t="n">
        <v>1</v>
      </c>
      <c r="G152" s="2" t="s">
        <v>51</v>
      </c>
      <c r="H152" s="2" t="s">
        <v>36</v>
      </c>
      <c r="I152" s="2" t="s">
        <v>763</v>
      </c>
      <c r="J152" s="2" t="s">
        <v>38</v>
      </c>
      <c r="K152" s="2" t="n">
        <v>2300</v>
      </c>
      <c r="L152" s="2" t="n">
        <v>1200</v>
      </c>
      <c r="M152" s="2" t="n">
        <v>1200</v>
      </c>
      <c r="N152" s="2" t="s">
        <v>764</v>
      </c>
    </row>
    <row r="153" customFormat="false" ht="15" hidden="false" customHeight="false" outlineLevel="0" collapsed="false">
      <c r="A153" s="3" t="s">
        <v>56</v>
      </c>
      <c r="B153" s="3" t="s">
        <v>765</v>
      </c>
      <c r="C153" s="3" t="n">
        <v>1385</v>
      </c>
      <c r="D153" s="3" t="s">
        <v>147</v>
      </c>
      <c r="E153" s="3" t="s">
        <v>766</v>
      </c>
      <c r="F153" s="3" t="n">
        <v>2</v>
      </c>
      <c r="G153" s="3" t="s">
        <v>51</v>
      </c>
      <c r="H153" s="3" t="s">
        <v>19</v>
      </c>
      <c r="I153" s="3" t="s">
        <v>767</v>
      </c>
      <c r="J153" s="3" t="s">
        <v>21</v>
      </c>
      <c r="K153" s="3" t="n">
        <v>6725</v>
      </c>
      <c r="L153" s="3" t="n">
        <v>600</v>
      </c>
      <c r="M153" s="3" t="n">
        <v>1200</v>
      </c>
      <c r="N153" s="3" t="s">
        <v>768</v>
      </c>
    </row>
    <row r="154" customFormat="false" ht="15" hidden="false" customHeight="false" outlineLevel="0" collapsed="false">
      <c r="A154" s="2" t="s">
        <v>769</v>
      </c>
      <c r="B154" s="2" t="s">
        <v>15</v>
      </c>
      <c r="C154" s="2" t="n">
        <v>1386</v>
      </c>
      <c r="D154" s="2" t="s">
        <v>34</v>
      </c>
      <c r="E154" s="2" t="s">
        <v>619</v>
      </c>
      <c r="F154" s="2" t="n">
        <v>2</v>
      </c>
      <c r="G154" s="2" t="s">
        <v>18</v>
      </c>
      <c r="H154" s="2" t="s">
        <v>28</v>
      </c>
      <c r="I154" s="2" t="s">
        <v>770</v>
      </c>
      <c r="J154" s="2" t="s">
        <v>30</v>
      </c>
      <c r="K154" s="2" t="n">
        <v>2600</v>
      </c>
      <c r="L154" s="2" t="n">
        <v>300</v>
      </c>
      <c r="M154" s="2" t="n">
        <v>600</v>
      </c>
      <c r="N154" s="2" t="s">
        <v>771</v>
      </c>
    </row>
    <row r="155" customFormat="false" ht="15" hidden="false" customHeight="false" outlineLevel="0" collapsed="false">
      <c r="A155" s="3" t="s">
        <v>584</v>
      </c>
      <c r="B155" s="3" t="s">
        <v>772</v>
      </c>
      <c r="C155" s="3" t="n">
        <v>1387</v>
      </c>
      <c r="D155" s="3" t="s">
        <v>16</v>
      </c>
      <c r="E155" s="3" t="s">
        <v>773</v>
      </c>
      <c r="F155" s="3" t="n">
        <v>2</v>
      </c>
      <c r="G155" s="3" t="s">
        <v>51</v>
      </c>
      <c r="H155" s="3" t="s">
        <v>43</v>
      </c>
      <c r="I155" s="3" t="s">
        <v>774</v>
      </c>
      <c r="J155" s="3" t="s">
        <v>67</v>
      </c>
      <c r="K155" s="3" t="n">
        <v>3220</v>
      </c>
      <c r="L155" s="3" t="n">
        <v>250</v>
      </c>
      <c r="M155" s="3" t="n">
        <v>500</v>
      </c>
      <c r="N155" s="3" t="s">
        <v>775</v>
      </c>
    </row>
    <row r="156" customFormat="false" ht="15" hidden="false" customHeight="false" outlineLevel="0" collapsed="false">
      <c r="A156" s="2" t="s">
        <v>776</v>
      </c>
      <c r="B156" s="2" t="s">
        <v>777</v>
      </c>
      <c r="C156" s="2" t="n">
        <v>1388</v>
      </c>
      <c r="D156" s="2" t="s">
        <v>34</v>
      </c>
      <c r="E156" s="2" t="s">
        <v>778</v>
      </c>
      <c r="F156" s="2" t="n">
        <v>2</v>
      </c>
      <c r="G156" s="2" t="s">
        <v>97</v>
      </c>
      <c r="H156" s="2" t="s">
        <v>121</v>
      </c>
      <c r="I156" s="2" t="s">
        <v>779</v>
      </c>
      <c r="J156" s="2" t="s">
        <v>317</v>
      </c>
      <c r="K156" s="2" t="n">
        <v>870</v>
      </c>
      <c r="L156" s="2" t="n">
        <v>300</v>
      </c>
      <c r="M156" s="2" t="n">
        <v>600</v>
      </c>
      <c r="N156" s="2" t="s">
        <v>780</v>
      </c>
    </row>
    <row r="157" customFormat="false" ht="15" hidden="false" customHeight="false" outlineLevel="0" collapsed="false">
      <c r="A157" s="3" t="s">
        <v>781</v>
      </c>
      <c r="B157" s="3" t="s">
        <v>782</v>
      </c>
      <c r="C157" s="3" t="n">
        <v>1389</v>
      </c>
      <c r="D157" s="3" t="s">
        <v>147</v>
      </c>
      <c r="E157" s="3" t="s">
        <v>676</v>
      </c>
      <c r="F157" s="3" t="n">
        <v>2</v>
      </c>
      <c r="G157" s="3" t="s">
        <v>51</v>
      </c>
      <c r="H157" s="3" t="s">
        <v>19</v>
      </c>
      <c r="I157" s="3" t="s">
        <v>783</v>
      </c>
      <c r="J157" s="3" t="s">
        <v>176</v>
      </c>
      <c r="K157" s="3" t="n">
        <v>6000</v>
      </c>
      <c r="L157" s="3" t="n">
        <v>600</v>
      </c>
      <c r="M157" s="3" t="n">
        <v>1200</v>
      </c>
      <c r="N157" s="3" t="s">
        <v>784</v>
      </c>
    </row>
    <row r="158" customFormat="false" ht="15" hidden="false" customHeight="false" outlineLevel="0" collapsed="false">
      <c r="A158" s="2" t="s">
        <v>352</v>
      </c>
      <c r="B158" s="2" t="s">
        <v>548</v>
      </c>
      <c r="C158" s="2" t="n">
        <v>1390</v>
      </c>
      <c r="D158" s="2" t="s">
        <v>34</v>
      </c>
      <c r="E158" s="2" t="s">
        <v>785</v>
      </c>
      <c r="F158" s="2" t="n">
        <v>2</v>
      </c>
      <c r="G158" s="2" t="s">
        <v>18</v>
      </c>
      <c r="H158" s="2" t="s">
        <v>78</v>
      </c>
      <c r="I158" s="2" t="s">
        <v>786</v>
      </c>
      <c r="J158" s="2" t="s">
        <v>80</v>
      </c>
      <c r="K158" s="2" t="n">
        <v>7250</v>
      </c>
      <c r="L158" s="2" t="n">
        <v>300</v>
      </c>
      <c r="M158" s="2" t="n">
        <v>600</v>
      </c>
      <c r="N158" s="2" t="s">
        <v>787</v>
      </c>
    </row>
    <row r="159" customFormat="false" ht="15" hidden="false" customHeight="false" outlineLevel="0" collapsed="false">
      <c r="A159" s="3" t="s">
        <v>788</v>
      </c>
      <c r="B159" s="3" t="s">
        <v>789</v>
      </c>
      <c r="C159" s="3" t="n">
        <v>1391</v>
      </c>
      <c r="D159" s="3" t="s">
        <v>108</v>
      </c>
      <c r="E159" s="3" t="s">
        <v>790</v>
      </c>
      <c r="F159" s="3" t="n">
        <v>2</v>
      </c>
      <c r="G159" s="3" t="s">
        <v>18</v>
      </c>
      <c r="H159" s="3" t="s">
        <v>78</v>
      </c>
      <c r="I159" s="3" t="s">
        <v>791</v>
      </c>
      <c r="J159" s="3" t="s">
        <v>80</v>
      </c>
      <c r="K159" s="3" t="n">
        <v>7250</v>
      </c>
      <c r="L159" s="3" t="n">
        <v>1200</v>
      </c>
      <c r="M159" s="3" t="n">
        <v>2400</v>
      </c>
      <c r="N159" s="3" t="s">
        <v>792</v>
      </c>
    </row>
    <row r="160" customFormat="false" ht="15" hidden="false" customHeight="false" outlineLevel="0" collapsed="false">
      <c r="A160" s="2" t="s">
        <v>309</v>
      </c>
      <c r="B160" s="2" t="s">
        <v>300</v>
      </c>
      <c r="C160" s="2" t="n">
        <v>1392</v>
      </c>
      <c r="D160" s="2" t="s">
        <v>16</v>
      </c>
      <c r="E160" s="2" t="s">
        <v>793</v>
      </c>
      <c r="F160" s="2" t="n">
        <v>3</v>
      </c>
      <c r="G160" s="2" t="s">
        <v>51</v>
      </c>
      <c r="H160" s="2" t="s">
        <v>52</v>
      </c>
      <c r="I160" s="2" t="s">
        <v>794</v>
      </c>
      <c r="J160" s="2" t="s">
        <v>182</v>
      </c>
      <c r="K160" s="2" t="n">
        <v>4000</v>
      </c>
      <c r="L160" s="2" t="n">
        <v>250</v>
      </c>
      <c r="M160" s="2" t="n">
        <v>750</v>
      </c>
      <c r="N160" s="2" t="s">
        <v>795</v>
      </c>
    </row>
    <row r="161" customFormat="false" ht="15" hidden="false" customHeight="false" outlineLevel="0" collapsed="false">
      <c r="A161" s="3" t="s">
        <v>796</v>
      </c>
      <c r="B161" s="3" t="s">
        <v>797</v>
      </c>
      <c r="C161" s="3" t="n">
        <v>1393</v>
      </c>
      <c r="D161" s="3" t="s">
        <v>34</v>
      </c>
      <c r="E161" s="3" t="s">
        <v>798</v>
      </c>
      <c r="F161" s="3" t="n">
        <v>3</v>
      </c>
      <c r="G161" s="3" t="s">
        <v>51</v>
      </c>
      <c r="H161" s="3" t="s">
        <v>43</v>
      </c>
      <c r="I161" s="3" t="s">
        <v>799</v>
      </c>
      <c r="J161" s="3" t="s">
        <v>45</v>
      </c>
      <c r="K161" s="3" t="n">
        <v>3350</v>
      </c>
      <c r="L161" s="3" t="n">
        <v>300</v>
      </c>
      <c r="M161" s="3" t="n">
        <v>900</v>
      </c>
      <c r="N161" s="3" t="s">
        <v>800</v>
      </c>
    </row>
    <row r="162" customFormat="false" ht="15" hidden="false" customHeight="false" outlineLevel="0" collapsed="false">
      <c r="A162" s="2" t="s">
        <v>801</v>
      </c>
      <c r="B162" s="2" t="s">
        <v>802</v>
      </c>
      <c r="C162" s="2" t="n">
        <v>1394</v>
      </c>
      <c r="D162" s="2" t="s">
        <v>147</v>
      </c>
      <c r="E162" s="2" t="s">
        <v>803</v>
      </c>
      <c r="F162" s="2" t="n">
        <v>3</v>
      </c>
      <c r="G162" s="2" t="s">
        <v>18</v>
      </c>
      <c r="H162" s="2" t="s">
        <v>36</v>
      </c>
      <c r="I162" s="2" t="s">
        <v>804</v>
      </c>
      <c r="J162" s="2" t="s">
        <v>38</v>
      </c>
      <c r="K162" s="2" t="n">
        <v>2300</v>
      </c>
      <c r="L162" s="2" t="n">
        <v>600</v>
      </c>
      <c r="M162" s="2" t="n">
        <v>1800</v>
      </c>
      <c r="N162" s="2" t="s">
        <v>805</v>
      </c>
    </row>
    <row r="163" customFormat="false" ht="15" hidden="false" customHeight="false" outlineLevel="0" collapsed="false">
      <c r="A163" s="3" t="s">
        <v>419</v>
      </c>
      <c r="B163" s="3" t="s">
        <v>806</v>
      </c>
      <c r="C163" s="3" t="n">
        <v>1395</v>
      </c>
      <c r="D163" s="3" t="s">
        <v>108</v>
      </c>
      <c r="E163" s="3" t="s">
        <v>807</v>
      </c>
      <c r="F163" s="3" t="n">
        <v>1</v>
      </c>
      <c r="G163" s="3" t="s">
        <v>18</v>
      </c>
      <c r="H163" s="3" t="s">
        <v>121</v>
      </c>
      <c r="I163" s="3" t="s">
        <v>808</v>
      </c>
      <c r="J163" s="3" t="s">
        <v>317</v>
      </c>
      <c r="K163" s="3" t="n">
        <v>870</v>
      </c>
      <c r="L163" s="3" t="n">
        <v>1200</v>
      </c>
      <c r="M163" s="3" t="n">
        <v>1200</v>
      </c>
      <c r="N163" s="3" t="s">
        <v>809</v>
      </c>
    </row>
    <row r="164" customFormat="false" ht="15" hidden="false" customHeight="false" outlineLevel="0" collapsed="false">
      <c r="A164" s="2" t="s">
        <v>810</v>
      </c>
      <c r="B164" s="2" t="s">
        <v>210</v>
      </c>
      <c r="C164" s="2" t="n">
        <v>1396</v>
      </c>
      <c r="D164" s="2" t="s">
        <v>25</v>
      </c>
      <c r="E164" s="2" t="s">
        <v>811</v>
      </c>
      <c r="F164" s="2" t="n">
        <v>2</v>
      </c>
      <c r="G164" s="2" t="s">
        <v>18</v>
      </c>
      <c r="H164" s="2" t="s">
        <v>19</v>
      </c>
      <c r="I164" s="2" t="s">
        <v>812</v>
      </c>
      <c r="J164" s="2" t="s">
        <v>73</v>
      </c>
      <c r="K164" s="2" t="n">
        <v>6160</v>
      </c>
      <c r="L164" s="2" t="n">
        <v>800</v>
      </c>
      <c r="M164" s="2" t="n">
        <v>1600</v>
      </c>
      <c r="N164" s="2" t="s">
        <v>813</v>
      </c>
    </row>
    <row r="165" customFormat="false" ht="15" hidden="false" customHeight="false" outlineLevel="0" collapsed="false">
      <c r="A165" s="3" t="s">
        <v>814</v>
      </c>
      <c r="B165" s="3" t="s">
        <v>815</v>
      </c>
      <c r="C165" s="3" t="n">
        <v>1397</v>
      </c>
      <c r="D165" s="3" t="s">
        <v>108</v>
      </c>
      <c r="E165" s="3" t="s">
        <v>816</v>
      </c>
      <c r="F165" s="3" t="n">
        <v>1</v>
      </c>
      <c r="G165" s="3" t="s">
        <v>51</v>
      </c>
      <c r="H165" s="3" t="s">
        <v>121</v>
      </c>
      <c r="I165" s="3" t="s">
        <v>817</v>
      </c>
      <c r="J165" s="3" t="s">
        <v>123</v>
      </c>
      <c r="K165" s="3" t="n">
        <v>800</v>
      </c>
      <c r="L165" s="3" t="n">
        <v>1200</v>
      </c>
      <c r="M165" s="3" t="n">
        <v>1200</v>
      </c>
      <c r="N165" s="3" t="s">
        <v>818</v>
      </c>
    </row>
    <row r="166" customFormat="false" ht="15" hidden="false" customHeight="false" outlineLevel="0" collapsed="false">
      <c r="A166" s="2" t="s">
        <v>819</v>
      </c>
      <c r="B166" s="2" t="s">
        <v>562</v>
      </c>
      <c r="C166" s="2" t="n">
        <v>1398</v>
      </c>
      <c r="D166" s="2" t="s">
        <v>147</v>
      </c>
      <c r="E166" s="2" t="s">
        <v>820</v>
      </c>
      <c r="F166" s="2" t="n">
        <v>1</v>
      </c>
      <c r="G166" s="2" t="s">
        <v>51</v>
      </c>
      <c r="H166" s="2" t="s">
        <v>52</v>
      </c>
      <c r="I166" s="2" t="s">
        <v>821</v>
      </c>
      <c r="J166" s="2" t="s">
        <v>182</v>
      </c>
      <c r="K166" s="2" t="n">
        <v>4000</v>
      </c>
      <c r="L166" s="2" t="n">
        <v>600</v>
      </c>
      <c r="M166" s="2" t="n">
        <v>600</v>
      </c>
      <c r="N166" s="2" t="s">
        <v>822</v>
      </c>
    </row>
    <row r="167" customFormat="false" ht="15" hidden="false" customHeight="false" outlineLevel="0" collapsed="false">
      <c r="A167" s="3" t="s">
        <v>823</v>
      </c>
      <c r="B167" s="3" t="s">
        <v>824</v>
      </c>
      <c r="C167" s="3" t="n">
        <v>1399</v>
      </c>
      <c r="D167" s="3" t="s">
        <v>16</v>
      </c>
      <c r="E167" s="3" t="s">
        <v>778</v>
      </c>
      <c r="F167" s="3" t="n">
        <v>2</v>
      </c>
      <c r="G167" s="3" t="s">
        <v>18</v>
      </c>
      <c r="H167" s="3" t="s">
        <v>19</v>
      </c>
      <c r="I167" s="3" t="s">
        <v>825</v>
      </c>
      <c r="J167" s="3" t="s">
        <v>21</v>
      </c>
      <c r="K167" s="3" t="n">
        <v>6725</v>
      </c>
      <c r="L167" s="3" t="n">
        <v>250</v>
      </c>
      <c r="M167" s="3" t="n">
        <v>500</v>
      </c>
      <c r="N167" s="3" t="s">
        <v>826</v>
      </c>
    </row>
    <row r="168" customFormat="false" ht="15" hidden="false" customHeight="false" outlineLevel="0" collapsed="false">
      <c r="A168" s="2" t="s">
        <v>827</v>
      </c>
      <c r="B168" s="2" t="s">
        <v>828</v>
      </c>
      <c r="C168" s="2" t="n">
        <v>1400</v>
      </c>
      <c r="D168" s="2" t="s">
        <v>16</v>
      </c>
      <c r="E168" s="2" t="s">
        <v>829</v>
      </c>
      <c r="F168" s="2" t="n">
        <v>2</v>
      </c>
      <c r="G168" s="2" t="s">
        <v>97</v>
      </c>
      <c r="H168" s="2" t="s">
        <v>28</v>
      </c>
      <c r="I168" s="2" t="s">
        <v>830</v>
      </c>
      <c r="J168" s="2" t="s">
        <v>30</v>
      </c>
      <c r="K168" s="2" t="n">
        <v>2600</v>
      </c>
      <c r="L168" s="2" t="n">
        <v>250</v>
      </c>
      <c r="M168" s="2" t="n">
        <v>500</v>
      </c>
      <c r="N168" s="2" t="s">
        <v>831</v>
      </c>
    </row>
    <row r="169" customFormat="false" ht="15" hidden="false" customHeight="false" outlineLevel="0" collapsed="false">
      <c r="A169" s="3" t="s">
        <v>832</v>
      </c>
      <c r="B169" s="3" t="s">
        <v>833</v>
      </c>
      <c r="C169" s="3" t="n">
        <v>1401</v>
      </c>
      <c r="D169" s="3" t="s">
        <v>108</v>
      </c>
      <c r="E169" s="3" t="s">
        <v>834</v>
      </c>
      <c r="F169" s="3" t="n">
        <v>1</v>
      </c>
      <c r="G169" s="3" t="s">
        <v>18</v>
      </c>
      <c r="H169" s="3" t="s">
        <v>121</v>
      </c>
      <c r="I169" s="3" t="s">
        <v>835</v>
      </c>
      <c r="J169" s="3" t="s">
        <v>317</v>
      </c>
      <c r="K169" s="3" t="n">
        <v>870</v>
      </c>
      <c r="L169" s="3" t="n">
        <v>1200</v>
      </c>
      <c r="M169" s="3" t="n">
        <v>1200</v>
      </c>
      <c r="N169" s="3" t="s">
        <v>836</v>
      </c>
    </row>
    <row r="170" customFormat="false" ht="15" hidden="false" customHeight="false" outlineLevel="0" collapsed="false">
      <c r="A170" s="2" t="s">
        <v>837</v>
      </c>
      <c r="B170" s="2" t="s">
        <v>448</v>
      </c>
      <c r="C170" s="2" t="n">
        <v>1402</v>
      </c>
      <c r="D170" s="2" t="s">
        <v>147</v>
      </c>
      <c r="E170" s="2" t="s">
        <v>662</v>
      </c>
      <c r="F170" s="2" t="n">
        <v>2</v>
      </c>
      <c r="G170" s="2" t="s">
        <v>51</v>
      </c>
      <c r="H170" s="2" t="s">
        <v>121</v>
      </c>
      <c r="I170" s="2" t="s">
        <v>838</v>
      </c>
      <c r="J170" s="2" t="s">
        <v>123</v>
      </c>
      <c r="K170" s="2" t="n">
        <v>800</v>
      </c>
      <c r="L170" s="2" t="n">
        <v>600</v>
      </c>
      <c r="M170" s="2" t="n">
        <v>1200</v>
      </c>
      <c r="N170" s="2" t="s">
        <v>839</v>
      </c>
    </row>
    <row r="171" customFormat="false" ht="15" hidden="false" customHeight="false" outlineLevel="0" collapsed="false">
      <c r="A171" s="3" t="s">
        <v>840</v>
      </c>
      <c r="B171" s="3" t="s">
        <v>841</v>
      </c>
      <c r="C171" s="3" t="n">
        <v>1403</v>
      </c>
      <c r="D171" s="3" t="s">
        <v>49</v>
      </c>
      <c r="E171" s="3" t="s">
        <v>785</v>
      </c>
      <c r="F171" s="3" t="n">
        <v>1</v>
      </c>
      <c r="G171" s="3" t="s">
        <v>51</v>
      </c>
      <c r="H171" s="3" t="s">
        <v>121</v>
      </c>
      <c r="I171" s="3" t="s">
        <v>842</v>
      </c>
      <c r="J171" s="3" t="s">
        <v>317</v>
      </c>
      <c r="K171" s="3" t="n">
        <v>870</v>
      </c>
      <c r="L171" s="3" t="n">
        <v>250</v>
      </c>
      <c r="M171" s="3" t="n">
        <v>250</v>
      </c>
      <c r="N171" s="3" t="s">
        <v>843</v>
      </c>
    </row>
    <row r="172" customFormat="false" ht="15" hidden="false" customHeight="false" outlineLevel="0" collapsed="false">
      <c r="A172" s="2" t="s">
        <v>844</v>
      </c>
      <c r="B172" s="2" t="s">
        <v>386</v>
      </c>
      <c r="C172" s="2" t="n">
        <v>1404</v>
      </c>
      <c r="D172" s="2" t="s">
        <v>49</v>
      </c>
      <c r="E172" s="2" t="s">
        <v>845</v>
      </c>
      <c r="F172" s="2" t="n">
        <v>3</v>
      </c>
      <c r="G172" s="2" t="s">
        <v>27</v>
      </c>
      <c r="H172" s="2" t="s">
        <v>43</v>
      </c>
      <c r="I172" s="2" t="s">
        <v>846</v>
      </c>
      <c r="J172" s="2" t="s">
        <v>67</v>
      </c>
      <c r="K172" s="2" t="n">
        <v>3220</v>
      </c>
      <c r="L172" s="2" t="n">
        <v>250</v>
      </c>
      <c r="M172" s="2" t="n">
        <v>750</v>
      </c>
      <c r="N172" s="2" t="s">
        <v>847</v>
      </c>
    </row>
    <row r="173" customFormat="false" ht="15" hidden="false" customHeight="false" outlineLevel="0" collapsed="false">
      <c r="A173" s="3" t="s">
        <v>848</v>
      </c>
      <c r="B173" s="3" t="s">
        <v>849</v>
      </c>
      <c r="C173" s="3" t="n">
        <v>1405</v>
      </c>
      <c r="D173" s="3" t="s">
        <v>25</v>
      </c>
      <c r="E173" s="3" t="s">
        <v>850</v>
      </c>
      <c r="F173" s="3" t="n">
        <v>3</v>
      </c>
      <c r="G173" s="3" t="s">
        <v>27</v>
      </c>
      <c r="H173" s="3" t="s">
        <v>36</v>
      </c>
      <c r="I173" s="3" t="s">
        <v>851</v>
      </c>
      <c r="J173" s="3" t="s">
        <v>192</v>
      </c>
      <c r="K173" s="3" t="n">
        <v>2000</v>
      </c>
      <c r="L173" s="3" t="n">
        <v>800</v>
      </c>
      <c r="M173" s="3" t="n">
        <v>2400</v>
      </c>
      <c r="N173" s="3" t="s">
        <v>852</v>
      </c>
    </row>
    <row r="174" customFormat="false" ht="15" hidden="false" customHeight="false" outlineLevel="0" collapsed="false">
      <c r="A174" s="2" t="s">
        <v>853</v>
      </c>
      <c r="B174" s="2" t="s">
        <v>854</v>
      </c>
      <c r="C174" s="2" t="n">
        <v>1406</v>
      </c>
      <c r="D174" s="2" t="s">
        <v>16</v>
      </c>
      <c r="E174" s="2" t="s">
        <v>26</v>
      </c>
      <c r="F174" s="2" t="n">
        <v>3</v>
      </c>
      <c r="G174" s="2" t="s">
        <v>18</v>
      </c>
      <c r="H174" s="2" t="s">
        <v>36</v>
      </c>
      <c r="I174" s="2" t="s">
        <v>855</v>
      </c>
      <c r="J174" s="2" t="s">
        <v>170</v>
      </c>
      <c r="K174" s="2" t="n">
        <v>2500</v>
      </c>
      <c r="L174" s="2" t="n">
        <v>250</v>
      </c>
      <c r="M174" s="2" t="n">
        <v>750</v>
      </c>
      <c r="N174" s="2" t="s">
        <v>856</v>
      </c>
    </row>
    <row r="175" customFormat="false" ht="15" hidden="false" customHeight="false" outlineLevel="0" collapsed="false">
      <c r="A175" s="3" t="s">
        <v>857</v>
      </c>
      <c r="B175" s="3" t="s">
        <v>434</v>
      </c>
      <c r="C175" s="3" t="n">
        <v>1407</v>
      </c>
      <c r="D175" s="3" t="s">
        <v>34</v>
      </c>
      <c r="E175" s="3" t="s">
        <v>858</v>
      </c>
      <c r="F175" s="3" t="n">
        <v>1</v>
      </c>
      <c r="G175" s="3" t="s">
        <v>97</v>
      </c>
      <c r="H175" s="3" t="s">
        <v>59</v>
      </c>
      <c r="I175" s="3" t="s">
        <v>859</v>
      </c>
      <c r="J175" s="3" t="s">
        <v>99</v>
      </c>
      <c r="K175" s="3" t="n">
        <v>5000</v>
      </c>
      <c r="L175" s="3" t="n">
        <v>300</v>
      </c>
      <c r="M175" s="3" t="n">
        <v>300</v>
      </c>
      <c r="N175" s="3" t="s">
        <v>860</v>
      </c>
    </row>
    <row r="176" customFormat="false" ht="15" hidden="false" customHeight="false" outlineLevel="0" collapsed="false">
      <c r="A176" s="2" t="s">
        <v>505</v>
      </c>
      <c r="B176" s="2" t="s">
        <v>861</v>
      </c>
      <c r="C176" s="2" t="n">
        <v>1408</v>
      </c>
      <c r="D176" s="2" t="s">
        <v>25</v>
      </c>
      <c r="E176" s="2" t="s">
        <v>862</v>
      </c>
      <c r="F176" s="2" t="n">
        <v>1</v>
      </c>
      <c r="G176" s="2" t="s">
        <v>97</v>
      </c>
      <c r="H176" s="2" t="s">
        <v>36</v>
      </c>
      <c r="I176" s="2" t="s">
        <v>863</v>
      </c>
      <c r="J176" s="2" t="s">
        <v>38</v>
      </c>
      <c r="K176" s="2" t="n">
        <v>2300</v>
      </c>
      <c r="L176" s="2" t="n">
        <v>800</v>
      </c>
      <c r="M176" s="2" t="n">
        <v>800</v>
      </c>
      <c r="N176" s="2" t="s">
        <v>864</v>
      </c>
    </row>
    <row r="177" customFormat="false" ht="15" hidden="false" customHeight="false" outlineLevel="0" collapsed="false">
      <c r="A177" s="3" t="s">
        <v>865</v>
      </c>
      <c r="B177" s="3" t="s">
        <v>107</v>
      </c>
      <c r="C177" s="3" t="n">
        <v>1409</v>
      </c>
      <c r="D177" s="3" t="s">
        <v>25</v>
      </c>
      <c r="E177" s="3" t="s">
        <v>301</v>
      </c>
      <c r="F177" s="3" t="n">
        <v>2</v>
      </c>
      <c r="G177" s="3" t="s">
        <v>51</v>
      </c>
      <c r="H177" s="3" t="s">
        <v>43</v>
      </c>
      <c r="I177" s="3" t="s">
        <v>866</v>
      </c>
      <c r="J177" s="3" t="s">
        <v>45</v>
      </c>
      <c r="K177" s="3" t="n">
        <v>3350</v>
      </c>
      <c r="L177" s="3" t="n">
        <v>800</v>
      </c>
      <c r="M177" s="3" t="n">
        <v>1600</v>
      </c>
      <c r="N177" s="3" t="s">
        <v>867</v>
      </c>
    </row>
    <row r="178" customFormat="false" ht="15" hidden="false" customHeight="false" outlineLevel="0" collapsed="false">
      <c r="A178" s="2" t="s">
        <v>868</v>
      </c>
      <c r="B178" s="2" t="s">
        <v>869</v>
      </c>
      <c r="C178" s="2" t="n">
        <v>1410</v>
      </c>
      <c r="D178" s="2" t="s">
        <v>25</v>
      </c>
      <c r="E178" s="2" t="s">
        <v>870</v>
      </c>
      <c r="F178" s="2" t="n">
        <v>3</v>
      </c>
      <c r="G178" s="2" t="s">
        <v>18</v>
      </c>
      <c r="H178" s="2" t="s">
        <v>28</v>
      </c>
      <c r="I178" s="2" t="s">
        <v>871</v>
      </c>
      <c r="J178" s="2" t="s">
        <v>30</v>
      </c>
      <c r="K178" s="2" t="n">
        <v>2600</v>
      </c>
      <c r="L178" s="2" t="n">
        <v>800</v>
      </c>
      <c r="M178" s="2" t="n">
        <v>2400</v>
      </c>
      <c r="N178" s="2" t="s">
        <v>872</v>
      </c>
    </row>
    <row r="179" customFormat="false" ht="15" hidden="false" customHeight="false" outlineLevel="0" collapsed="false">
      <c r="A179" s="3" t="s">
        <v>873</v>
      </c>
      <c r="B179" s="3" t="s">
        <v>874</v>
      </c>
      <c r="C179" s="3" t="n">
        <v>1411</v>
      </c>
      <c r="D179" s="3" t="s">
        <v>49</v>
      </c>
      <c r="E179" s="3" t="s">
        <v>735</v>
      </c>
      <c r="F179" s="3" t="n">
        <v>2</v>
      </c>
      <c r="G179" s="3" t="s">
        <v>27</v>
      </c>
      <c r="H179" s="3" t="s">
        <v>59</v>
      </c>
      <c r="I179" s="3" t="s">
        <v>875</v>
      </c>
      <c r="J179" s="3" t="s">
        <v>99</v>
      </c>
      <c r="K179" s="3" t="n">
        <v>5000</v>
      </c>
      <c r="L179" s="3" t="n">
        <v>250</v>
      </c>
      <c r="M179" s="3" t="n">
        <v>500</v>
      </c>
      <c r="N179" s="3" t="s">
        <v>876</v>
      </c>
    </row>
    <row r="180" customFormat="false" ht="15" hidden="false" customHeight="false" outlineLevel="0" collapsed="false">
      <c r="A180" s="2" t="s">
        <v>665</v>
      </c>
      <c r="B180" s="2" t="s">
        <v>877</v>
      </c>
      <c r="C180" s="2" t="n">
        <v>1412</v>
      </c>
      <c r="D180" s="2" t="s">
        <v>49</v>
      </c>
      <c r="E180" s="2" t="s">
        <v>858</v>
      </c>
      <c r="F180" s="2" t="n">
        <v>3</v>
      </c>
      <c r="G180" s="2" t="s">
        <v>51</v>
      </c>
      <c r="H180" s="2" t="s">
        <v>19</v>
      </c>
      <c r="I180" s="2" t="s">
        <v>878</v>
      </c>
      <c r="J180" s="2" t="s">
        <v>21</v>
      </c>
      <c r="K180" s="2" t="n">
        <v>6725</v>
      </c>
      <c r="L180" s="2" t="n">
        <v>250</v>
      </c>
      <c r="M180" s="2" t="n">
        <v>750</v>
      </c>
      <c r="N180" s="2" t="s">
        <v>879</v>
      </c>
    </row>
    <row r="181" customFormat="false" ht="15" hidden="false" customHeight="false" outlineLevel="0" collapsed="false">
      <c r="A181" s="3" t="s">
        <v>880</v>
      </c>
      <c r="B181" s="3" t="s">
        <v>881</v>
      </c>
      <c r="C181" s="3" t="n">
        <v>1413</v>
      </c>
      <c r="D181" s="3" t="s">
        <v>34</v>
      </c>
      <c r="E181" s="3" t="s">
        <v>882</v>
      </c>
      <c r="F181" s="3" t="n">
        <v>3</v>
      </c>
      <c r="G181" s="3" t="s">
        <v>18</v>
      </c>
      <c r="H181" s="3" t="s">
        <v>59</v>
      </c>
      <c r="I181" s="3" t="s">
        <v>883</v>
      </c>
      <c r="J181" s="3" t="s">
        <v>99</v>
      </c>
      <c r="K181" s="3" t="n">
        <v>5000</v>
      </c>
      <c r="L181" s="3" t="n">
        <v>300</v>
      </c>
      <c r="M181" s="3" t="n">
        <v>900</v>
      </c>
      <c r="N181" s="3" t="s">
        <v>884</v>
      </c>
    </row>
    <row r="182" customFormat="false" ht="15" hidden="false" customHeight="false" outlineLevel="0" collapsed="false">
      <c r="A182" s="2" t="s">
        <v>885</v>
      </c>
      <c r="B182" s="2" t="s">
        <v>886</v>
      </c>
      <c r="C182" s="2" t="n">
        <v>1414</v>
      </c>
      <c r="D182" s="2" t="s">
        <v>25</v>
      </c>
      <c r="E182" s="2" t="s">
        <v>887</v>
      </c>
      <c r="F182" s="2" t="n">
        <v>2</v>
      </c>
      <c r="G182" s="2" t="s">
        <v>18</v>
      </c>
      <c r="H182" s="2" t="s">
        <v>59</v>
      </c>
      <c r="I182" s="2" t="s">
        <v>888</v>
      </c>
      <c r="J182" s="2" t="s">
        <v>292</v>
      </c>
      <c r="K182" s="2" t="n">
        <v>5600</v>
      </c>
      <c r="L182" s="2" t="n">
        <v>800</v>
      </c>
      <c r="M182" s="2" t="n">
        <v>1600</v>
      </c>
      <c r="N182" s="2" t="s">
        <v>889</v>
      </c>
    </row>
    <row r="183" customFormat="false" ht="15" hidden="false" customHeight="false" outlineLevel="0" collapsed="false">
      <c r="A183" s="3" t="s">
        <v>890</v>
      </c>
      <c r="B183" s="3" t="s">
        <v>891</v>
      </c>
      <c r="C183" s="3" t="n">
        <v>1415</v>
      </c>
      <c r="D183" s="3" t="s">
        <v>16</v>
      </c>
      <c r="E183" s="3" t="s">
        <v>892</v>
      </c>
      <c r="F183" s="3" t="n">
        <v>2</v>
      </c>
      <c r="G183" s="3" t="s">
        <v>18</v>
      </c>
      <c r="H183" s="3" t="s">
        <v>52</v>
      </c>
      <c r="I183" s="3" t="s">
        <v>893</v>
      </c>
      <c r="J183" s="3" t="s">
        <v>92</v>
      </c>
      <c r="K183" s="3" t="n">
        <v>4870</v>
      </c>
      <c r="L183" s="3" t="n">
        <v>250</v>
      </c>
      <c r="M183" s="3" t="n">
        <v>500</v>
      </c>
      <c r="N183" s="3" t="s">
        <v>894</v>
      </c>
    </row>
    <row r="184" customFormat="false" ht="15" hidden="false" customHeight="false" outlineLevel="0" collapsed="false">
      <c r="A184" s="2" t="s">
        <v>895</v>
      </c>
      <c r="B184" s="2" t="s">
        <v>896</v>
      </c>
      <c r="C184" s="2" t="n">
        <v>1416</v>
      </c>
      <c r="D184" s="2" t="s">
        <v>108</v>
      </c>
      <c r="E184" s="2" t="s">
        <v>897</v>
      </c>
      <c r="F184" s="2" t="n">
        <v>1</v>
      </c>
      <c r="G184" s="2" t="s">
        <v>51</v>
      </c>
      <c r="H184" s="2" t="s">
        <v>59</v>
      </c>
      <c r="I184" s="2" t="s">
        <v>898</v>
      </c>
      <c r="J184" s="2" t="s">
        <v>292</v>
      </c>
      <c r="K184" s="2" t="n">
        <v>5600</v>
      </c>
      <c r="L184" s="2" t="n">
        <v>1200</v>
      </c>
      <c r="M184" s="2" t="n">
        <v>1200</v>
      </c>
      <c r="N184" s="2" t="s">
        <v>899</v>
      </c>
    </row>
    <row r="185" customFormat="false" ht="15" hidden="false" customHeight="false" outlineLevel="0" collapsed="false">
      <c r="A185" s="3" t="s">
        <v>900</v>
      </c>
      <c r="B185" s="3" t="s">
        <v>901</v>
      </c>
      <c r="C185" s="3" t="n">
        <v>1417</v>
      </c>
      <c r="D185" s="3" t="s">
        <v>16</v>
      </c>
      <c r="E185" s="3" t="s">
        <v>902</v>
      </c>
      <c r="F185" s="3" t="n">
        <v>2</v>
      </c>
      <c r="G185" s="3" t="s">
        <v>18</v>
      </c>
      <c r="H185" s="3" t="s">
        <v>52</v>
      </c>
      <c r="I185" s="3" t="s">
        <v>903</v>
      </c>
      <c r="J185" s="3" t="s">
        <v>92</v>
      </c>
      <c r="K185" s="3" t="n">
        <v>4870</v>
      </c>
      <c r="L185" s="3" t="n">
        <v>250</v>
      </c>
      <c r="M185" s="3" t="n">
        <v>500</v>
      </c>
      <c r="N185" s="3" t="s">
        <v>904</v>
      </c>
    </row>
    <row r="186" customFormat="false" ht="15" hidden="false" customHeight="false" outlineLevel="0" collapsed="false">
      <c r="A186" s="2" t="s">
        <v>905</v>
      </c>
      <c r="B186" s="2" t="s">
        <v>906</v>
      </c>
      <c r="C186" s="2" t="n">
        <v>1418</v>
      </c>
      <c r="D186" s="2" t="s">
        <v>16</v>
      </c>
      <c r="E186" s="2" t="s">
        <v>907</v>
      </c>
      <c r="F186" s="2" t="n">
        <v>3</v>
      </c>
      <c r="G186" s="2" t="s">
        <v>18</v>
      </c>
      <c r="H186" s="2" t="s">
        <v>43</v>
      </c>
      <c r="I186" s="2" t="s">
        <v>908</v>
      </c>
      <c r="J186" s="2" t="s">
        <v>67</v>
      </c>
      <c r="K186" s="2" t="n">
        <v>3220</v>
      </c>
      <c r="L186" s="2" t="n">
        <v>250</v>
      </c>
      <c r="M186" s="2" t="n">
        <v>750</v>
      </c>
      <c r="N186" s="2" t="s">
        <v>909</v>
      </c>
    </row>
    <row r="187" customFormat="false" ht="15" hidden="false" customHeight="false" outlineLevel="0" collapsed="false">
      <c r="A187" s="3" t="s">
        <v>910</v>
      </c>
      <c r="B187" s="3" t="s">
        <v>911</v>
      </c>
      <c r="C187" s="3" t="n">
        <v>1419</v>
      </c>
      <c r="D187" s="3" t="s">
        <v>108</v>
      </c>
      <c r="E187" s="3" t="s">
        <v>720</v>
      </c>
      <c r="F187" s="3" t="n">
        <v>1</v>
      </c>
      <c r="G187" s="3" t="s">
        <v>51</v>
      </c>
      <c r="H187" s="3" t="s">
        <v>78</v>
      </c>
      <c r="I187" s="3" t="s">
        <v>912</v>
      </c>
      <c r="J187" s="3" t="s">
        <v>80</v>
      </c>
      <c r="K187" s="3" t="n">
        <v>7250</v>
      </c>
      <c r="L187" s="3" t="n">
        <v>1200</v>
      </c>
      <c r="M187" s="3" t="n">
        <v>1200</v>
      </c>
      <c r="N187" s="3" t="s">
        <v>913</v>
      </c>
    </row>
    <row r="188" customFormat="false" ht="15" hidden="false" customHeight="false" outlineLevel="0" collapsed="false">
      <c r="A188" s="2" t="s">
        <v>914</v>
      </c>
      <c r="B188" s="2" t="s">
        <v>915</v>
      </c>
      <c r="C188" s="2" t="n">
        <v>1420</v>
      </c>
      <c r="D188" s="2" t="s">
        <v>34</v>
      </c>
      <c r="E188" s="2" t="s">
        <v>662</v>
      </c>
      <c r="F188" s="2" t="n">
        <v>3</v>
      </c>
      <c r="G188" s="2" t="s">
        <v>51</v>
      </c>
      <c r="H188" s="2" t="s">
        <v>52</v>
      </c>
      <c r="I188" s="2" t="s">
        <v>916</v>
      </c>
      <c r="J188" s="2" t="s">
        <v>182</v>
      </c>
      <c r="K188" s="2" t="n">
        <v>4000</v>
      </c>
      <c r="L188" s="2" t="n">
        <v>300</v>
      </c>
      <c r="M188" s="2" t="n">
        <v>900</v>
      </c>
      <c r="N188" s="2" t="s">
        <v>917</v>
      </c>
    </row>
    <row r="189" customFormat="false" ht="15" hidden="false" customHeight="false" outlineLevel="0" collapsed="false">
      <c r="A189" s="3" t="s">
        <v>918</v>
      </c>
      <c r="B189" s="3" t="s">
        <v>919</v>
      </c>
      <c r="C189" s="3" t="n">
        <v>1421</v>
      </c>
      <c r="D189" s="3" t="s">
        <v>108</v>
      </c>
      <c r="E189" s="3" t="s">
        <v>920</v>
      </c>
      <c r="F189" s="3" t="n">
        <v>3</v>
      </c>
      <c r="G189" s="3" t="s">
        <v>27</v>
      </c>
      <c r="H189" s="3" t="s">
        <v>59</v>
      </c>
      <c r="I189" s="3" t="s">
        <v>921</v>
      </c>
      <c r="J189" s="3" t="s">
        <v>292</v>
      </c>
      <c r="K189" s="3" t="n">
        <v>5600</v>
      </c>
      <c r="L189" s="3" t="n">
        <v>1200</v>
      </c>
      <c r="M189" s="3" t="n">
        <v>3600</v>
      </c>
      <c r="N189" s="3" t="s">
        <v>922</v>
      </c>
    </row>
    <row r="190" customFormat="false" ht="15" hidden="false" customHeight="false" outlineLevel="0" collapsed="false">
      <c r="A190" s="2" t="s">
        <v>923</v>
      </c>
      <c r="B190" s="2" t="s">
        <v>901</v>
      </c>
      <c r="C190" s="2" t="n">
        <v>1422</v>
      </c>
      <c r="D190" s="2" t="s">
        <v>49</v>
      </c>
      <c r="E190" s="2" t="s">
        <v>924</v>
      </c>
      <c r="F190" s="2" t="n">
        <v>1</v>
      </c>
      <c r="G190" s="2" t="s">
        <v>97</v>
      </c>
      <c r="H190" s="2" t="s">
        <v>121</v>
      </c>
      <c r="I190" s="2" t="s">
        <v>925</v>
      </c>
      <c r="J190" s="2" t="s">
        <v>123</v>
      </c>
      <c r="K190" s="2" t="n">
        <v>800</v>
      </c>
      <c r="L190" s="2" t="n">
        <v>250</v>
      </c>
      <c r="M190" s="2" t="n">
        <v>250</v>
      </c>
      <c r="N190" s="2" t="s">
        <v>926</v>
      </c>
    </row>
    <row r="191" customFormat="false" ht="15" hidden="false" customHeight="false" outlineLevel="0" collapsed="false">
      <c r="A191" s="3" t="s">
        <v>927</v>
      </c>
      <c r="B191" s="3" t="s">
        <v>928</v>
      </c>
      <c r="C191" s="3" t="n">
        <v>1423</v>
      </c>
      <c r="D191" s="3" t="s">
        <v>108</v>
      </c>
      <c r="E191" s="3" t="s">
        <v>65</v>
      </c>
      <c r="F191" s="3" t="n">
        <v>1</v>
      </c>
      <c r="G191" s="3" t="s">
        <v>51</v>
      </c>
      <c r="H191" s="3" t="s">
        <v>28</v>
      </c>
      <c r="I191" s="3" t="s">
        <v>929</v>
      </c>
      <c r="J191" s="3" t="s">
        <v>30</v>
      </c>
      <c r="K191" s="3" t="n">
        <v>2600</v>
      </c>
      <c r="L191" s="3" t="n">
        <v>1200</v>
      </c>
      <c r="M191" s="3" t="n">
        <v>1200</v>
      </c>
      <c r="N191" s="3" t="s">
        <v>930</v>
      </c>
    </row>
    <row r="192" customFormat="false" ht="15" hidden="false" customHeight="false" outlineLevel="0" collapsed="false">
      <c r="A192" s="2" t="s">
        <v>931</v>
      </c>
      <c r="B192" s="2" t="s">
        <v>614</v>
      </c>
      <c r="C192" s="2" t="n">
        <v>1424</v>
      </c>
      <c r="D192" s="2" t="s">
        <v>25</v>
      </c>
      <c r="E192" s="2" t="s">
        <v>306</v>
      </c>
      <c r="F192" s="2" t="n">
        <v>2</v>
      </c>
      <c r="G192" s="2" t="s">
        <v>27</v>
      </c>
      <c r="H192" s="2" t="s">
        <v>121</v>
      </c>
      <c r="I192" s="2" t="s">
        <v>932</v>
      </c>
      <c r="J192" s="2" t="s">
        <v>123</v>
      </c>
      <c r="K192" s="2" t="n">
        <v>800</v>
      </c>
      <c r="L192" s="2" t="n">
        <v>800</v>
      </c>
      <c r="M192" s="2" t="n">
        <v>1600</v>
      </c>
      <c r="N192" s="2" t="s">
        <v>933</v>
      </c>
    </row>
    <row r="193" customFormat="false" ht="15" hidden="false" customHeight="false" outlineLevel="0" collapsed="false">
      <c r="A193" s="3" t="s">
        <v>934</v>
      </c>
      <c r="B193" s="3" t="s">
        <v>935</v>
      </c>
      <c r="C193" s="3" t="n">
        <v>1425</v>
      </c>
      <c r="D193" s="3" t="s">
        <v>25</v>
      </c>
      <c r="E193" s="3" t="s">
        <v>158</v>
      </c>
      <c r="F193" s="3" t="n">
        <v>2</v>
      </c>
      <c r="G193" s="3" t="s">
        <v>51</v>
      </c>
      <c r="H193" s="3" t="s">
        <v>43</v>
      </c>
      <c r="I193" s="3" t="s">
        <v>936</v>
      </c>
      <c r="J193" s="3" t="s">
        <v>45</v>
      </c>
      <c r="K193" s="3" t="n">
        <v>3350</v>
      </c>
      <c r="L193" s="3" t="n">
        <v>800</v>
      </c>
      <c r="M193" s="3" t="n">
        <v>1600</v>
      </c>
      <c r="N193" s="3" t="s">
        <v>937</v>
      </c>
    </row>
    <row r="194" customFormat="false" ht="15" hidden="false" customHeight="false" outlineLevel="0" collapsed="false">
      <c r="A194" s="2" t="s">
        <v>214</v>
      </c>
      <c r="B194" s="2" t="s">
        <v>938</v>
      </c>
      <c r="C194" s="2" t="n">
        <v>1426</v>
      </c>
      <c r="D194" s="2" t="s">
        <v>147</v>
      </c>
      <c r="E194" s="2" t="s">
        <v>939</v>
      </c>
      <c r="F194" s="2" t="n">
        <v>3</v>
      </c>
      <c r="G194" s="2" t="s">
        <v>18</v>
      </c>
      <c r="H194" s="2" t="s">
        <v>52</v>
      </c>
      <c r="I194" s="2" t="s">
        <v>940</v>
      </c>
      <c r="J194" s="2" t="s">
        <v>182</v>
      </c>
      <c r="K194" s="2" t="n">
        <v>4000</v>
      </c>
      <c r="L194" s="2" t="n">
        <v>600</v>
      </c>
      <c r="M194" s="2" t="n">
        <v>1800</v>
      </c>
      <c r="N194" s="2" t="s">
        <v>941</v>
      </c>
    </row>
    <row r="195" customFormat="false" ht="15" hidden="false" customHeight="false" outlineLevel="0" collapsed="false">
      <c r="A195" s="3" t="s">
        <v>827</v>
      </c>
      <c r="B195" s="3" t="s">
        <v>942</v>
      </c>
      <c r="C195" s="3" t="n">
        <v>1427</v>
      </c>
      <c r="D195" s="3" t="s">
        <v>49</v>
      </c>
      <c r="E195" s="3" t="s">
        <v>290</v>
      </c>
      <c r="F195" s="3" t="n">
        <v>3</v>
      </c>
      <c r="G195" s="3" t="s">
        <v>51</v>
      </c>
      <c r="H195" s="3" t="s">
        <v>43</v>
      </c>
      <c r="I195" s="3" t="s">
        <v>943</v>
      </c>
      <c r="J195" s="3" t="s">
        <v>111</v>
      </c>
      <c r="K195" s="3" t="n">
        <v>3000</v>
      </c>
      <c r="L195" s="3" t="n">
        <v>250</v>
      </c>
      <c r="M195" s="3" t="n">
        <v>750</v>
      </c>
      <c r="N195" s="3" t="s">
        <v>944</v>
      </c>
    </row>
    <row r="196" customFormat="false" ht="15" hidden="false" customHeight="false" outlineLevel="0" collapsed="false">
      <c r="A196" s="2" t="s">
        <v>945</v>
      </c>
      <c r="B196" s="2" t="s">
        <v>946</v>
      </c>
      <c r="C196" s="2" t="n">
        <v>1428</v>
      </c>
      <c r="D196" s="2" t="s">
        <v>16</v>
      </c>
      <c r="E196" s="2" t="s">
        <v>947</v>
      </c>
      <c r="F196" s="2" t="n">
        <v>3</v>
      </c>
      <c r="G196" s="2" t="s">
        <v>18</v>
      </c>
      <c r="H196" s="2" t="s">
        <v>19</v>
      </c>
      <c r="I196" s="2" t="s">
        <v>948</v>
      </c>
      <c r="J196" s="2" t="s">
        <v>73</v>
      </c>
      <c r="K196" s="2" t="n">
        <v>6160</v>
      </c>
      <c r="L196" s="2" t="n">
        <v>250</v>
      </c>
      <c r="M196" s="2" t="n">
        <v>750</v>
      </c>
      <c r="N196" s="2" t="s">
        <v>949</v>
      </c>
    </row>
    <row r="197" customFormat="false" ht="15" hidden="false" customHeight="false" outlineLevel="0" collapsed="false">
      <c r="A197" s="3" t="s">
        <v>145</v>
      </c>
      <c r="B197" s="3" t="s">
        <v>950</v>
      </c>
      <c r="C197" s="3" t="n">
        <v>1429</v>
      </c>
      <c r="D197" s="3" t="s">
        <v>108</v>
      </c>
      <c r="E197" s="3" t="s">
        <v>951</v>
      </c>
      <c r="F197" s="3" t="n">
        <v>3</v>
      </c>
      <c r="G197" s="3" t="s">
        <v>18</v>
      </c>
      <c r="H197" s="3" t="s">
        <v>59</v>
      </c>
      <c r="I197" s="3" t="s">
        <v>952</v>
      </c>
      <c r="J197" s="3" t="s">
        <v>61</v>
      </c>
      <c r="K197" s="3" t="n">
        <v>5290</v>
      </c>
      <c r="L197" s="3" t="n">
        <v>1200</v>
      </c>
      <c r="M197" s="3" t="n">
        <v>3600</v>
      </c>
      <c r="N197" s="3" t="s">
        <v>953</v>
      </c>
    </row>
    <row r="198" customFormat="false" ht="15" hidden="false" customHeight="false" outlineLevel="0" collapsed="false">
      <c r="A198" s="2" t="s">
        <v>954</v>
      </c>
      <c r="B198" s="2" t="s">
        <v>955</v>
      </c>
      <c r="C198" s="2" t="n">
        <v>1430</v>
      </c>
      <c r="D198" s="2" t="s">
        <v>108</v>
      </c>
      <c r="E198" s="2" t="s">
        <v>778</v>
      </c>
      <c r="F198" s="2" t="n">
        <v>3</v>
      </c>
      <c r="G198" s="2" t="s">
        <v>18</v>
      </c>
      <c r="H198" s="2" t="s">
        <v>36</v>
      </c>
      <c r="I198" s="2" t="s">
        <v>956</v>
      </c>
      <c r="J198" s="2" t="s">
        <v>192</v>
      </c>
      <c r="K198" s="2" t="n">
        <v>2000</v>
      </c>
      <c r="L198" s="2" t="n">
        <v>1200</v>
      </c>
      <c r="M198" s="2" t="n">
        <v>3600</v>
      </c>
      <c r="N198" s="2" t="s">
        <v>957</v>
      </c>
    </row>
    <row r="199" customFormat="false" ht="15" hidden="false" customHeight="false" outlineLevel="0" collapsed="false">
      <c r="A199" s="3" t="s">
        <v>958</v>
      </c>
      <c r="B199" s="3" t="s">
        <v>959</v>
      </c>
      <c r="C199" s="3" t="n">
        <v>1431</v>
      </c>
      <c r="D199" s="3" t="s">
        <v>108</v>
      </c>
      <c r="E199" s="3" t="s">
        <v>321</v>
      </c>
      <c r="F199" s="3" t="n">
        <v>1</v>
      </c>
      <c r="G199" s="3" t="s">
        <v>51</v>
      </c>
      <c r="H199" s="3" t="s">
        <v>121</v>
      </c>
      <c r="I199" s="3" t="s">
        <v>960</v>
      </c>
      <c r="J199" s="3" t="s">
        <v>317</v>
      </c>
      <c r="K199" s="3" t="n">
        <v>870</v>
      </c>
      <c r="L199" s="3" t="n">
        <v>1200</v>
      </c>
      <c r="M199" s="3" t="n">
        <v>1200</v>
      </c>
      <c r="N199" s="3" t="s">
        <v>961</v>
      </c>
    </row>
    <row r="200" customFormat="false" ht="15" hidden="false" customHeight="false" outlineLevel="0" collapsed="false">
      <c r="A200" s="2" t="s">
        <v>723</v>
      </c>
      <c r="B200" s="2" t="s">
        <v>962</v>
      </c>
      <c r="C200" s="2" t="n">
        <v>1432</v>
      </c>
      <c r="D200" s="2" t="s">
        <v>108</v>
      </c>
      <c r="E200" s="2" t="s">
        <v>778</v>
      </c>
      <c r="F200" s="2" t="n">
        <v>2</v>
      </c>
      <c r="G200" s="2" t="s">
        <v>51</v>
      </c>
      <c r="H200" s="2" t="s">
        <v>19</v>
      </c>
      <c r="I200" s="2" t="s">
        <v>963</v>
      </c>
      <c r="J200" s="2" t="s">
        <v>21</v>
      </c>
      <c r="K200" s="2" t="n">
        <v>6725</v>
      </c>
      <c r="L200" s="2" t="n">
        <v>1200</v>
      </c>
      <c r="M200" s="2" t="n">
        <v>2400</v>
      </c>
      <c r="N200" s="2" t="s">
        <v>964</v>
      </c>
    </row>
    <row r="201" customFormat="false" ht="15" hidden="false" customHeight="false" outlineLevel="0" collapsed="false">
      <c r="A201" s="3" t="s">
        <v>965</v>
      </c>
      <c r="B201" s="3" t="s">
        <v>966</v>
      </c>
      <c r="C201" s="3" t="n">
        <v>1433</v>
      </c>
      <c r="D201" s="3" t="s">
        <v>147</v>
      </c>
      <c r="E201" s="3" t="s">
        <v>967</v>
      </c>
      <c r="F201" s="3" t="n">
        <v>3</v>
      </c>
      <c r="G201" s="3" t="s">
        <v>51</v>
      </c>
      <c r="H201" s="3" t="s">
        <v>36</v>
      </c>
      <c r="I201" s="3" t="s">
        <v>968</v>
      </c>
      <c r="J201" s="3" t="s">
        <v>170</v>
      </c>
      <c r="K201" s="3" t="n">
        <v>2500</v>
      </c>
      <c r="L201" s="3" t="n">
        <v>600</v>
      </c>
      <c r="M201" s="3" t="n">
        <v>1800</v>
      </c>
      <c r="N201" s="3" t="s">
        <v>969</v>
      </c>
    </row>
    <row r="202" customFormat="false" ht="15" hidden="false" customHeight="false" outlineLevel="0" collapsed="false">
      <c r="A202" s="2" t="s">
        <v>970</v>
      </c>
      <c r="B202" s="2" t="s">
        <v>195</v>
      </c>
      <c r="C202" s="2" t="n">
        <v>1434</v>
      </c>
      <c r="D202" s="2" t="s">
        <v>16</v>
      </c>
      <c r="E202" s="2" t="s">
        <v>971</v>
      </c>
      <c r="F202" s="2" t="n">
        <v>2</v>
      </c>
      <c r="G202" s="2" t="s">
        <v>97</v>
      </c>
      <c r="H202" s="2" t="s">
        <v>43</v>
      </c>
      <c r="I202" s="2" t="s">
        <v>972</v>
      </c>
      <c r="J202" s="2" t="s">
        <v>111</v>
      </c>
      <c r="K202" s="2" t="n">
        <v>3000</v>
      </c>
      <c r="L202" s="2" t="n">
        <v>250</v>
      </c>
      <c r="M202" s="2" t="n">
        <v>500</v>
      </c>
      <c r="N202" s="2" t="s">
        <v>973</v>
      </c>
    </row>
    <row r="203" customFormat="false" ht="15" hidden="false" customHeight="false" outlineLevel="0" collapsed="false">
      <c r="A203" s="3" t="s">
        <v>974</v>
      </c>
      <c r="B203" s="3" t="s">
        <v>975</v>
      </c>
      <c r="C203" s="3" t="n">
        <v>1435</v>
      </c>
      <c r="D203" s="3" t="s">
        <v>34</v>
      </c>
      <c r="E203" s="3" t="s">
        <v>902</v>
      </c>
      <c r="F203" s="3" t="n">
        <v>1</v>
      </c>
      <c r="G203" s="3" t="s">
        <v>18</v>
      </c>
      <c r="H203" s="3" t="s">
        <v>52</v>
      </c>
      <c r="I203" s="3" t="s">
        <v>976</v>
      </c>
      <c r="J203" s="3" t="s">
        <v>92</v>
      </c>
      <c r="K203" s="3" t="n">
        <v>4870</v>
      </c>
      <c r="L203" s="3" t="n">
        <v>300</v>
      </c>
      <c r="M203" s="3" t="n">
        <v>300</v>
      </c>
      <c r="N203" s="3" t="s">
        <v>977</v>
      </c>
    </row>
    <row r="204" customFormat="false" ht="15" hidden="false" customHeight="false" outlineLevel="0" collapsed="false">
      <c r="A204" s="2" t="s">
        <v>978</v>
      </c>
      <c r="B204" s="2" t="s">
        <v>644</v>
      </c>
      <c r="C204" s="2" t="n">
        <v>1436</v>
      </c>
      <c r="D204" s="2" t="s">
        <v>108</v>
      </c>
      <c r="E204" s="2" t="s">
        <v>979</v>
      </c>
      <c r="F204" s="2" t="n">
        <v>2</v>
      </c>
      <c r="G204" s="2" t="s">
        <v>27</v>
      </c>
      <c r="H204" s="2" t="s">
        <v>28</v>
      </c>
      <c r="I204" s="2" t="s">
        <v>980</v>
      </c>
      <c r="J204" s="2" t="s">
        <v>30</v>
      </c>
      <c r="K204" s="2" t="n">
        <v>2600</v>
      </c>
      <c r="L204" s="2" t="n">
        <v>1200</v>
      </c>
      <c r="M204" s="2" t="n">
        <v>2400</v>
      </c>
      <c r="N204" s="2" t="s">
        <v>981</v>
      </c>
    </row>
    <row r="205" customFormat="false" ht="15" hidden="false" customHeight="false" outlineLevel="0" collapsed="false">
      <c r="A205" s="3" t="s">
        <v>982</v>
      </c>
      <c r="B205" s="3" t="s">
        <v>983</v>
      </c>
      <c r="C205" s="3" t="n">
        <v>1437</v>
      </c>
      <c r="D205" s="3" t="s">
        <v>49</v>
      </c>
      <c r="E205" s="3" t="s">
        <v>712</v>
      </c>
      <c r="F205" s="3" t="n">
        <v>2</v>
      </c>
      <c r="G205" s="3" t="s">
        <v>18</v>
      </c>
      <c r="H205" s="3" t="s">
        <v>121</v>
      </c>
      <c r="I205" s="3" t="s">
        <v>984</v>
      </c>
      <c r="J205" s="3" t="s">
        <v>317</v>
      </c>
      <c r="K205" s="3" t="n">
        <v>870</v>
      </c>
      <c r="L205" s="3" t="n">
        <v>250</v>
      </c>
      <c r="M205" s="3" t="n">
        <v>500</v>
      </c>
      <c r="N205" s="3" t="s">
        <v>985</v>
      </c>
    </row>
    <row r="206" customFormat="false" ht="15" hidden="false" customHeight="false" outlineLevel="0" collapsed="false">
      <c r="A206" s="2" t="s">
        <v>986</v>
      </c>
      <c r="B206" s="2" t="s">
        <v>987</v>
      </c>
      <c r="C206" s="2" t="n">
        <v>1438</v>
      </c>
      <c r="D206" s="2" t="s">
        <v>16</v>
      </c>
      <c r="E206" s="2" t="s">
        <v>988</v>
      </c>
      <c r="F206" s="2" t="n">
        <v>1</v>
      </c>
      <c r="G206" s="2" t="s">
        <v>51</v>
      </c>
      <c r="H206" s="2" t="s">
        <v>52</v>
      </c>
      <c r="I206" s="2" t="s">
        <v>989</v>
      </c>
      <c r="J206" s="2" t="s">
        <v>92</v>
      </c>
      <c r="K206" s="2" t="n">
        <v>4870</v>
      </c>
      <c r="L206" s="2" t="n">
        <v>250</v>
      </c>
      <c r="M206" s="2" t="n">
        <v>250</v>
      </c>
      <c r="N206" s="2" t="s">
        <v>990</v>
      </c>
    </row>
    <row r="207" customFormat="false" ht="15" hidden="false" customHeight="false" outlineLevel="0" collapsed="false">
      <c r="A207" s="3" t="s">
        <v>991</v>
      </c>
      <c r="B207" s="3" t="s">
        <v>828</v>
      </c>
      <c r="C207" s="3" t="n">
        <v>1439</v>
      </c>
      <c r="D207" s="3" t="s">
        <v>49</v>
      </c>
      <c r="E207" s="3" t="s">
        <v>449</v>
      </c>
      <c r="F207" s="3" t="n">
        <v>2</v>
      </c>
      <c r="G207" s="3" t="s">
        <v>18</v>
      </c>
      <c r="H207" s="3" t="s">
        <v>78</v>
      </c>
      <c r="I207" s="3" t="s">
        <v>992</v>
      </c>
      <c r="J207" s="3" t="s">
        <v>86</v>
      </c>
      <c r="K207" s="3" t="n">
        <v>7000</v>
      </c>
      <c r="L207" s="3" t="n">
        <v>250</v>
      </c>
      <c r="M207" s="3" t="n">
        <v>500</v>
      </c>
      <c r="N207" s="3" t="s">
        <v>993</v>
      </c>
    </row>
    <row r="208" customFormat="false" ht="15" hidden="false" customHeight="false" outlineLevel="0" collapsed="false">
      <c r="A208" s="2" t="s">
        <v>994</v>
      </c>
      <c r="B208" s="2" t="s">
        <v>548</v>
      </c>
      <c r="C208" s="2" t="n">
        <v>1440</v>
      </c>
      <c r="D208" s="2" t="s">
        <v>108</v>
      </c>
      <c r="E208" s="2" t="s">
        <v>995</v>
      </c>
      <c r="F208" s="2" t="n">
        <v>3</v>
      </c>
      <c r="G208" s="2" t="s">
        <v>97</v>
      </c>
      <c r="H208" s="2" t="s">
        <v>19</v>
      </c>
      <c r="I208" s="2" t="s">
        <v>996</v>
      </c>
      <c r="J208" s="2" t="s">
        <v>176</v>
      </c>
      <c r="K208" s="2" t="n">
        <v>6000</v>
      </c>
      <c r="L208" s="2" t="n">
        <v>1200</v>
      </c>
      <c r="M208" s="2" t="n">
        <v>3600</v>
      </c>
      <c r="N208" s="2" t="s">
        <v>997</v>
      </c>
    </row>
    <row r="209" customFormat="false" ht="15" hidden="false" customHeight="false" outlineLevel="0" collapsed="false">
      <c r="A209" s="3" t="s">
        <v>998</v>
      </c>
      <c r="B209" s="3" t="s">
        <v>999</v>
      </c>
      <c r="C209" s="3" t="n">
        <v>1441</v>
      </c>
      <c r="D209" s="3" t="s">
        <v>16</v>
      </c>
      <c r="E209" s="3" t="s">
        <v>474</v>
      </c>
      <c r="F209" s="3" t="n">
        <v>2</v>
      </c>
      <c r="G209" s="3" t="s">
        <v>51</v>
      </c>
      <c r="H209" s="3" t="s">
        <v>52</v>
      </c>
      <c r="I209" s="3" t="s">
        <v>1000</v>
      </c>
      <c r="J209" s="3" t="s">
        <v>92</v>
      </c>
      <c r="K209" s="3" t="n">
        <v>4870</v>
      </c>
      <c r="L209" s="3" t="n">
        <v>250</v>
      </c>
      <c r="M209" s="3" t="n">
        <v>500</v>
      </c>
      <c r="N209" s="3" t="s">
        <v>1001</v>
      </c>
    </row>
    <row r="210" customFormat="false" ht="15" hidden="false" customHeight="false" outlineLevel="0" collapsed="false">
      <c r="A210" s="2" t="s">
        <v>1002</v>
      </c>
      <c r="B210" s="2" t="s">
        <v>1003</v>
      </c>
      <c r="C210" s="2" t="n">
        <v>1442</v>
      </c>
      <c r="D210" s="2" t="s">
        <v>25</v>
      </c>
      <c r="E210" s="2" t="s">
        <v>1004</v>
      </c>
      <c r="F210" s="2" t="n">
        <v>2</v>
      </c>
      <c r="G210" s="2" t="s">
        <v>18</v>
      </c>
      <c r="H210" s="2" t="s">
        <v>43</v>
      </c>
      <c r="I210" s="2" t="s">
        <v>1005</v>
      </c>
      <c r="J210" s="2" t="s">
        <v>111</v>
      </c>
      <c r="K210" s="2" t="n">
        <v>3000</v>
      </c>
      <c r="L210" s="2" t="n">
        <v>800</v>
      </c>
      <c r="M210" s="2" t="n">
        <v>1600</v>
      </c>
      <c r="N210" s="2" t="s">
        <v>1006</v>
      </c>
    </row>
    <row r="211" customFormat="false" ht="15" hidden="false" customHeight="false" outlineLevel="0" collapsed="false">
      <c r="A211" s="3" t="s">
        <v>1007</v>
      </c>
      <c r="B211" s="3" t="s">
        <v>1008</v>
      </c>
      <c r="C211" s="3" t="n">
        <v>1443</v>
      </c>
      <c r="D211" s="3" t="s">
        <v>108</v>
      </c>
      <c r="E211" s="3" t="s">
        <v>1009</v>
      </c>
      <c r="F211" s="3" t="n">
        <v>3</v>
      </c>
      <c r="G211" s="3" t="s">
        <v>18</v>
      </c>
      <c r="H211" s="3" t="s">
        <v>19</v>
      </c>
      <c r="I211" s="3" t="s">
        <v>1010</v>
      </c>
      <c r="J211" s="3" t="s">
        <v>21</v>
      </c>
      <c r="K211" s="3" t="n">
        <v>6725</v>
      </c>
      <c r="L211" s="3" t="n">
        <v>1200</v>
      </c>
      <c r="M211" s="3" t="n">
        <v>3600</v>
      </c>
      <c r="N211" s="3" t="s">
        <v>1011</v>
      </c>
    </row>
    <row r="212" customFormat="false" ht="15" hidden="false" customHeight="false" outlineLevel="0" collapsed="false">
      <c r="A212" s="2" t="s">
        <v>1012</v>
      </c>
      <c r="B212" s="2" t="s">
        <v>458</v>
      </c>
      <c r="C212" s="2" t="n">
        <v>1444</v>
      </c>
      <c r="D212" s="2" t="s">
        <v>34</v>
      </c>
      <c r="E212" s="2" t="s">
        <v>1013</v>
      </c>
      <c r="F212" s="2" t="n">
        <v>2</v>
      </c>
      <c r="G212" s="2" t="s">
        <v>18</v>
      </c>
      <c r="H212" s="2" t="s">
        <v>19</v>
      </c>
      <c r="I212" s="2" t="s">
        <v>1014</v>
      </c>
      <c r="J212" s="2" t="s">
        <v>21</v>
      </c>
      <c r="K212" s="2" t="n">
        <v>6725</v>
      </c>
      <c r="L212" s="2" t="n">
        <v>300</v>
      </c>
      <c r="M212" s="2" t="n">
        <v>600</v>
      </c>
      <c r="N212" s="2" t="s">
        <v>1015</v>
      </c>
    </row>
    <row r="213" customFormat="false" ht="15" hidden="false" customHeight="false" outlineLevel="0" collapsed="false">
      <c r="A213" s="3" t="s">
        <v>1016</v>
      </c>
      <c r="B213" s="3" t="s">
        <v>1017</v>
      </c>
      <c r="C213" s="3" t="n">
        <v>1445</v>
      </c>
      <c r="D213" s="3" t="s">
        <v>147</v>
      </c>
      <c r="E213" s="3" t="s">
        <v>354</v>
      </c>
      <c r="F213" s="3" t="n">
        <v>3</v>
      </c>
      <c r="G213" s="3" t="s">
        <v>51</v>
      </c>
      <c r="H213" s="3" t="s">
        <v>121</v>
      </c>
      <c r="I213" s="3" t="s">
        <v>1018</v>
      </c>
      <c r="J213" s="3" t="s">
        <v>317</v>
      </c>
      <c r="K213" s="3" t="n">
        <v>870</v>
      </c>
      <c r="L213" s="3" t="n">
        <v>600</v>
      </c>
      <c r="M213" s="3" t="n">
        <v>1800</v>
      </c>
      <c r="N213" s="3" t="s">
        <v>1019</v>
      </c>
    </row>
    <row r="214" customFormat="false" ht="15" hidden="false" customHeight="false" outlineLevel="0" collapsed="false">
      <c r="A214" s="2" t="s">
        <v>1020</v>
      </c>
      <c r="B214" s="2" t="s">
        <v>1021</v>
      </c>
      <c r="C214" s="2" t="n">
        <v>1446</v>
      </c>
      <c r="D214" s="2" t="s">
        <v>25</v>
      </c>
      <c r="E214" s="2" t="s">
        <v>1022</v>
      </c>
      <c r="F214" s="2" t="n">
        <v>1</v>
      </c>
      <c r="G214" s="2" t="s">
        <v>18</v>
      </c>
      <c r="H214" s="2" t="s">
        <v>59</v>
      </c>
      <c r="I214" s="2" t="s">
        <v>1023</v>
      </c>
      <c r="J214" s="2" t="s">
        <v>99</v>
      </c>
      <c r="K214" s="2" t="n">
        <v>5000</v>
      </c>
      <c r="L214" s="2" t="n">
        <v>800</v>
      </c>
      <c r="M214" s="2" t="n">
        <v>800</v>
      </c>
      <c r="N214" s="2" t="s">
        <v>1024</v>
      </c>
    </row>
    <row r="215" customFormat="false" ht="15" hidden="false" customHeight="false" outlineLevel="0" collapsed="false">
      <c r="A215" s="3" t="s">
        <v>1025</v>
      </c>
      <c r="B215" s="3" t="s">
        <v>1026</v>
      </c>
      <c r="C215" s="3" t="n">
        <v>1447</v>
      </c>
      <c r="D215" s="3" t="s">
        <v>49</v>
      </c>
      <c r="E215" s="3" t="s">
        <v>762</v>
      </c>
      <c r="F215" s="3" t="n">
        <v>2</v>
      </c>
      <c r="G215" s="3" t="s">
        <v>18</v>
      </c>
      <c r="H215" s="3" t="s">
        <v>52</v>
      </c>
      <c r="I215" s="3" t="s">
        <v>1027</v>
      </c>
      <c r="J215" s="3" t="s">
        <v>182</v>
      </c>
      <c r="K215" s="3" t="n">
        <v>4000</v>
      </c>
      <c r="L215" s="3" t="n">
        <v>250</v>
      </c>
      <c r="M215" s="3" t="n">
        <v>500</v>
      </c>
      <c r="N215" s="3" t="s">
        <v>1028</v>
      </c>
    </row>
    <row r="216" customFormat="false" ht="15" hidden="false" customHeight="false" outlineLevel="0" collapsed="false">
      <c r="A216" s="2" t="s">
        <v>1029</v>
      </c>
      <c r="B216" s="2" t="s">
        <v>1030</v>
      </c>
      <c r="C216" s="2" t="n">
        <v>1448</v>
      </c>
      <c r="D216" s="2" t="s">
        <v>34</v>
      </c>
      <c r="E216" s="2" t="s">
        <v>1031</v>
      </c>
      <c r="F216" s="2" t="n">
        <v>2</v>
      </c>
      <c r="G216" s="2" t="s">
        <v>51</v>
      </c>
      <c r="H216" s="2" t="s">
        <v>43</v>
      </c>
      <c r="I216" s="2" t="s">
        <v>1032</v>
      </c>
      <c r="J216" s="2" t="s">
        <v>45</v>
      </c>
      <c r="K216" s="2" t="n">
        <v>3350</v>
      </c>
      <c r="L216" s="2" t="n">
        <v>300</v>
      </c>
      <c r="M216" s="2" t="n">
        <v>600</v>
      </c>
      <c r="N216" s="2" t="s">
        <v>1033</v>
      </c>
    </row>
    <row r="217" customFormat="false" ht="15" hidden="false" customHeight="false" outlineLevel="0" collapsed="false">
      <c r="A217" s="3" t="s">
        <v>1034</v>
      </c>
      <c r="B217" s="3" t="s">
        <v>1035</v>
      </c>
      <c r="C217" s="3" t="n">
        <v>1449</v>
      </c>
      <c r="D217" s="3" t="s">
        <v>108</v>
      </c>
      <c r="E217" s="3" t="s">
        <v>488</v>
      </c>
      <c r="F217" s="3" t="n">
        <v>3</v>
      </c>
      <c r="G217" s="3" t="s">
        <v>51</v>
      </c>
      <c r="H217" s="3" t="s">
        <v>121</v>
      </c>
      <c r="I217" s="3" t="s">
        <v>1036</v>
      </c>
      <c r="J217" s="3" t="s">
        <v>317</v>
      </c>
      <c r="K217" s="3" t="n">
        <v>870</v>
      </c>
      <c r="L217" s="3" t="n">
        <v>1200</v>
      </c>
      <c r="M217" s="3" t="n">
        <v>3600</v>
      </c>
      <c r="N217" s="3" t="s">
        <v>1037</v>
      </c>
    </row>
    <row r="218" customFormat="false" ht="15" hidden="false" customHeight="false" outlineLevel="0" collapsed="false">
      <c r="A218" s="2" t="s">
        <v>1038</v>
      </c>
      <c r="B218" s="2" t="s">
        <v>567</v>
      </c>
      <c r="C218" s="2" t="n">
        <v>1450</v>
      </c>
      <c r="D218" s="2" t="s">
        <v>108</v>
      </c>
      <c r="E218" s="2" t="s">
        <v>1039</v>
      </c>
      <c r="F218" s="2" t="n">
        <v>1</v>
      </c>
      <c r="G218" s="2" t="s">
        <v>27</v>
      </c>
      <c r="H218" s="2" t="s">
        <v>121</v>
      </c>
      <c r="I218" s="2" t="s">
        <v>1040</v>
      </c>
      <c r="J218" s="2" t="s">
        <v>123</v>
      </c>
      <c r="K218" s="2" t="n">
        <v>800</v>
      </c>
      <c r="L218" s="2" t="n">
        <v>1200</v>
      </c>
      <c r="M218" s="2" t="n">
        <v>1200</v>
      </c>
      <c r="N218" s="2" t="s">
        <v>1041</v>
      </c>
    </row>
    <row r="219" customFormat="false" ht="15" hidden="false" customHeight="false" outlineLevel="0" collapsed="false">
      <c r="A219" s="3" t="s">
        <v>788</v>
      </c>
      <c r="B219" s="3" t="s">
        <v>1042</v>
      </c>
      <c r="C219" s="3" t="n">
        <v>1451</v>
      </c>
      <c r="D219" s="3" t="s">
        <v>108</v>
      </c>
      <c r="E219" s="3" t="s">
        <v>1043</v>
      </c>
      <c r="F219" s="3" t="n">
        <v>3</v>
      </c>
      <c r="G219" s="3" t="s">
        <v>51</v>
      </c>
      <c r="H219" s="3" t="s">
        <v>59</v>
      </c>
      <c r="I219" s="3" t="s">
        <v>1044</v>
      </c>
      <c r="J219" s="3" t="s">
        <v>61</v>
      </c>
      <c r="K219" s="3" t="n">
        <v>5290</v>
      </c>
      <c r="L219" s="3" t="n">
        <v>1200</v>
      </c>
      <c r="M219" s="3" t="n">
        <v>3600</v>
      </c>
      <c r="N219" s="3" t="s">
        <v>1045</v>
      </c>
    </row>
    <row r="220" customFormat="false" ht="15" hidden="false" customHeight="false" outlineLevel="0" collapsed="false">
      <c r="A220" s="2" t="s">
        <v>1046</v>
      </c>
      <c r="B220" s="2" t="s">
        <v>1047</v>
      </c>
      <c r="C220" s="2" t="n">
        <v>1452</v>
      </c>
      <c r="D220" s="2" t="s">
        <v>34</v>
      </c>
      <c r="E220" s="2" t="s">
        <v>1048</v>
      </c>
      <c r="F220" s="2" t="n">
        <v>2</v>
      </c>
      <c r="G220" s="2" t="s">
        <v>18</v>
      </c>
      <c r="H220" s="2" t="s">
        <v>43</v>
      </c>
      <c r="I220" s="2" t="s">
        <v>1049</v>
      </c>
      <c r="J220" s="2" t="s">
        <v>45</v>
      </c>
      <c r="K220" s="2" t="n">
        <v>3350</v>
      </c>
      <c r="L220" s="2" t="n">
        <v>300</v>
      </c>
      <c r="M220" s="2" t="n">
        <v>600</v>
      </c>
      <c r="N220" s="2" t="s">
        <v>1050</v>
      </c>
    </row>
    <row r="221" customFormat="false" ht="15" hidden="false" customHeight="false" outlineLevel="0" collapsed="false">
      <c r="A221" s="3" t="s">
        <v>1051</v>
      </c>
      <c r="B221" s="3" t="s">
        <v>1052</v>
      </c>
      <c r="C221" s="3" t="n">
        <v>1453</v>
      </c>
      <c r="D221" s="3" t="s">
        <v>108</v>
      </c>
      <c r="E221" s="3" t="s">
        <v>1053</v>
      </c>
      <c r="F221" s="3" t="n">
        <v>2</v>
      </c>
      <c r="G221" s="3" t="s">
        <v>51</v>
      </c>
      <c r="H221" s="3" t="s">
        <v>78</v>
      </c>
      <c r="I221" s="3" t="s">
        <v>1054</v>
      </c>
      <c r="J221" s="3" t="s">
        <v>86</v>
      </c>
      <c r="K221" s="3" t="n">
        <v>7000</v>
      </c>
      <c r="L221" s="3" t="n">
        <v>1200</v>
      </c>
      <c r="M221" s="3" t="n">
        <v>2400</v>
      </c>
      <c r="N221" s="3" t="s">
        <v>1055</v>
      </c>
    </row>
    <row r="222" customFormat="false" ht="15" hidden="false" customHeight="false" outlineLevel="0" collapsed="false">
      <c r="A222" s="2" t="s">
        <v>1056</v>
      </c>
      <c r="B222" s="2" t="s">
        <v>1057</v>
      </c>
      <c r="C222" s="2" t="n">
        <v>1454</v>
      </c>
      <c r="D222" s="2" t="s">
        <v>147</v>
      </c>
      <c r="E222" s="2" t="s">
        <v>882</v>
      </c>
      <c r="F222" s="2" t="n">
        <v>1</v>
      </c>
      <c r="G222" s="2" t="s">
        <v>27</v>
      </c>
      <c r="H222" s="2" t="s">
        <v>59</v>
      </c>
      <c r="I222" s="2" t="s">
        <v>1058</v>
      </c>
      <c r="J222" s="2" t="s">
        <v>292</v>
      </c>
      <c r="K222" s="2" t="n">
        <v>5600</v>
      </c>
      <c r="L222" s="2" t="n">
        <v>600</v>
      </c>
      <c r="M222" s="2" t="n">
        <v>600</v>
      </c>
      <c r="N222" s="2" t="s">
        <v>1059</v>
      </c>
    </row>
    <row r="223" customFormat="false" ht="15" hidden="false" customHeight="false" outlineLevel="0" collapsed="false">
      <c r="A223" s="3" t="s">
        <v>184</v>
      </c>
      <c r="B223" s="3" t="s">
        <v>1060</v>
      </c>
      <c r="C223" s="3" t="n">
        <v>1455</v>
      </c>
      <c r="D223" s="3" t="s">
        <v>49</v>
      </c>
      <c r="E223" s="3" t="s">
        <v>132</v>
      </c>
      <c r="F223" s="3" t="n">
        <v>2</v>
      </c>
      <c r="G223" s="3" t="s">
        <v>18</v>
      </c>
      <c r="H223" s="3" t="s">
        <v>36</v>
      </c>
      <c r="I223" s="3" t="s">
        <v>1061</v>
      </c>
      <c r="J223" s="3" t="s">
        <v>192</v>
      </c>
      <c r="K223" s="3" t="n">
        <v>2000</v>
      </c>
      <c r="L223" s="3" t="n">
        <v>250</v>
      </c>
      <c r="M223" s="3" t="n">
        <v>500</v>
      </c>
      <c r="N223" s="3" t="s">
        <v>1062</v>
      </c>
    </row>
    <row r="224" customFormat="false" ht="15" hidden="false" customHeight="false" outlineLevel="0" collapsed="false">
      <c r="A224" s="2" t="s">
        <v>1063</v>
      </c>
      <c r="B224" s="2" t="s">
        <v>15</v>
      </c>
      <c r="C224" s="2" t="n">
        <v>1456</v>
      </c>
      <c r="D224" s="2" t="s">
        <v>49</v>
      </c>
      <c r="E224" s="2" t="s">
        <v>1064</v>
      </c>
      <c r="F224" s="2" t="n">
        <v>3</v>
      </c>
      <c r="G224" s="2" t="s">
        <v>27</v>
      </c>
      <c r="H224" s="2" t="s">
        <v>59</v>
      </c>
      <c r="I224" s="2" t="s">
        <v>1065</v>
      </c>
      <c r="J224" s="2" t="s">
        <v>61</v>
      </c>
      <c r="K224" s="2" t="n">
        <v>5290</v>
      </c>
      <c r="L224" s="2" t="n">
        <v>250</v>
      </c>
      <c r="M224" s="2" t="n">
        <v>750</v>
      </c>
      <c r="N224" s="2" t="s">
        <v>1066</v>
      </c>
    </row>
    <row r="225" customFormat="false" ht="15" hidden="false" customHeight="false" outlineLevel="0" collapsed="false">
      <c r="A225" s="3" t="s">
        <v>1067</v>
      </c>
      <c r="B225" s="3" t="s">
        <v>1068</v>
      </c>
      <c r="C225" s="3" t="n">
        <v>1457</v>
      </c>
      <c r="D225" s="3" t="s">
        <v>108</v>
      </c>
      <c r="E225" s="3" t="s">
        <v>42</v>
      </c>
      <c r="F225" s="3" t="n">
        <v>1</v>
      </c>
      <c r="G225" s="3" t="s">
        <v>27</v>
      </c>
      <c r="H225" s="3" t="s">
        <v>52</v>
      </c>
      <c r="I225" s="3" t="s">
        <v>1069</v>
      </c>
      <c r="J225" s="3" t="s">
        <v>182</v>
      </c>
      <c r="K225" s="3" t="n">
        <v>4000</v>
      </c>
      <c r="L225" s="3" t="n">
        <v>1200</v>
      </c>
      <c r="M225" s="3" t="n">
        <v>1200</v>
      </c>
      <c r="N225" s="3" t="s">
        <v>1070</v>
      </c>
    </row>
    <row r="226" customFormat="false" ht="15" hidden="false" customHeight="false" outlineLevel="0" collapsed="false">
      <c r="A226" s="2" t="s">
        <v>828</v>
      </c>
      <c r="B226" s="2" t="s">
        <v>1071</v>
      </c>
      <c r="C226" s="2" t="n">
        <v>1458</v>
      </c>
      <c r="D226" s="2" t="s">
        <v>108</v>
      </c>
      <c r="E226" s="2" t="s">
        <v>897</v>
      </c>
      <c r="F226" s="2" t="n">
        <v>2</v>
      </c>
      <c r="G226" s="2" t="s">
        <v>51</v>
      </c>
      <c r="H226" s="2" t="s">
        <v>43</v>
      </c>
      <c r="I226" s="2" t="s">
        <v>1072</v>
      </c>
      <c r="J226" s="2" t="s">
        <v>45</v>
      </c>
      <c r="K226" s="2" t="n">
        <v>3350</v>
      </c>
      <c r="L226" s="2" t="n">
        <v>1200</v>
      </c>
      <c r="M226" s="2" t="n">
        <v>2400</v>
      </c>
      <c r="N226" s="2" t="s">
        <v>1073</v>
      </c>
    </row>
    <row r="227" customFormat="false" ht="15" hidden="false" customHeight="false" outlineLevel="0" collapsed="false">
      <c r="A227" s="3" t="s">
        <v>1046</v>
      </c>
      <c r="B227" s="3" t="s">
        <v>1074</v>
      </c>
      <c r="C227" s="3" t="n">
        <v>1459</v>
      </c>
      <c r="D227" s="3" t="s">
        <v>25</v>
      </c>
      <c r="E227" s="3" t="s">
        <v>90</v>
      </c>
      <c r="F227" s="3" t="n">
        <v>2</v>
      </c>
      <c r="G227" s="3" t="s">
        <v>51</v>
      </c>
      <c r="H227" s="3" t="s">
        <v>78</v>
      </c>
      <c r="I227" s="3" t="s">
        <v>1075</v>
      </c>
      <c r="J227" s="3" t="s">
        <v>408</v>
      </c>
      <c r="K227" s="3" t="n">
        <v>7310</v>
      </c>
      <c r="L227" s="3" t="n">
        <v>800</v>
      </c>
      <c r="M227" s="3" t="n">
        <v>1600</v>
      </c>
      <c r="N227" s="3" t="s">
        <v>1076</v>
      </c>
    </row>
    <row r="228" customFormat="false" ht="15" hidden="false" customHeight="false" outlineLevel="0" collapsed="false">
      <c r="A228" s="2" t="s">
        <v>1077</v>
      </c>
      <c r="B228" s="2" t="s">
        <v>1078</v>
      </c>
      <c r="C228" s="2" t="n">
        <v>1460</v>
      </c>
      <c r="D228" s="2" t="s">
        <v>147</v>
      </c>
      <c r="E228" s="2" t="s">
        <v>829</v>
      </c>
      <c r="F228" s="2" t="n">
        <v>1</v>
      </c>
      <c r="G228" s="2" t="s">
        <v>51</v>
      </c>
      <c r="H228" s="2" t="s">
        <v>52</v>
      </c>
      <c r="I228" s="2" t="s">
        <v>1079</v>
      </c>
      <c r="J228" s="2" t="s">
        <v>182</v>
      </c>
      <c r="K228" s="2" t="n">
        <v>4000</v>
      </c>
      <c r="L228" s="2" t="n">
        <v>600</v>
      </c>
      <c r="M228" s="2" t="n">
        <v>600</v>
      </c>
      <c r="N228" s="2" t="s">
        <v>1080</v>
      </c>
    </row>
    <row r="229" customFormat="false" ht="15" hidden="false" customHeight="false" outlineLevel="0" collapsed="false">
      <c r="A229" s="3" t="s">
        <v>1081</v>
      </c>
      <c r="B229" s="3" t="s">
        <v>1082</v>
      </c>
      <c r="C229" s="3" t="n">
        <v>1461</v>
      </c>
      <c r="D229" s="3" t="s">
        <v>49</v>
      </c>
      <c r="E229" s="3" t="s">
        <v>892</v>
      </c>
      <c r="F229" s="3" t="n">
        <v>3</v>
      </c>
      <c r="G229" s="3" t="s">
        <v>51</v>
      </c>
      <c r="H229" s="3" t="s">
        <v>19</v>
      </c>
      <c r="I229" s="3" t="s">
        <v>1083</v>
      </c>
      <c r="J229" s="3" t="s">
        <v>176</v>
      </c>
      <c r="K229" s="3" t="n">
        <v>6000</v>
      </c>
      <c r="L229" s="3" t="n">
        <v>250</v>
      </c>
      <c r="M229" s="3" t="n">
        <v>750</v>
      </c>
      <c r="N229" s="3" t="s">
        <v>1084</v>
      </c>
    </row>
    <row r="230" customFormat="false" ht="15" hidden="false" customHeight="false" outlineLevel="0" collapsed="false">
      <c r="A230" s="2" t="s">
        <v>1085</v>
      </c>
      <c r="B230" s="2" t="s">
        <v>1086</v>
      </c>
      <c r="C230" s="2" t="n">
        <v>1462</v>
      </c>
      <c r="D230" s="2" t="s">
        <v>16</v>
      </c>
      <c r="E230" s="2" t="s">
        <v>77</v>
      </c>
      <c r="F230" s="2" t="n">
        <v>3</v>
      </c>
      <c r="G230" s="2" t="s">
        <v>18</v>
      </c>
      <c r="H230" s="2" t="s">
        <v>59</v>
      </c>
      <c r="I230" s="2" t="s">
        <v>1087</v>
      </c>
      <c r="J230" s="2" t="s">
        <v>292</v>
      </c>
      <c r="K230" s="2" t="n">
        <v>5600</v>
      </c>
      <c r="L230" s="2" t="n">
        <v>250</v>
      </c>
      <c r="M230" s="2" t="n">
        <v>750</v>
      </c>
      <c r="N230" s="2" t="s">
        <v>1088</v>
      </c>
    </row>
    <row r="231" customFormat="false" ht="15" hidden="false" customHeight="false" outlineLevel="0" collapsed="false">
      <c r="A231" s="3" t="s">
        <v>1089</v>
      </c>
      <c r="B231" s="3" t="s">
        <v>1090</v>
      </c>
      <c r="C231" s="3" t="n">
        <v>1463</v>
      </c>
      <c r="D231" s="3" t="s">
        <v>25</v>
      </c>
      <c r="E231" s="3" t="s">
        <v>598</v>
      </c>
      <c r="F231" s="3" t="n">
        <v>2</v>
      </c>
      <c r="G231" s="3" t="s">
        <v>18</v>
      </c>
      <c r="H231" s="3" t="s">
        <v>43</v>
      </c>
      <c r="I231" s="3" t="s">
        <v>1091</v>
      </c>
      <c r="J231" s="3" t="s">
        <v>45</v>
      </c>
      <c r="K231" s="3" t="n">
        <v>3350</v>
      </c>
      <c r="L231" s="3" t="n">
        <v>800</v>
      </c>
      <c r="M231" s="3" t="n">
        <v>1600</v>
      </c>
      <c r="N231" s="3" t="s">
        <v>1092</v>
      </c>
    </row>
    <row r="232" customFormat="false" ht="15" hidden="false" customHeight="false" outlineLevel="0" collapsed="false">
      <c r="A232" s="2" t="s">
        <v>739</v>
      </c>
      <c r="B232" s="2" t="s">
        <v>1093</v>
      </c>
      <c r="C232" s="2" t="n">
        <v>1464</v>
      </c>
      <c r="D232" s="2" t="s">
        <v>34</v>
      </c>
      <c r="E232" s="2" t="s">
        <v>1043</v>
      </c>
      <c r="F232" s="2" t="n">
        <v>3</v>
      </c>
      <c r="G232" s="2" t="s">
        <v>51</v>
      </c>
      <c r="H232" s="2" t="s">
        <v>28</v>
      </c>
      <c r="I232" s="2" t="s">
        <v>1094</v>
      </c>
      <c r="J232" s="2" t="s">
        <v>30</v>
      </c>
      <c r="K232" s="2" t="n">
        <v>2600</v>
      </c>
      <c r="L232" s="2" t="n">
        <v>300</v>
      </c>
      <c r="M232" s="2" t="n">
        <v>900</v>
      </c>
      <c r="N232" s="2" t="s">
        <v>1095</v>
      </c>
    </row>
    <row r="233" customFormat="false" ht="15" hidden="false" customHeight="false" outlineLevel="0" collapsed="false">
      <c r="A233" s="3" t="s">
        <v>1096</v>
      </c>
      <c r="B233" s="3" t="s">
        <v>906</v>
      </c>
      <c r="C233" s="3" t="n">
        <v>1465</v>
      </c>
      <c r="D233" s="3" t="s">
        <v>108</v>
      </c>
      <c r="E233" s="3" t="s">
        <v>1097</v>
      </c>
      <c r="F233" s="3" t="n">
        <v>2</v>
      </c>
      <c r="G233" s="3" t="s">
        <v>51</v>
      </c>
      <c r="H233" s="3" t="s">
        <v>78</v>
      </c>
      <c r="I233" s="3" t="s">
        <v>1098</v>
      </c>
      <c r="J233" s="3" t="s">
        <v>408</v>
      </c>
      <c r="K233" s="3" t="n">
        <v>7310</v>
      </c>
      <c r="L233" s="3" t="n">
        <v>1200</v>
      </c>
      <c r="M233" s="3" t="n">
        <v>2400</v>
      </c>
      <c r="N233" s="3" t="s">
        <v>1099</v>
      </c>
    </row>
    <row r="234" customFormat="false" ht="15" hidden="false" customHeight="false" outlineLevel="0" collapsed="false">
      <c r="A234" s="2" t="s">
        <v>1100</v>
      </c>
      <c r="B234" s="2" t="s">
        <v>975</v>
      </c>
      <c r="C234" s="2" t="n">
        <v>1466</v>
      </c>
      <c r="D234" s="2" t="s">
        <v>16</v>
      </c>
      <c r="E234" s="2" t="s">
        <v>882</v>
      </c>
      <c r="F234" s="2" t="n">
        <v>3</v>
      </c>
      <c r="G234" s="2" t="s">
        <v>18</v>
      </c>
      <c r="H234" s="2" t="s">
        <v>28</v>
      </c>
      <c r="I234" s="2" t="s">
        <v>1101</v>
      </c>
      <c r="J234" s="2" t="s">
        <v>30</v>
      </c>
      <c r="K234" s="2" t="n">
        <v>2600</v>
      </c>
      <c r="L234" s="2" t="n">
        <v>250</v>
      </c>
      <c r="M234" s="2" t="n">
        <v>750</v>
      </c>
      <c r="N234" s="2" t="s">
        <v>1102</v>
      </c>
    </row>
    <row r="235" customFormat="false" ht="15" hidden="false" customHeight="false" outlineLevel="0" collapsed="false">
      <c r="A235" s="3" t="s">
        <v>1103</v>
      </c>
      <c r="B235" s="3" t="s">
        <v>1104</v>
      </c>
      <c r="C235" s="3" t="n">
        <v>1467</v>
      </c>
      <c r="D235" s="3" t="s">
        <v>16</v>
      </c>
      <c r="E235" s="3" t="s">
        <v>816</v>
      </c>
      <c r="F235" s="3" t="n">
        <v>2</v>
      </c>
      <c r="G235" s="3" t="s">
        <v>51</v>
      </c>
      <c r="H235" s="3" t="s">
        <v>59</v>
      </c>
      <c r="I235" s="3" t="s">
        <v>1105</v>
      </c>
      <c r="J235" s="3" t="s">
        <v>292</v>
      </c>
      <c r="K235" s="3" t="n">
        <v>5600</v>
      </c>
      <c r="L235" s="3" t="n">
        <v>250</v>
      </c>
      <c r="M235" s="3" t="n">
        <v>500</v>
      </c>
      <c r="N235" s="3" t="s">
        <v>1106</v>
      </c>
    </row>
    <row r="236" customFormat="false" ht="15" hidden="false" customHeight="false" outlineLevel="0" collapsed="false">
      <c r="A236" s="2" t="s">
        <v>283</v>
      </c>
      <c r="B236" s="2" t="s">
        <v>173</v>
      </c>
      <c r="C236" s="2" t="n">
        <v>1468</v>
      </c>
      <c r="D236" s="2" t="s">
        <v>16</v>
      </c>
      <c r="E236" s="2" t="s">
        <v>1107</v>
      </c>
      <c r="F236" s="2" t="n">
        <v>2</v>
      </c>
      <c r="G236" s="2" t="s">
        <v>18</v>
      </c>
      <c r="H236" s="2" t="s">
        <v>78</v>
      </c>
      <c r="I236" s="2" t="s">
        <v>1108</v>
      </c>
      <c r="J236" s="2" t="s">
        <v>80</v>
      </c>
      <c r="K236" s="2" t="n">
        <v>7250</v>
      </c>
      <c r="L236" s="2" t="n">
        <v>250</v>
      </c>
      <c r="M236" s="2" t="n">
        <v>500</v>
      </c>
      <c r="N236" s="2" t="s">
        <v>1109</v>
      </c>
    </row>
    <row r="237" customFormat="false" ht="15" hidden="false" customHeight="false" outlineLevel="0" collapsed="false">
      <c r="A237" s="3" t="s">
        <v>828</v>
      </c>
      <c r="B237" s="3" t="s">
        <v>1110</v>
      </c>
      <c r="C237" s="3" t="n">
        <v>1469</v>
      </c>
      <c r="D237" s="3" t="s">
        <v>147</v>
      </c>
      <c r="E237" s="3" t="s">
        <v>315</v>
      </c>
      <c r="F237" s="3" t="n">
        <v>2</v>
      </c>
      <c r="G237" s="3" t="s">
        <v>97</v>
      </c>
      <c r="H237" s="3" t="s">
        <v>121</v>
      </c>
      <c r="I237" s="3" t="s">
        <v>1111</v>
      </c>
      <c r="J237" s="3" t="s">
        <v>123</v>
      </c>
      <c r="K237" s="3" t="n">
        <v>800</v>
      </c>
      <c r="L237" s="3" t="n">
        <v>600</v>
      </c>
      <c r="M237" s="3" t="n">
        <v>1200</v>
      </c>
      <c r="N237" s="3" t="s">
        <v>1112</v>
      </c>
    </row>
    <row r="238" customFormat="false" ht="15" hidden="false" customHeight="false" outlineLevel="0" collapsed="false">
      <c r="A238" s="2" t="s">
        <v>1113</v>
      </c>
      <c r="B238" s="2" t="s">
        <v>1114</v>
      </c>
      <c r="C238" s="2" t="n">
        <v>1470</v>
      </c>
      <c r="D238" s="2" t="s">
        <v>34</v>
      </c>
      <c r="E238" s="2" t="s">
        <v>988</v>
      </c>
      <c r="F238" s="2" t="n">
        <v>1</v>
      </c>
      <c r="G238" s="2" t="s">
        <v>18</v>
      </c>
      <c r="H238" s="2" t="s">
        <v>78</v>
      </c>
      <c r="I238" s="2" t="s">
        <v>1115</v>
      </c>
      <c r="J238" s="2" t="s">
        <v>408</v>
      </c>
      <c r="K238" s="2" t="n">
        <v>7310</v>
      </c>
      <c r="L238" s="2" t="n">
        <v>300</v>
      </c>
      <c r="M238" s="2" t="n">
        <v>300</v>
      </c>
      <c r="N238" s="2" t="s">
        <v>1116</v>
      </c>
    </row>
    <row r="239" customFormat="false" ht="15" hidden="false" customHeight="false" outlineLevel="0" collapsed="false">
      <c r="A239" s="3" t="s">
        <v>56</v>
      </c>
      <c r="B239" s="3" t="s">
        <v>1117</v>
      </c>
      <c r="C239" s="3" t="n">
        <v>1471</v>
      </c>
      <c r="D239" s="3" t="s">
        <v>108</v>
      </c>
      <c r="E239" s="3" t="s">
        <v>1118</v>
      </c>
      <c r="F239" s="3" t="n">
        <v>2</v>
      </c>
      <c r="G239" s="3" t="s">
        <v>18</v>
      </c>
      <c r="H239" s="3" t="s">
        <v>59</v>
      </c>
      <c r="I239" s="3" t="s">
        <v>1119</v>
      </c>
      <c r="J239" s="3" t="s">
        <v>61</v>
      </c>
      <c r="K239" s="3" t="n">
        <v>5290</v>
      </c>
      <c r="L239" s="3" t="n">
        <v>1200</v>
      </c>
      <c r="M239" s="3" t="n">
        <v>2400</v>
      </c>
      <c r="N239" s="3" t="s">
        <v>1120</v>
      </c>
    </row>
    <row r="240" customFormat="false" ht="15" hidden="false" customHeight="false" outlineLevel="0" collapsed="false">
      <c r="A240" s="2" t="s">
        <v>1121</v>
      </c>
      <c r="B240" s="2" t="s">
        <v>1122</v>
      </c>
      <c r="C240" s="2" t="n">
        <v>1472</v>
      </c>
      <c r="D240" s="2" t="s">
        <v>16</v>
      </c>
      <c r="E240" s="2" t="s">
        <v>1123</v>
      </c>
      <c r="F240" s="2" t="n">
        <v>3</v>
      </c>
      <c r="G240" s="2" t="s">
        <v>18</v>
      </c>
      <c r="H240" s="2" t="s">
        <v>36</v>
      </c>
      <c r="I240" s="2" t="s">
        <v>1124</v>
      </c>
      <c r="J240" s="2" t="s">
        <v>192</v>
      </c>
      <c r="K240" s="2" t="n">
        <v>2000</v>
      </c>
      <c r="L240" s="2" t="n">
        <v>250</v>
      </c>
      <c r="M240" s="2" t="n">
        <v>750</v>
      </c>
      <c r="N240" s="2" t="s">
        <v>1125</v>
      </c>
    </row>
    <row r="241" customFormat="false" ht="15" hidden="false" customHeight="false" outlineLevel="0" collapsed="false">
      <c r="A241" s="3" t="s">
        <v>1126</v>
      </c>
      <c r="B241" s="3" t="s">
        <v>1127</v>
      </c>
      <c r="C241" s="3" t="n">
        <v>1473</v>
      </c>
      <c r="D241" s="3" t="s">
        <v>49</v>
      </c>
      <c r="E241" s="3" t="s">
        <v>507</v>
      </c>
      <c r="F241" s="3" t="n">
        <v>2</v>
      </c>
      <c r="G241" s="3" t="s">
        <v>18</v>
      </c>
      <c r="H241" s="3" t="s">
        <v>19</v>
      </c>
      <c r="I241" s="3" t="s">
        <v>1128</v>
      </c>
      <c r="J241" s="3" t="s">
        <v>73</v>
      </c>
      <c r="K241" s="3" t="n">
        <v>6160</v>
      </c>
      <c r="L241" s="3" t="n">
        <v>250</v>
      </c>
      <c r="M241" s="3" t="n">
        <v>500</v>
      </c>
      <c r="N241" s="3" t="s">
        <v>1129</v>
      </c>
    </row>
    <row r="242" customFormat="false" ht="15" hidden="false" customHeight="false" outlineLevel="0" collapsed="false">
      <c r="A242" s="2" t="s">
        <v>1130</v>
      </c>
      <c r="B242" s="2" t="s">
        <v>1131</v>
      </c>
      <c r="C242" s="2" t="n">
        <v>1474</v>
      </c>
      <c r="D242" s="2" t="s">
        <v>25</v>
      </c>
      <c r="E242" s="2" t="s">
        <v>1132</v>
      </c>
      <c r="F242" s="2" t="n">
        <v>3</v>
      </c>
      <c r="G242" s="2" t="s">
        <v>51</v>
      </c>
      <c r="H242" s="2" t="s">
        <v>52</v>
      </c>
      <c r="I242" s="2" t="s">
        <v>1133</v>
      </c>
      <c r="J242" s="2" t="s">
        <v>182</v>
      </c>
      <c r="K242" s="2" t="n">
        <v>4000</v>
      </c>
      <c r="L242" s="2" t="n">
        <v>800</v>
      </c>
      <c r="M242" s="2" t="n">
        <v>2400</v>
      </c>
      <c r="N242" s="2" t="s">
        <v>1134</v>
      </c>
    </row>
    <row r="243" customFormat="false" ht="15" hidden="false" customHeight="false" outlineLevel="0" collapsed="false">
      <c r="A243" s="3" t="s">
        <v>1135</v>
      </c>
      <c r="B243" s="3" t="s">
        <v>1136</v>
      </c>
      <c r="C243" s="3" t="n">
        <v>1475</v>
      </c>
      <c r="D243" s="3" t="s">
        <v>16</v>
      </c>
      <c r="E243" s="3" t="s">
        <v>671</v>
      </c>
      <c r="F243" s="3" t="n">
        <v>3</v>
      </c>
      <c r="G243" s="3" t="s">
        <v>18</v>
      </c>
      <c r="H243" s="3" t="s">
        <v>36</v>
      </c>
      <c r="I243" s="3" t="s">
        <v>1137</v>
      </c>
      <c r="J243" s="3" t="s">
        <v>38</v>
      </c>
      <c r="K243" s="3" t="n">
        <v>2300</v>
      </c>
      <c r="L243" s="3" t="n">
        <v>250</v>
      </c>
      <c r="M243" s="3" t="n">
        <v>750</v>
      </c>
      <c r="N243" s="3" t="s">
        <v>1138</v>
      </c>
    </row>
    <row r="244" customFormat="false" ht="15" hidden="false" customHeight="false" outlineLevel="0" collapsed="false">
      <c r="A244" s="2" t="s">
        <v>1139</v>
      </c>
      <c r="B244" s="2" t="s">
        <v>1140</v>
      </c>
      <c r="C244" s="2" t="n">
        <v>1476</v>
      </c>
      <c r="D244" s="2" t="s">
        <v>34</v>
      </c>
      <c r="E244" s="2" t="s">
        <v>266</v>
      </c>
      <c r="F244" s="2" t="n">
        <v>1</v>
      </c>
      <c r="G244" s="2" t="s">
        <v>18</v>
      </c>
      <c r="H244" s="2" t="s">
        <v>52</v>
      </c>
      <c r="I244" s="2" t="s">
        <v>1141</v>
      </c>
      <c r="J244" s="2" t="s">
        <v>54</v>
      </c>
      <c r="K244" s="2" t="n">
        <v>4217</v>
      </c>
      <c r="L244" s="2" t="n">
        <v>300</v>
      </c>
      <c r="M244" s="2" t="n">
        <v>300</v>
      </c>
      <c r="N244" s="2" t="s">
        <v>1142</v>
      </c>
    </row>
    <row r="245" customFormat="false" ht="15" hidden="false" customHeight="false" outlineLevel="0" collapsed="false">
      <c r="A245" s="3" t="s">
        <v>1143</v>
      </c>
      <c r="B245" s="3" t="s">
        <v>1144</v>
      </c>
      <c r="C245" s="3" t="n">
        <v>1477</v>
      </c>
      <c r="D245" s="3" t="s">
        <v>16</v>
      </c>
      <c r="E245" s="3" t="s">
        <v>382</v>
      </c>
      <c r="F245" s="3" t="n">
        <v>3</v>
      </c>
      <c r="G245" s="3" t="s">
        <v>18</v>
      </c>
      <c r="H245" s="3" t="s">
        <v>28</v>
      </c>
      <c r="I245" s="3" t="s">
        <v>1145</v>
      </c>
      <c r="J245" s="3" t="s">
        <v>30</v>
      </c>
      <c r="K245" s="3" t="n">
        <v>2600</v>
      </c>
      <c r="L245" s="3" t="n">
        <v>250</v>
      </c>
      <c r="M245" s="3" t="n">
        <v>750</v>
      </c>
      <c r="N245" s="3" t="s">
        <v>1146</v>
      </c>
    </row>
    <row r="246" customFormat="false" ht="15" hidden="false" customHeight="false" outlineLevel="0" collapsed="false">
      <c r="A246" s="2" t="s">
        <v>1147</v>
      </c>
      <c r="B246" s="2" t="s">
        <v>1148</v>
      </c>
      <c r="C246" s="2" t="n">
        <v>1478</v>
      </c>
      <c r="D246" s="2" t="s">
        <v>108</v>
      </c>
      <c r="E246" s="2" t="s">
        <v>256</v>
      </c>
      <c r="F246" s="2" t="n">
        <v>2</v>
      </c>
      <c r="G246" s="2" t="s">
        <v>27</v>
      </c>
      <c r="H246" s="2" t="s">
        <v>19</v>
      </c>
      <c r="I246" s="2" t="s">
        <v>1149</v>
      </c>
      <c r="J246" s="2" t="s">
        <v>21</v>
      </c>
      <c r="K246" s="2" t="n">
        <v>6725</v>
      </c>
      <c r="L246" s="2" t="n">
        <v>1200</v>
      </c>
      <c r="M246" s="2" t="n">
        <v>2400</v>
      </c>
      <c r="N246" s="2" t="s">
        <v>1150</v>
      </c>
    </row>
    <row r="247" customFormat="false" ht="15" hidden="false" customHeight="false" outlineLevel="0" collapsed="false">
      <c r="A247" s="3" t="s">
        <v>214</v>
      </c>
      <c r="B247" s="3" t="s">
        <v>1151</v>
      </c>
      <c r="C247" s="3" t="n">
        <v>1479</v>
      </c>
      <c r="D247" s="3" t="s">
        <v>16</v>
      </c>
      <c r="E247" s="3" t="s">
        <v>1152</v>
      </c>
      <c r="F247" s="3" t="n">
        <v>2</v>
      </c>
      <c r="G247" s="3" t="s">
        <v>27</v>
      </c>
      <c r="H247" s="3" t="s">
        <v>52</v>
      </c>
      <c r="I247" s="3" t="s">
        <v>1153</v>
      </c>
      <c r="J247" s="3" t="s">
        <v>182</v>
      </c>
      <c r="K247" s="3" t="n">
        <v>4000</v>
      </c>
      <c r="L247" s="3" t="n">
        <v>250</v>
      </c>
      <c r="M247" s="3" t="n">
        <v>500</v>
      </c>
      <c r="N247" s="3" t="s">
        <v>1154</v>
      </c>
    </row>
    <row r="248" customFormat="false" ht="15" hidden="false" customHeight="false" outlineLevel="0" collapsed="false">
      <c r="A248" s="2" t="s">
        <v>1155</v>
      </c>
      <c r="B248" s="2" t="s">
        <v>959</v>
      </c>
      <c r="C248" s="2" t="n">
        <v>1480</v>
      </c>
      <c r="D248" s="2" t="s">
        <v>25</v>
      </c>
      <c r="E248" s="2" t="s">
        <v>1156</v>
      </c>
      <c r="F248" s="2" t="n">
        <v>2</v>
      </c>
      <c r="G248" s="2" t="s">
        <v>18</v>
      </c>
      <c r="H248" s="2" t="s">
        <v>52</v>
      </c>
      <c r="I248" s="2" t="s">
        <v>1157</v>
      </c>
      <c r="J248" s="2" t="s">
        <v>54</v>
      </c>
      <c r="K248" s="2" t="n">
        <v>4217</v>
      </c>
      <c r="L248" s="2" t="n">
        <v>800</v>
      </c>
      <c r="M248" s="2" t="n">
        <v>1600</v>
      </c>
      <c r="N248" s="2" t="s">
        <v>1158</v>
      </c>
    </row>
    <row r="249" customFormat="false" ht="15" hidden="false" customHeight="false" outlineLevel="0" collapsed="false">
      <c r="A249" s="3" t="s">
        <v>1159</v>
      </c>
      <c r="B249" s="3" t="s">
        <v>1160</v>
      </c>
      <c r="C249" s="3" t="n">
        <v>1481</v>
      </c>
      <c r="D249" s="3" t="s">
        <v>108</v>
      </c>
      <c r="E249" s="3" t="s">
        <v>1161</v>
      </c>
      <c r="F249" s="3" t="n">
        <v>1</v>
      </c>
      <c r="G249" s="3" t="s">
        <v>51</v>
      </c>
      <c r="H249" s="3" t="s">
        <v>121</v>
      </c>
      <c r="I249" s="3" t="s">
        <v>1162</v>
      </c>
      <c r="J249" s="3" t="s">
        <v>123</v>
      </c>
      <c r="K249" s="3" t="n">
        <v>800</v>
      </c>
      <c r="L249" s="3" t="n">
        <v>1200</v>
      </c>
      <c r="M249" s="3" t="n">
        <v>1200</v>
      </c>
      <c r="N249" s="3" t="s">
        <v>1163</v>
      </c>
    </row>
    <row r="250" customFormat="false" ht="15" hidden="false" customHeight="false" outlineLevel="0" collapsed="false">
      <c r="A250" s="2" t="s">
        <v>1164</v>
      </c>
      <c r="B250" s="2" t="s">
        <v>844</v>
      </c>
      <c r="C250" s="2" t="n">
        <v>1482</v>
      </c>
      <c r="D250" s="2" t="s">
        <v>49</v>
      </c>
      <c r="E250" s="2" t="s">
        <v>526</v>
      </c>
      <c r="F250" s="2" t="n">
        <v>2</v>
      </c>
      <c r="G250" s="2" t="s">
        <v>18</v>
      </c>
      <c r="H250" s="2" t="s">
        <v>43</v>
      </c>
      <c r="I250" s="2" t="s">
        <v>1165</v>
      </c>
      <c r="J250" s="2" t="s">
        <v>67</v>
      </c>
      <c r="K250" s="2" t="n">
        <v>3220</v>
      </c>
      <c r="L250" s="2" t="n">
        <v>250</v>
      </c>
      <c r="M250" s="2" t="n">
        <v>500</v>
      </c>
      <c r="N250" s="2" t="s">
        <v>1166</v>
      </c>
    </row>
    <row r="251" customFormat="false" ht="15" hidden="false" customHeight="false" outlineLevel="0" collapsed="false">
      <c r="A251" s="3" t="s">
        <v>1167</v>
      </c>
      <c r="B251" s="3" t="s">
        <v>1168</v>
      </c>
      <c r="C251" s="3" t="n">
        <v>1483</v>
      </c>
      <c r="D251" s="3" t="s">
        <v>49</v>
      </c>
      <c r="E251" s="3" t="s">
        <v>280</v>
      </c>
      <c r="F251" s="3" t="n">
        <v>2</v>
      </c>
      <c r="G251" s="3" t="s">
        <v>18</v>
      </c>
      <c r="H251" s="3" t="s">
        <v>121</v>
      </c>
      <c r="I251" s="3" t="s">
        <v>1169</v>
      </c>
      <c r="J251" s="3" t="s">
        <v>317</v>
      </c>
      <c r="K251" s="3" t="n">
        <v>870</v>
      </c>
      <c r="L251" s="3" t="n">
        <v>250</v>
      </c>
      <c r="M251" s="3" t="n">
        <v>500</v>
      </c>
      <c r="N251" s="3" t="s">
        <v>1170</v>
      </c>
    </row>
    <row r="252" customFormat="false" ht="15" hidden="false" customHeight="false" outlineLevel="0" collapsed="false">
      <c r="A252" s="2" t="s">
        <v>769</v>
      </c>
      <c r="B252" s="2" t="s">
        <v>1047</v>
      </c>
      <c r="C252" s="2" t="n">
        <v>1484</v>
      </c>
      <c r="D252" s="2" t="s">
        <v>108</v>
      </c>
      <c r="E252" s="2" t="s">
        <v>1171</v>
      </c>
      <c r="F252" s="2" t="n">
        <v>3</v>
      </c>
      <c r="G252" s="2" t="s">
        <v>18</v>
      </c>
      <c r="H252" s="2" t="s">
        <v>52</v>
      </c>
      <c r="I252" s="2" t="s">
        <v>1172</v>
      </c>
      <c r="J252" s="2" t="s">
        <v>182</v>
      </c>
      <c r="K252" s="2" t="n">
        <v>4000</v>
      </c>
      <c r="L252" s="2" t="n">
        <v>1200</v>
      </c>
      <c r="M252" s="2" t="n">
        <v>3600</v>
      </c>
      <c r="N252" s="2" t="s">
        <v>1173</v>
      </c>
    </row>
    <row r="253" customFormat="false" ht="15" hidden="false" customHeight="false" outlineLevel="0" collapsed="false">
      <c r="A253" s="3" t="s">
        <v>1174</v>
      </c>
      <c r="B253" s="3" t="s">
        <v>1175</v>
      </c>
      <c r="C253" s="3" t="n">
        <v>1485</v>
      </c>
      <c r="D253" s="3" t="s">
        <v>16</v>
      </c>
      <c r="E253" s="3" t="s">
        <v>1176</v>
      </c>
      <c r="F253" s="3" t="n">
        <v>2</v>
      </c>
      <c r="G253" s="3" t="s">
        <v>51</v>
      </c>
      <c r="H253" s="3" t="s">
        <v>52</v>
      </c>
      <c r="I253" s="3" t="s">
        <v>1177</v>
      </c>
      <c r="J253" s="3" t="s">
        <v>182</v>
      </c>
      <c r="K253" s="3" t="n">
        <v>4000</v>
      </c>
      <c r="L253" s="3" t="n">
        <v>250</v>
      </c>
      <c r="M253" s="3" t="n">
        <v>500</v>
      </c>
      <c r="N253" s="3" t="s">
        <v>1178</v>
      </c>
    </row>
    <row r="254" customFormat="false" ht="15" hidden="false" customHeight="false" outlineLevel="0" collapsed="false">
      <c r="A254" s="2" t="s">
        <v>1179</v>
      </c>
      <c r="B254" s="2" t="s">
        <v>1180</v>
      </c>
      <c r="C254" s="2" t="n">
        <v>1486</v>
      </c>
      <c r="D254" s="2" t="s">
        <v>147</v>
      </c>
      <c r="E254" s="2" t="s">
        <v>336</v>
      </c>
      <c r="F254" s="2" t="n">
        <v>1</v>
      </c>
      <c r="G254" s="2" t="s">
        <v>51</v>
      </c>
      <c r="H254" s="2" t="s">
        <v>19</v>
      </c>
      <c r="I254" s="2" t="s">
        <v>1181</v>
      </c>
      <c r="J254" s="2" t="s">
        <v>176</v>
      </c>
      <c r="K254" s="2" t="n">
        <v>6000</v>
      </c>
      <c r="L254" s="2" t="n">
        <v>600</v>
      </c>
      <c r="M254" s="2" t="n">
        <v>600</v>
      </c>
      <c r="N254" s="2" t="s">
        <v>1182</v>
      </c>
    </row>
    <row r="255" customFormat="false" ht="15" hidden="false" customHeight="false" outlineLevel="0" collapsed="false">
      <c r="A255" s="3" t="s">
        <v>1002</v>
      </c>
      <c r="B255" s="3" t="s">
        <v>1183</v>
      </c>
      <c r="C255" s="3" t="n">
        <v>1487</v>
      </c>
      <c r="D255" s="3" t="s">
        <v>34</v>
      </c>
      <c r="E255" s="3" t="s">
        <v>1184</v>
      </c>
      <c r="F255" s="3" t="n">
        <v>3</v>
      </c>
      <c r="G255" s="3" t="s">
        <v>18</v>
      </c>
      <c r="H255" s="3" t="s">
        <v>43</v>
      </c>
      <c r="I255" s="3" t="s">
        <v>1185</v>
      </c>
      <c r="J255" s="3" t="s">
        <v>45</v>
      </c>
      <c r="K255" s="3" t="n">
        <v>3350</v>
      </c>
      <c r="L255" s="3" t="n">
        <v>300</v>
      </c>
      <c r="M255" s="3" t="n">
        <v>900</v>
      </c>
      <c r="N255" s="3" t="s">
        <v>1186</v>
      </c>
    </row>
    <row r="256" customFormat="false" ht="15" hidden="false" customHeight="false" outlineLevel="0" collapsed="false">
      <c r="A256" s="2" t="s">
        <v>1187</v>
      </c>
      <c r="B256" s="2" t="s">
        <v>1188</v>
      </c>
      <c r="C256" s="2" t="n">
        <v>1488</v>
      </c>
      <c r="D256" s="2" t="s">
        <v>16</v>
      </c>
      <c r="E256" s="2" t="s">
        <v>1043</v>
      </c>
      <c r="F256" s="2" t="n">
        <v>3</v>
      </c>
      <c r="G256" s="2" t="s">
        <v>51</v>
      </c>
      <c r="H256" s="2" t="s">
        <v>43</v>
      </c>
      <c r="I256" s="2" t="s">
        <v>1189</v>
      </c>
      <c r="J256" s="2" t="s">
        <v>111</v>
      </c>
      <c r="K256" s="2" t="n">
        <v>3000</v>
      </c>
      <c r="L256" s="2" t="n">
        <v>250</v>
      </c>
      <c r="M256" s="2" t="n">
        <v>750</v>
      </c>
      <c r="N256" s="2" t="s">
        <v>1190</v>
      </c>
    </row>
    <row r="257" customFormat="false" ht="15" hidden="false" customHeight="false" outlineLevel="0" collapsed="false">
      <c r="A257" s="3" t="s">
        <v>1191</v>
      </c>
      <c r="B257" s="3" t="s">
        <v>1192</v>
      </c>
      <c r="C257" s="3" t="n">
        <v>1489</v>
      </c>
      <c r="D257" s="3" t="s">
        <v>49</v>
      </c>
      <c r="E257" s="3" t="s">
        <v>148</v>
      </c>
      <c r="F257" s="3" t="n">
        <v>2</v>
      </c>
      <c r="G257" s="3" t="s">
        <v>18</v>
      </c>
      <c r="H257" s="3" t="s">
        <v>19</v>
      </c>
      <c r="I257" s="3" t="s">
        <v>1193</v>
      </c>
      <c r="J257" s="3" t="s">
        <v>73</v>
      </c>
      <c r="K257" s="3" t="n">
        <v>6160</v>
      </c>
      <c r="L257" s="3" t="n">
        <v>250</v>
      </c>
      <c r="M257" s="3" t="n">
        <v>500</v>
      </c>
      <c r="N257" s="3" t="s">
        <v>1194</v>
      </c>
    </row>
    <row r="258" customFormat="false" ht="15" hidden="false" customHeight="false" outlineLevel="0" collapsed="false">
      <c r="A258" s="2" t="s">
        <v>1195</v>
      </c>
      <c r="B258" s="2" t="s">
        <v>453</v>
      </c>
      <c r="C258" s="2" t="n">
        <v>1490</v>
      </c>
      <c r="D258" s="2" t="s">
        <v>147</v>
      </c>
      <c r="E258" s="2" t="s">
        <v>290</v>
      </c>
      <c r="F258" s="2" t="n">
        <v>2</v>
      </c>
      <c r="G258" s="2" t="s">
        <v>18</v>
      </c>
      <c r="H258" s="2" t="s">
        <v>43</v>
      </c>
      <c r="I258" s="2" t="s">
        <v>1196</v>
      </c>
      <c r="J258" s="2" t="s">
        <v>45</v>
      </c>
      <c r="K258" s="2" t="n">
        <v>3350</v>
      </c>
      <c r="L258" s="2" t="n">
        <v>600</v>
      </c>
      <c r="M258" s="2" t="n">
        <v>1200</v>
      </c>
      <c r="N258" s="2" t="s">
        <v>1197</v>
      </c>
    </row>
    <row r="259" customFormat="false" ht="15" hidden="false" customHeight="false" outlineLevel="0" collapsed="false">
      <c r="A259" s="3" t="s">
        <v>519</v>
      </c>
      <c r="B259" s="3" t="s">
        <v>1198</v>
      </c>
      <c r="C259" s="3" t="n">
        <v>1491</v>
      </c>
      <c r="D259" s="3" t="s">
        <v>16</v>
      </c>
      <c r="E259" s="3" t="s">
        <v>762</v>
      </c>
      <c r="F259" s="3" t="n">
        <v>3</v>
      </c>
      <c r="G259" s="3" t="s">
        <v>18</v>
      </c>
      <c r="H259" s="3" t="s">
        <v>52</v>
      </c>
      <c r="I259" s="3" t="s">
        <v>1199</v>
      </c>
      <c r="J259" s="3" t="s">
        <v>182</v>
      </c>
      <c r="K259" s="3" t="n">
        <v>4000</v>
      </c>
      <c r="L259" s="3" t="n">
        <v>250</v>
      </c>
      <c r="M259" s="3" t="n">
        <v>750</v>
      </c>
      <c r="N259" s="3" t="s">
        <v>1200</v>
      </c>
    </row>
    <row r="260" customFormat="false" ht="15" hidden="false" customHeight="false" outlineLevel="0" collapsed="false">
      <c r="A260" s="2" t="s">
        <v>1201</v>
      </c>
      <c r="B260" s="2" t="s">
        <v>1202</v>
      </c>
      <c r="C260" s="2" t="n">
        <v>1492</v>
      </c>
      <c r="D260" s="2" t="s">
        <v>108</v>
      </c>
      <c r="E260" s="2" t="s">
        <v>887</v>
      </c>
      <c r="F260" s="2" t="n">
        <v>3</v>
      </c>
      <c r="G260" s="2" t="s">
        <v>18</v>
      </c>
      <c r="H260" s="2" t="s">
        <v>59</v>
      </c>
      <c r="I260" s="2" t="s">
        <v>1203</v>
      </c>
      <c r="J260" s="2" t="s">
        <v>292</v>
      </c>
      <c r="K260" s="2" t="n">
        <v>5600</v>
      </c>
      <c r="L260" s="2" t="n">
        <v>1200</v>
      </c>
      <c r="M260" s="2" t="n">
        <v>3600</v>
      </c>
      <c r="N260" s="2" t="s">
        <v>1204</v>
      </c>
    </row>
    <row r="261" customFormat="false" ht="15" hidden="false" customHeight="false" outlineLevel="0" collapsed="false">
      <c r="A261" s="3" t="s">
        <v>1205</v>
      </c>
      <c r="B261" s="3" t="s">
        <v>458</v>
      </c>
      <c r="C261" s="3" t="n">
        <v>1493</v>
      </c>
      <c r="D261" s="3" t="s">
        <v>108</v>
      </c>
      <c r="E261" s="3" t="s">
        <v>1206</v>
      </c>
      <c r="F261" s="3" t="n">
        <v>3</v>
      </c>
      <c r="G261" s="3" t="s">
        <v>18</v>
      </c>
      <c r="H261" s="3" t="s">
        <v>43</v>
      </c>
      <c r="I261" s="3" t="s">
        <v>1207</v>
      </c>
      <c r="J261" s="3" t="s">
        <v>67</v>
      </c>
      <c r="K261" s="3" t="n">
        <v>3220</v>
      </c>
      <c r="L261" s="3" t="n">
        <v>1200</v>
      </c>
      <c r="M261" s="3" t="n">
        <v>3600</v>
      </c>
      <c r="N261" s="3" t="s">
        <v>1208</v>
      </c>
    </row>
    <row r="262" customFormat="false" ht="15" hidden="false" customHeight="false" outlineLevel="0" collapsed="false">
      <c r="A262" s="2" t="s">
        <v>1209</v>
      </c>
      <c r="B262" s="2" t="s">
        <v>371</v>
      </c>
      <c r="C262" s="2" t="n">
        <v>1494</v>
      </c>
      <c r="D262" s="2" t="s">
        <v>49</v>
      </c>
      <c r="E262" s="2" t="s">
        <v>331</v>
      </c>
      <c r="F262" s="2" t="n">
        <v>3</v>
      </c>
      <c r="G262" s="2" t="s">
        <v>18</v>
      </c>
      <c r="H262" s="2" t="s">
        <v>121</v>
      </c>
      <c r="I262" s="2" t="s">
        <v>1210</v>
      </c>
      <c r="J262" s="2" t="s">
        <v>317</v>
      </c>
      <c r="K262" s="2" t="n">
        <v>870</v>
      </c>
      <c r="L262" s="2" t="n">
        <v>250</v>
      </c>
      <c r="M262" s="2" t="n">
        <v>750</v>
      </c>
      <c r="N262" s="2" t="s">
        <v>1211</v>
      </c>
    </row>
    <row r="263" customFormat="false" ht="15" hidden="false" customHeight="false" outlineLevel="0" collapsed="false">
      <c r="A263" s="3" t="s">
        <v>457</v>
      </c>
      <c r="B263" s="3" t="s">
        <v>1212</v>
      </c>
      <c r="C263" s="3" t="n">
        <v>1495</v>
      </c>
      <c r="D263" s="3" t="s">
        <v>16</v>
      </c>
      <c r="E263" s="3" t="s">
        <v>1213</v>
      </c>
      <c r="F263" s="3" t="n">
        <v>1</v>
      </c>
      <c r="G263" s="3" t="s">
        <v>51</v>
      </c>
      <c r="H263" s="3" t="s">
        <v>36</v>
      </c>
      <c r="I263" s="3" t="s">
        <v>1214</v>
      </c>
      <c r="J263" s="3" t="s">
        <v>192</v>
      </c>
      <c r="K263" s="3" t="n">
        <v>2000</v>
      </c>
      <c r="L263" s="3" t="n">
        <v>250</v>
      </c>
      <c r="M263" s="3" t="n">
        <v>250</v>
      </c>
      <c r="N263" s="3" t="s">
        <v>1215</v>
      </c>
    </row>
    <row r="264" customFormat="false" ht="15" hidden="false" customHeight="false" outlineLevel="0" collapsed="false">
      <c r="A264" s="2" t="s">
        <v>1216</v>
      </c>
      <c r="B264" s="2" t="s">
        <v>1217</v>
      </c>
      <c r="C264" s="2" t="n">
        <v>1496</v>
      </c>
      <c r="D264" s="2" t="s">
        <v>34</v>
      </c>
      <c r="E264" s="2" t="s">
        <v>1218</v>
      </c>
      <c r="F264" s="2" t="n">
        <v>1</v>
      </c>
      <c r="G264" s="2" t="s">
        <v>51</v>
      </c>
      <c r="H264" s="2" t="s">
        <v>28</v>
      </c>
      <c r="I264" s="2" t="s">
        <v>1219</v>
      </c>
      <c r="J264" s="2" t="s">
        <v>30</v>
      </c>
      <c r="K264" s="2" t="n">
        <v>2600</v>
      </c>
      <c r="L264" s="2" t="n">
        <v>300</v>
      </c>
      <c r="M264" s="2" t="n">
        <v>300</v>
      </c>
      <c r="N264" s="2" t="s">
        <v>1220</v>
      </c>
    </row>
    <row r="265" customFormat="false" ht="15" hidden="false" customHeight="false" outlineLevel="0" collapsed="false">
      <c r="A265" s="3" t="s">
        <v>56</v>
      </c>
      <c r="B265" s="3" t="s">
        <v>1221</v>
      </c>
      <c r="C265" s="3" t="n">
        <v>1497</v>
      </c>
      <c r="D265" s="3" t="s">
        <v>49</v>
      </c>
      <c r="E265" s="3" t="s">
        <v>1171</v>
      </c>
      <c r="F265" s="3" t="n">
        <v>3</v>
      </c>
      <c r="G265" s="3" t="s">
        <v>51</v>
      </c>
      <c r="H265" s="3" t="s">
        <v>52</v>
      </c>
      <c r="I265" s="3" t="s">
        <v>1222</v>
      </c>
      <c r="J265" s="3" t="s">
        <v>92</v>
      </c>
      <c r="K265" s="3" t="n">
        <v>4870</v>
      </c>
      <c r="L265" s="3" t="n">
        <v>250</v>
      </c>
      <c r="M265" s="3" t="n">
        <v>750</v>
      </c>
      <c r="N265" s="3" t="s">
        <v>1223</v>
      </c>
    </row>
    <row r="266" customFormat="false" ht="15" hidden="false" customHeight="false" outlineLevel="0" collapsed="false">
      <c r="A266" s="2" t="s">
        <v>1179</v>
      </c>
      <c r="B266" s="2" t="s">
        <v>1224</v>
      </c>
      <c r="C266" s="2" t="n">
        <v>1498</v>
      </c>
      <c r="D266" s="2" t="s">
        <v>25</v>
      </c>
      <c r="E266" s="2" t="s">
        <v>1225</v>
      </c>
      <c r="F266" s="2" t="n">
        <v>3</v>
      </c>
      <c r="G266" s="2" t="s">
        <v>18</v>
      </c>
      <c r="H266" s="2" t="s">
        <v>19</v>
      </c>
      <c r="I266" s="2" t="s">
        <v>1226</v>
      </c>
      <c r="J266" s="2" t="s">
        <v>21</v>
      </c>
      <c r="K266" s="2" t="n">
        <v>6725</v>
      </c>
      <c r="L266" s="2" t="n">
        <v>800</v>
      </c>
      <c r="M266" s="2" t="n">
        <v>2400</v>
      </c>
      <c r="N266" s="2" t="s">
        <v>1227</v>
      </c>
    </row>
    <row r="267" customFormat="false" ht="15" hidden="false" customHeight="false" outlineLevel="0" collapsed="false">
      <c r="A267" s="3" t="s">
        <v>283</v>
      </c>
      <c r="B267" s="3" t="s">
        <v>1228</v>
      </c>
      <c r="C267" s="3" t="n">
        <v>1499</v>
      </c>
      <c r="D267" s="3" t="s">
        <v>108</v>
      </c>
      <c r="E267" s="3" t="s">
        <v>979</v>
      </c>
      <c r="F267" s="3" t="n">
        <v>1</v>
      </c>
      <c r="G267" s="3" t="s">
        <v>51</v>
      </c>
      <c r="H267" s="3" t="s">
        <v>43</v>
      </c>
      <c r="I267" s="3" t="s">
        <v>1229</v>
      </c>
      <c r="J267" s="3" t="s">
        <v>45</v>
      </c>
      <c r="K267" s="3" t="n">
        <v>3350</v>
      </c>
      <c r="L267" s="3" t="n">
        <v>1200</v>
      </c>
      <c r="M267" s="3" t="n">
        <v>1200</v>
      </c>
      <c r="N267" s="3" t="s">
        <v>1230</v>
      </c>
    </row>
    <row r="268" customFormat="false" ht="15" hidden="false" customHeight="false" outlineLevel="0" collapsed="false">
      <c r="A268" s="2" t="s">
        <v>1231</v>
      </c>
      <c r="B268" s="2" t="s">
        <v>1232</v>
      </c>
      <c r="C268" s="2" t="n">
        <v>1500</v>
      </c>
      <c r="D268" s="2" t="s">
        <v>108</v>
      </c>
      <c r="E268" s="2" t="s">
        <v>1176</v>
      </c>
      <c r="F268" s="2" t="n">
        <v>1</v>
      </c>
      <c r="G268" s="2" t="s">
        <v>51</v>
      </c>
      <c r="H268" s="2" t="s">
        <v>43</v>
      </c>
      <c r="I268" s="2" t="s">
        <v>1233</v>
      </c>
      <c r="J268" s="2" t="s">
        <v>111</v>
      </c>
      <c r="K268" s="2" t="n">
        <v>3000</v>
      </c>
      <c r="L268" s="2" t="n">
        <v>1200</v>
      </c>
      <c r="M268" s="2" t="n">
        <v>1200</v>
      </c>
      <c r="N268" s="2" t="s">
        <v>1234</v>
      </c>
    </row>
    <row r="269" customFormat="false" ht="15" hidden="false" customHeight="false" outlineLevel="0" collapsed="false">
      <c r="A269" s="3" t="s">
        <v>1235</v>
      </c>
      <c r="B269" s="3" t="s">
        <v>1236</v>
      </c>
      <c r="C269" s="3" t="n">
        <v>1501</v>
      </c>
      <c r="D269" s="3" t="s">
        <v>108</v>
      </c>
      <c r="E269" s="3" t="s">
        <v>753</v>
      </c>
      <c r="F269" s="3" t="n">
        <v>3</v>
      </c>
      <c r="G269" s="3" t="s">
        <v>18</v>
      </c>
      <c r="H269" s="3" t="s">
        <v>52</v>
      </c>
      <c r="I269" s="3" t="s">
        <v>1237</v>
      </c>
      <c r="J269" s="3" t="s">
        <v>54</v>
      </c>
      <c r="K269" s="3" t="n">
        <v>4217</v>
      </c>
      <c r="L269" s="3" t="n">
        <v>1200</v>
      </c>
      <c r="M269" s="3" t="n">
        <v>3600</v>
      </c>
      <c r="N269" s="3" t="s">
        <v>1238</v>
      </c>
    </row>
    <row r="270" customFormat="false" ht="15" hidden="false" customHeight="false" outlineLevel="0" collapsed="false">
      <c r="A270" s="2" t="s">
        <v>1239</v>
      </c>
      <c r="B270" s="2" t="s">
        <v>1240</v>
      </c>
      <c r="C270" s="2" t="n">
        <v>1502</v>
      </c>
      <c r="D270" s="2" t="s">
        <v>49</v>
      </c>
      <c r="E270" s="2" t="s">
        <v>196</v>
      </c>
      <c r="F270" s="2" t="n">
        <v>2</v>
      </c>
      <c r="G270" s="2" t="s">
        <v>51</v>
      </c>
      <c r="H270" s="2" t="s">
        <v>28</v>
      </c>
      <c r="I270" s="2" t="s">
        <v>1241</v>
      </c>
      <c r="J270" s="2" t="s">
        <v>30</v>
      </c>
      <c r="K270" s="2" t="n">
        <v>2600</v>
      </c>
      <c r="L270" s="2" t="n">
        <v>250</v>
      </c>
      <c r="M270" s="2" t="n">
        <v>500</v>
      </c>
      <c r="N270" s="2" t="s">
        <v>1242</v>
      </c>
    </row>
    <row r="271" customFormat="false" ht="15" hidden="false" customHeight="false" outlineLevel="0" collapsed="false">
      <c r="A271" s="3" t="s">
        <v>1243</v>
      </c>
      <c r="B271" s="3" t="s">
        <v>1244</v>
      </c>
      <c r="C271" s="3" t="n">
        <v>1503</v>
      </c>
      <c r="D271" s="3" t="s">
        <v>34</v>
      </c>
      <c r="E271" s="3" t="s">
        <v>1031</v>
      </c>
      <c r="F271" s="3" t="n">
        <v>2</v>
      </c>
      <c r="G271" s="3" t="s">
        <v>51</v>
      </c>
      <c r="H271" s="3" t="s">
        <v>28</v>
      </c>
      <c r="I271" s="3" t="s">
        <v>1245</v>
      </c>
      <c r="J271" s="3" t="s">
        <v>30</v>
      </c>
      <c r="K271" s="3" t="n">
        <v>2600</v>
      </c>
      <c r="L271" s="3" t="n">
        <v>300</v>
      </c>
      <c r="M271" s="3" t="n">
        <v>600</v>
      </c>
      <c r="N271" s="3" t="s">
        <v>1246</v>
      </c>
    </row>
    <row r="272" customFormat="false" ht="15" hidden="false" customHeight="false" outlineLevel="0" collapsed="false">
      <c r="A272" s="2" t="s">
        <v>1247</v>
      </c>
      <c r="B272" s="2" t="s">
        <v>711</v>
      </c>
      <c r="C272" s="2" t="n">
        <v>1504</v>
      </c>
      <c r="D272" s="2" t="s">
        <v>108</v>
      </c>
      <c r="E272" s="2" t="s">
        <v>1248</v>
      </c>
      <c r="F272" s="2" t="n">
        <v>2</v>
      </c>
      <c r="G272" s="2" t="s">
        <v>18</v>
      </c>
      <c r="H272" s="2" t="s">
        <v>78</v>
      </c>
      <c r="I272" s="2" t="s">
        <v>1249</v>
      </c>
      <c r="J272" s="2" t="s">
        <v>86</v>
      </c>
      <c r="K272" s="2" t="n">
        <v>7000</v>
      </c>
      <c r="L272" s="2" t="n">
        <v>1200</v>
      </c>
      <c r="M272" s="2" t="n">
        <v>2400</v>
      </c>
      <c r="N272" s="2" t="s">
        <v>1250</v>
      </c>
    </row>
    <row r="273" customFormat="false" ht="15" hidden="false" customHeight="false" outlineLevel="0" collapsed="false">
      <c r="A273" s="3" t="s">
        <v>1251</v>
      </c>
      <c r="B273" s="3" t="s">
        <v>1252</v>
      </c>
      <c r="C273" s="3" t="n">
        <v>1505</v>
      </c>
      <c r="D273" s="3" t="s">
        <v>49</v>
      </c>
      <c r="E273" s="3" t="s">
        <v>493</v>
      </c>
      <c r="F273" s="3" t="n">
        <v>1</v>
      </c>
      <c r="G273" s="3" t="s">
        <v>18</v>
      </c>
      <c r="H273" s="3" t="s">
        <v>59</v>
      </c>
      <c r="I273" s="3" t="s">
        <v>1253</v>
      </c>
      <c r="J273" s="3" t="s">
        <v>61</v>
      </c>
      <c r="K273" s="3" t="n">
        <v>5290</v>
      </c>
      <c r="L273" s="3" t="n">
        <v>250</v>
      </c>
      <c r="M273" s="3" t="n">
        <v>250</v>
      </c>
      <c r="N273" s="3" t="s">
        <v>1254</v>
      </c>
    </row>
    <row r="274" customFormat="false" ht="15" hidden="false" customHeight="false" outlineLevel="0" collapsed="false">
      <c r="A274" s="2" t="s">
        <v>1255</v>
      </c>
      <c r="B274" s="2" t="s">
        <v>173</v>
      </c>
      <c r="C274" s="2" t="n">
        <v>1506</v>
      </c>
      <c r="D274" s="2" t="s">
        <v>16</v>
      </c>
      <c r="E274" s="2" t="s">
        <v>1256</v>
      </c>
      <c r="F274" s="2" t="n">
        <v>2</v>
      </c>
      <c r="G274" s="2" t="s">
        <v>51</v>
      </c>
      <c r="H274" s="2" t="s">
        <v>36</v>
      </c>
      <c r="I274" s="2" t="s">
        <v>1257</v>
      </c>
      <c r="J274" s="2" t="s">
        <v>38</v>
      </c>
      <c r="K274" s="2" t="n">
        <v>2300</v>
      </c>
      <c r="L274" s="2" t="n">
        <v>250</v>
      </c>
      <c r="M274" s="2" t="n">
        <v>500</v>
      </c>
      <c r="N274" s="2" t="s">
        <v>1258</v>
      </c>
    </row>
    <row r="275" customFormat="false" ht="15" hidden="false" customHeight="false" outlineLevel="0" collapsed="false">
      <c r="A275" s="3" t="s">
        <v>1259</v>
      </c>
      <c r="B275" s="3" t="s">
        <v>610</v>
      </c>
      <c r="C275" s="3" t="n">
        <v>1507</v>
      </c>
      <c r="D275" s="3" t="s">
        <v>108</v>
      </c>
      <c r="E275" s="3" t="s">
        <v>256</v>
      </c>
      <c r="F275" s="3" t="n">
        <v>3</v>
      </c>
      <c r="G275" s="3" t="s">
        <v>18</v>
      </c>
      <c r="H275" s="3" t="s">
        <v>43</v>
      </c>
      <c r="I275" s="3" t="s">
        <v>1260</v>
      </c>
      <c r="J275" s="3" t="s">
        <v>111</v>
      </c>
      <c r="K275" s="3" t="n">
        <v>3000</v>
      </c>
      <c r="L275" s="3" t="n">
        <v>1200</v>
      </c>
      <c r="M275" s="3" t="n">
        <v>3600</v>
      </c>
      <c r="N275" s="3" t="s">
        <v>1261</v>
      </c>
    </row>
    <row r="276" customFormat="false" ht="15" hidden="false" customHeight="false" outlineLevel="0" collapsed="false">
      <c r="A276" s="2" t="s">
        <v>239</v>
      </c>
      <c r="B276" s="2" t="s">
        <v>515</v>
      </c>
      <c r="C276" s="2" t="n">
        <v>1508</v>
      </c>
      <c r="D276" s="2" t="s">
        <v>108</v>
      </c>
      <c r="E276" s="2" t="s">
        <v>1262</v>
      </c>
      <c r="F276" s="2" t="n">
        <v>1</v>
      </c>
      <c r="G276" s="2" t="s">
        <v>18</v>
      </c>
      <c r="H276" s="2" t="s">
        <v>52</v>
      </c>
      <c r="I276" s="2" t="s">
        <v>1263</v>
      </c>
      <c r="J276" s="2" t="s">
        <v>92</v>
      </c>
      <c r="K276" s="2" t="n">
        <v>4870</v>
      </c>
      <c r="L276" s="2" t="n">
        <v>1200</v>
      </c>
      <c r="M276" s="2" t="n">
        <v>1200</v>
      </c>
      <c r="N276" s="2" t="s">
        <v>1264</v>
      </c>
    </row>
    <row r="277" customFormat="false" ht="15" hidden="false" customHeight="false" outlineLevel="0" collapsed="false">
      <c r="A277" s="3" t="s">
        <v>1265</v>
      </c>
      <c r="B277" s="3" t="s">
        <v>89</v>
      </c>
      <c r="C277" s="3" t="n">
        <v>1509</v>
      </c>
      <c r="D277" s="3" t="s">
        <v>25</v>
      </c>
      <c r="E277" s="3" t="s">
        <v>1266</v>
      </c>
      <c r="F277" s="3" t="n">
        <v>3</v>
      </c>
      <c r="G277" s="3" t="s">
        <v>18</v>
      </c>
      <c r="H277" s="3" t="s">
        <v>19</v>
      </c>
      <c r="I277" s="3" t="s">
        <v>1267</v>
      </c>
      <c r="J277" s="3" t="s">
        <v>73</v>
      </c>
      <c r="K277" s="3" t="n">
        <v>6160</v>
      </c>
      <c r="L277" s="3" t="n">
        <v>800</v>
      </c>
      <c r="M277" s="3" t="n">
        <v>2400</v>
      </c>
      <c r="N277" s="3" t="s">
        <v>1268</v>
      </c>
    </row>
    <row r="278" customFormat="false" ht="15" hidden="false" customHeight="false" outlineLevel="0" collapsed="false">
      <c r="A278" s="2" t="s">
        <v>1269</v>
      </c>
      <c r="B278" s="2" t="s">
        <v>195</v>
      </c>
      <c r="C278" s="2" t="n">
        <v>1510</v>
      </c>
      <c r="D278" s="2" t="s">
        <v>49</v>
      </c>
      <c r="E278" s="2" t="s">
        <v>1270</v>
      </c>
      <c r="F278" s="2" t="n">
        <v>1</v>
      </c>
      <c r="G278" s="2" t="s">
        <v>27</v>
      </c>
      <c r="H278" s="2" t="s">
        <v>28</v>
      </c>
      <c r="I278" s="2" t="s">
        <v>1271</v>
      </c>
      <c r="J278" s="2" t="s">
        <v>30</v>
      </c>
      <c r="K278" s="2" t="n">
        <v>2600</v>
      </c>
      <c r="L278" s="2" t="n">
        <v>250</v>
      </c>
      <c r="M278" s="2" t="n">
        <v>250</v>
      </c>
      <c r="N278" s="2" t="s">
        <v>1272</v>
      </c>
    </row>
    <row r="279" customFormat="false" ht="15" hidden="false" customHeight="false" outlineLevel="0" collapsed="false">
      <c r="A279" s="3" t="s">
        <v>1216</v>
      </c>
      <c r="B279" s="3" t="s">
        <v>1273</v>
      </c>
      <c r="C279" s="3" t="n">
        <v>1511</v>
      </c>
      <c r="D279" s="3" t="s">
        <v>147</v>
      </c>
      <c r="E279" s="3" t="s">
        <v>531</v>
      </c>
      <c r="F279" s="3" t="n">
        <v>1</v>
      </c>
      <c r="G279" s="3" t="s">
        <v>27</v>
      </c>
      <c r="H279" s="3" t="s">
        <v>36</v>
      </c>
      <c r="I279" s="3" t="s">
        <v>1274</v>
      </c>
      <c r="J279" s="3" t="s">
        <v>192</v>
      </c>
      <c r="K279" s="3" t="n">
        <v>2000</v>
      </c>
      <c r="L279" s="3" t="n">
        <v>600</v>
      </c>
      <c r="M279" s="3" t="n">
        <v>600</v>
      </c>
      <c r="N279" s="3" t="s">
        <v>1275</v>
      </c>
    </row>
    <row r="280" customFormat="false" ht="15" hidden="false" customHeight="false" outlineLevel="0" collapsed="false">
      <c r="A280" s="2" t="s">
        <v>1276</v>
      </c>
      <c r="B280" s="2" t="s">
        <v>1277</v>
      </c>
      <c r="C280" s="2" t="n">
        <v>1512</v>
      </c>
      <c r="D280" s="2" t="s">
        <v>34</v>
      </c>
      <c r="E280" s="2" t="s">
        <v>1278</v>
      </c>
      <c r="F280" s="2" t="n">
        <v>3</v>
      </c>
      <c r="G280" s="2" t="s">
        <v>18</v>
      </c>
      <c r="H280" s="2" t="s">
        <v>121</v>
      </c>
      <c r="I280" s="2" t="s">
        <v>1279</v>
      </c>
      <c r="J280" s="2" t="s">
        <v>123</v>
      </c>
      <c r="K280" s="2" t="n">
        <v>800</v>
      </c>
      <c r="L280" s="2" t="n">
        <v>300</v>
      </c>
      <c r="M280" s="2" t="n">
        <v>900</v>
      </c>
      <c r="N280" s="2" t="s">
        <v>1280</v>
      </c>
    </row>
    <row r="281" customFormat="false" ht="15" hidden="false" customHeight="false" outlineLevel="0" collapsed="false">
      <c r="A281" s="3" t="s">
        <v>1281</v>
      </c>
      <c r="B281" s="3" t="s">
        <v>562</v>
      </c>
      <c r="C281" s="3" t="n">
        <v>1513</v>
      </c>
      <c r="D281" s="3" t="s">
        <v>34</v>
      </c>
      <c r="E281" s="3" t="s">
        <v>1282</v>
      </c>
      <c r="F281" s="3" t="n">
        <v>1</v>
      </c>
      <c r="G281" s="3" t="s">
        <v>18</v>
      </c>
      <c r="H281" s="3" t="s">
        <v>78</v>
      </c>
      <c r="I281" s="3" t="s">
        <v>1283</v>
      </c>
      <c r="J281" s="3" t="s">
        <v>408</v>
      </c>
      <c r="K281" s="3" t="n">
        <v>7310</v>
      </c>
      <c r="L281" s="3" t="n">
        <v>300</v>
      </c>
      <c r="M281" s="3" t="n">
        <v>300</v>
      </c>
      <c r="N281" s="3" t="s">
        <v>1284</v>
      </c>
    </row>
    <row r="282" customFormat="false" ht="15" hidden="false" customHeight="false" outlineLevel="0" collapsed="false">
      <c r="A282" s="2" t="s">
        <v>1285</v>
      </c>
      <c r="B282" s="2" t="s">
        <v>1286</v>
      </c>
      <c r="C282" s="2" t="n">
        <v>1514</v>
      </c>
      <c r="D282" s="2" t="s">
        <v>25</v>
      </c>
      <c r="E282" s="2" t="s">
        <v>1287</v>
      </c>
      <c r="F282" s="2" t="n">
        <v>3</v>
      </c>
      <c r="G282" s="2" t="s">
        <v>18</v>
      </c>
      <c r="H282" s="2" t="s">
        <v>28</v>
      </c>
      <c r="I282" s="2" t="s">
        <v>1288</v>
      </c>
      <c r="J282" s="2" t="s">
        <v>30</v>
      </c>
      <c r="K282" s="2" t="n">
        <v>2600</v>
      </c>
      <c r="L282" s="2" t="n">
        <v>800</v>
      </c>
      <c r="M282" s="2" t="n">
        <v>2400</v>
      </c>
      <c r="N282" s="2" t="s">
        <v>1289</v>
      </c>
    </row>
    <row r="283" customFormat="false" ht="15" hidden="false" customHeight="false" outlineLevel="0" collapsed="false">
      <c r="A283" s="3" t="s">
        <v>1290</v>
      </c>
      <c r="B283" s="3" t="s">
        <v>1291</v>
      </c>
      <c r="C283" s="3" t="n">
        <v>1515</v>
      </c>
      <c r="D283" s="3" t="s">
        <v>34</v>
      </c>
      <c r="E283" s="3" t="s">
        <v>1292</v>
      </c>
      <c r="F283" s="3" t="n">
        <v>2</v>
      </c>
      <c r="G283" s="3" t="s">
        <v>51</v>
      </c>
      <c r="H283" s="3" t="s">
        <v>59</v>
      </c>
      <c r="I283" s="3" t="s">
        <v>1293</v>
      </c>
      <c r="J283" s="3" t="s">
        <v>292</v>
      </c>
      <c r="K283" s="3" t="n">
        <v>5600</v>
      </c>
      <c r="L283" s="3" t="n">
        <v>300</v>
      </c>
      <c r="M283" s="3" t="n">
        <v>600</v>
      </c>
      <c r="N283" s="3" t="s">
        <v>1294</v>
      </c>
    </row>
    <row r="284" customFormat="false" ht="15" hidden="false" customHeight="false" outlineLevel="0" collapsed="false">
      <c r="A284" s="2" t="s">
        <v>1295</v>
      </c>
      <c r="B284" s="2" t="s">
        <v>1198</v>
      </c>
      <c r="C284" s="2" t="n">
        <v>1516</v>
      </c>
      <c r="D284" s="2" t="s">
        <v>34</v>
      </c>
      <c r="E284" s="2" t="s">
        <v>1296</v>
      </c>
      <c r="F284" s="2" t="n">
        <v>1</v>
      </c>
      <c r="G284" s="2" t="s">
        <v>97</v>
      </c>
      <c r="H284" s="2" t="s">
        <v>28</v>
      </c>
      <c r="I284" s="2" t="s">
        <v>1297</v>
      </c>
      <c r="J284" s="2" t="s">
        <v>30</v>
      </c>
      <c r="K284" s="2" t="n">
        <v>2600</v>
      </c>
      <c r="L284" s="2" t="n">
        <v>300</v>
      </c>
      <c r="M284" s="2" t="n">
        <v>300</v>
      </c>
      <c r="N284" s="2" t="s">
        <v>1298</v>
      </c>
    </row>
    <row r="285" customFormat="false" ht="15" hidden="false" customHeight="false" outlineLevel="0" collapsed="false">
      <c r="A285" s="3" t="s">
        <v>179</v>
      </c>
      <c r="B285" s="3" t="s">
        <v>1299</v>
      </c>
      <c r="C285" s="3" t="n">
        <v>1517</v>
      </c>
      <c r="D285" s="3" t="s">
        <v>147</v>
      </c>
      <c r="E285" s="3" t="s">
        <v>924</v>
      </c>
      <c r="F285" s="3" t="n">
        <v>2</v>
      </c>
      <c r="G285" s="3" t="s">
        <v>51</v>
      </c>
      <c r="H285" s="3" t="s">
        <v>78</v>
      </c>
      <c r="I285" s="3" t="s">
        <v>1300</v>
      </c>
      <c r="J285" s="3" t="s">
        <v>86</v>
      </c>
      <c r="K285" s="3" t="n">
        <v>7000</v>
      </c>
      <c r="L285" s="3" t="n">
        <v>600</v>
      </c>
      <c r="M285" s="3" t="n">
        <v>1200</v>
      </c>
      <c r="N285" s="3" t="s">
        <v>1301</v>
      </c>
    </row>
    <row r="286" customFormat="false" ht="15" hidden="false" customHeight="false" outlineLevel="0" collapsed="false">
      <c r="A286" s="2" t="s">
        <v>1228</v>
      </c>
      <c r="B286" s="2" t="s">
        <v>1302</v>
      </c>
      <c r="C286" s="2" t="n">
        <v>1518</v>
      </c>
      <c r="D286" s="2" t="s">
        <v>108</v>
      </c>
      <c r="E286" s="2" t="s">
        <v>971</v>
      </c>
      <c r="F286" s="2" t="n">
        <v>1</v>
      </c>
      <c r="G286" s="2" t="s">
        <v>97</v>
      </c>
      <c r="H286" s="2" t="s">
        <v>36</v>
      </c>
      <c r="I286" s="2" t="s">
        <v>1303</v>
      </c>
      <c r="J286" s="2" t="s">
        <v>192</v>
      </c>
      <c r="K286" s="2" t="n">
        <v>2000</v>
      </c>
      <c r="L286" s="2" t="n">
        <v>1200</v>
      </c>
      <c r="M286" s="2" t="n">
        <v>1200</v>
      </c>
      <c r="N286" s="2" t="s">
        <v>1304</v>
      </c>
    </row>
    <row r="287" customFormat="false" ht="15" hidden="false" customHeight="false" outlineLevel="0" collapsed="false">
      <c r="A287" s="3" t="s">
        <v>1305</v>
      </c>
      <c r="B287" s="3" t="s">
        <v>1306</v>
      </c>
      <c r="C287" s="3" t="n">
        <v>1519</v>
      </c>
      <c r="D287" s="3" t="s">
        <v>147</v>
      </c>
      <c r="E287" s="3" t="s">
        <v>251</v>
      </c>
      <c r="F287" s="3" t="n">
        <v>1</v>
      </c>
      <c r="G287" s="3" t="s">
        <v>18</v>
      </c>
      <c r="H287" s="3" t="s">
        <v>59</v>
      </c>
      <c r="I287" s="3" t="s">
        <v>1307</v>
      </c>
      <c r="J287" s="3" t="s">
        <v>61</v>
      </c>
      <c r="K287" s="3" t="n">
        <v>5290</v>
      </c>
      <c r="L287" s="3" t="n">
        <v>600</v>
      </c>
      <c r="M287" s="3" t="n">
        <v>600</v>
      </c>
      <c r="N287" s="3" t="s">
        <v>1308</v>
      </c>
    </row>
    <row r="288" customFormat="false" ht="15" hidden="false" customHeight="false" outlineLevel="0" collapsed="false">
      <c r="A288" s="2" t="s">
        <v>1309</v>
      </c>
      <c r="B288" s="2" t="s">
        <v>891</v>
      </c>
      <c r="C288" s="2" t="n">
        <v>1520</v>
      </c>
      <c r="D288" s="2" t="s">
        <v>49</v>
      </c>
      <c r="E288" s="2" t="s">
        <v>1310</v>
      </c>
      <c r="F288" s="2" t="n">
        <v>2</v>
      </c>
      <c r="G288" s="2" t="s">
        <v>51</v>
      </c>
      <c r="H288" s="2" t="s">
        <v>59</v>
      </c>
      <c r="I288" s="2" t="s">
        <v>1311</v>
      </c>
      <c r="J288" s="2" t="s">
        <v>99</v>
      </c>
      <c r="K288" s="2" t="n">
        <v>5000</v>
      </c>
      <c r="L288" s="2" t="n">
        <v>250</v>
      </c>
      <c r="M288" s="2" t="n">
        <v>500</v>
      </c>
      <c r="N288" s="2" t="s">
        <v>1312</v>
      </c>
    </row>
    <row r="289" customFormat="false" ht="15" hidden="false" customHeight="false" outlineLevel="0" collapsed="false">
      <c r="A289" s="3" t="s">
        <v>491</v>
      </c>
      <c r="B289" s="3" t="s">
        <v>1313</v>
      </c>
      <c r="C289" s="3" t="n">
        <v>1521</v>
      </c>
      <c r="D289" s="3" t="s">
        <v>108</v>
      </c>
      <c r="E289" s="3" t="s">
        <v>1314</v>
      </c>
      <c r="F289" s="3" t="n">
        <v>2</v>
      </c>
      <c r="G289" s="3" t="s">
        <v>18</v>
      </c>
      <c r="H289" s="3" t="s">
        <v>43</v>
      </c>
      <c r="I289" s="3" t="s">
        <v>1315</v>
      </c>
      <c r="J289" s="3" t="s">
        <v>45</v>
      </c>
      <c r="K289" s="3" t="n">
        <v>3350</v>
      </c>
      <c r="L289" s="3" t="n">
        <v>1200</v>
      </c>
      <c r="M289" s="3" t="n">
        <v>2400</v>
      </c>
      <c r="N289" s="3" t="s">
        <v>1316</v>
      </c>
    </row>
    <row r="290" customFormat="false" ht="15" hidden="false" customHeight="false" outlineLevel="0" collapsed="false">
      <c r="A290" s="2" t="s">
        <v>140</v>
      </c>
      <c r="B290" s="2" t="s">
        <v>1317</v>
      </c>
      <c r="C290" s="2" t="n">
        <v>1522</v>
      </c>
      <c r="D290" s="2" t="s">
        <v>108</v>
      </c>
      <c r="E290" s="2" t="s">
        <v>850</v>
      </c>
      <c r="F290" s="2" t="n">
        <v>3</v>
      </c>
      <c r="G290" s="2" t="s">
        <v>51</v>
      </c>
      <c r="H290" s="2" t="s">
        <v>43</v>
      </c>
      <c r="I290" s="2" t="s">
        <v>1318</v>
      </c>
      <c r="J290" s="2" t="s">
        <v>67</v>
      </c>
      <c r="K290" s="2" t="n">
        <v>3220</v>
      </c>
      <c r="L290" s="2" t="n">
        <v>1200</v>
      </c>
      <c r="M290" s="2" t="n">
        <v>3600</v>
      </c>
      <c r="N290" s="2" t="s">
        <v>1319</v>
      </c>
    </row>
    <row r="291" customFormat="false" ht="15" hidden="false" customHeight="false" outlineLevel="0" collapsed="false">
      <c r="A291" s="3" t="s">
        <v>873</v>
      </c>
      <c r="B291" s="3" t="s">
        <v>1320</v>
      </c>
      <c r="C291" s="3" t="n">
        <v>1523</v>
      </c>
      <c r="D291" s="3" t="s">
        <v>34</v>
      </c>
      <c r="E291" s="3" t="s">
        <v>1321</v>
      </c>
      <c r="F291" s="3" t="n">
        <v>1</v>
      </c>
      <c r="G291" s="3" t="s">
        <v>97</v>
      </c>
      <c r="H291" s="3" t="s">
        <v>43</v>
      </c>
      <c r="I291" s="3" t="s">
        <v>1322</v>
      </c>
      <c r="J291" s="3" t="s">
        <v>45</v>
      </c>
      <c r="K291" s="3" t="n">
        <v>3350</v>
      </c>
      <c r="L291" s="3" t="n">
        <v>300</v>
      </c>
      <c r="M291" s="3" t="n">
        <v>300</v>
      </c>
      <c r="N291" s="3" t="s">
        <v>1323</v>
      </c>
    </row>
    <row r="292" customFormat="false" ht="15" hidden="false" customHeight="false" outlineLevel="0" collapsed="false">
      <c r="A292" s="2" t="s">
        <v>1324</v>
      </c>
      <c r="B292" s="2" t="s">
        <v>1302</v>
      </c>
      <c r="C292" s="2" t="n">
        <v>1524</v>
      </c>
      <c r="D292" s="2" t="s">
        <v>16</v>
      </c>
      <c r="E292" s="2" t="s">
        <v>676</v>
      </c>
      <c r="F292" s="2" t="n">
        <v>1</v>
      </c>
      <c r="G292" s="2" t="s">
        <v>18</v>
      </c>
      <c r="H292" s="2" t="s">
        <v>121</v>
      </c>
      <c r="I292" s="2" t="s">
        <v>1325</v>
      </c>
      <c r="J292" s="2" t="s">
        <v>123</v>
      </c>
      <c r="K292" s="2" t="n">
        <v>800</v>
      </c>
      <c r="L292" s="2" t="n">
        <v>250</v>
      </c>
      <c r="M292" s="2" t="n">
        <v>250</v>
      </c>
      <c r="N292" s="2" t="s">
        <v>1326</v>
      </c>
    </row>
    <row r="293" customFormat="false" ht="15" hidden="false" customHeight="false" outlineLevel="0" collapsed="false">
      <c r="A293" s="3" t="s">
        <v>1327</v>
      </c>
      <c r="B293" s="3" t="s">
        <v>501</v>
      </c>
      <c r="C293" s="3" t="n">
        <v>1525</v>
      </c>
      <c r="D293" s="3" t="s">
        <v>108</v>
      </c>
      <c r="E293" s="3" t="s">
        <v>1328</v>
      </c>
      <c r="F293" s="3" t="n">
        <v>2</v>
      </c>
      <c r="G293" s="3" t="s">
        <v>97</v>
      </c>
      <c r="H293" s="3" t="s">
        <v>28</v>
      </c>
      <c r="I293" s="3" t="s">
        <v>1329</v>
      </c>
      <c r="J293" s="3" t="s">
        <v>30</v>
      </c>
      <c r="K293" s="3" t="n">
        <v>2600</v>
      </c>
      <c r="L293" s="3" t="n">
        <v>1200</v>
      </c>
      <c r="M293" s="3" t="n">
        <v>2400</v>
      </c>
      <c r="N293" s="3" t="s">
        <v>1330</v>
      </c>
    </row>
    <row r="294" customFormat="false" ht="15" hidden="false" customHeight="false" outlineLevel="0" collapsed="false">
      <c r="A294" s="2" t="s">
        <v>309</v>
      </c>
      <c r="B294" s="2" t="s">
        <v>500</v>
      </c>
      <c r="C294" s="2" t="n">
        <v>1526</v>
      </c>
      <c r="D294" s="2" t="s">
        <v>49</v>
      </c>
      <c r="E294" s="2" t="s">
        <v>349</v>
      </c>
      <c r="F294" s="2" t="n">
        <v>1</v>
      </c>
      <c r="G294" s="2" t="s">
        <v>18</v>
      </c>
      <c r="H294" s="2" t="s">
        <v>28</v>
      </c>
      <c r="I294" s="2" t="s">
        <v>1331</v>
      </c>
      <c r="J294" s="2" t="s">
        <v>30</v>
      </c>
      <c r="K294" s="2" t="n">
        <v>2600</v>
      </c>
      <c r="L294" s="2" t="n">
        <v>250</v>
      </c>
      <c r="M294" s="2" t="n">
        <v>250</v>
      </c>
      <c r="N294" s="2" t="s">
        <v>1332</v>
      </c>
    </row>
    <row r="295" customFormat="false" ht="15" hidden="false" customHeight="false" outlineLevel="0" collapsed="false">
      <c r="A295" s="3" t="s">
        <v>1333</v>
      </c>
      <c r="B295" s="3" t="s">
        <v>1334</v>
      </c>
      <c r="C295" s="3" t="n">
        <v>1527</v>
      </c>
      <c r="D295" s="3" t="s">
        <v>147</v>
      </c>
      <c r="E295" s="3" t="s">
        <v>326</v>
      </c>
      <c r="F295" s="3" t="n">
        <v>2</v>
      </c>
      <c r="G295" s="3" t="s">
        <v>18</v>
      </c>
      <c r="H295" s="3" t="s">
        <v>28</v>
      </c>
      <c r="I295" s="3" t="s">
        <v>1335</v>
      </c>
      <c r="J295" s="3" t="s">
        <v>30</v>
      </c>
      <c r="K295" s="3" t="n">
        <v>2600</v>
      </c>
      <c r="L295" s="3" t="n">
        <v>600</v>
      </c>
      <c r="M295" s="3" t="n">
        <v>1200</v>
      </c>
      <c r="N295" s="3" t="s">
        <v>1336</v>
      </c>
    </row>
    <row r="296" customFormat="false" ht="15" hidden="false" customHeight="false" outlineLevel="0" collapsed="false">
      <c r="A296" s="2" t="s">
        <v>596</v>
      </c>
      <c r="B296" s="2" t="s">
        <v>371</v>
      </c>
      <c r="C296" s="2" t="n">
        <v>1528</v>
      </c>
      <c r="D296" s="2" t="s">
        <v>108</v>
      </c>
      <c r="E296" s="2" t="s">
        <v>1337</v>
      </c>
      <c r="F296" s="2" t="n">
        <v>3</v>
      </c>
      <c r="G296" s="2" t="s">
        <v>18</v>
      </c>
      <c r="H296" s="2" t="s">
        <v>52</v>
      </c>
      <c r="I296" s="2" t="s">
        <v>1338</v>
      </c>
      <c r="J296" s="2" t="s">
        <v>92</v>
      </c>
      <c r="K296" s="2" t="n">
        <v>4870</v>
      </c>
      <c r="L296" s="2" t="n">
        <v>1200</v>
      </c>
      <c r="M296" s="2" t="n">
        <v>3600</v>
      </c>
      <c r="N296" s="2" t="s">
        <v>1339</v>
      </c>
    </row>
    <row r="297" customFormat="false" ht="15" hidden="false" customHeight="false" outlineLevel="0" collapsed="false">
      <c r="A297" s="3" t="s">
        <v>1299</v>
      </c>
      <c r="B297" s="3" t="s">
        <v>439</v>
      </c>
      <c r="C297" s="3" t="n">
        <v>1529</v>
      </c>
      <c r="D297" s="3" t="s">
        <v>25</v>
      </c>
      <c r="E297" s="3" t="s">
        <v>285</v>
      </c>
      <c r="F297" s="3" t="n">
        <v>2</v>
      </c>
      <c r="G297" s="3" t="s">
        <v>51</v>
      </c>
      <c r="H297" s="3" t="s">
        <v>121</v>
      </c>
      <c r="I297" s="3" t="s">
        <v>1340</v>
      </c>
      <c r="J297" s="3" t="s">
        <v>123</v>
      </c>
      <c r="K297" s="3" t="n">
        <v>800</v>
      </c>
      <c r="L297" s="3" t="n">
        <v>800</v>
      </c>
      <c r="M297" s="3" t="n">
        <v>1600</v>
      </c>
      <c r="N297" s="3" t="s">
        <v>1341</v>
      </c>
    </row>
    <row r="298" customFormat="false" ht="15" hidden="false" customHeight="false" outlineLevel="0" collapsed="false">
      <c r="A298" s="2" t="s">
        <v>1342</v>
      </c>
      <c r="B298" s="2" t="s">
        <v>1343</v>
      </c>
      <c r="C298" s="2" t="n">
        <v>1530</v>
      </c>
      <c r="D298" s="2" t="s">
        <v>108</v>
      </c>
      <c r="E298" s="2" t="s">
        <v>507</v>
      </c>
      <c r="F298" s="2" t="n">
        <v>3</v>
      </c>
      <c r="G298" s="2" t="s">
        <v>18</v>
      </c>
      <c r="H298" s="2" t="s">
        <v>28</v>
      </c>
      <c r="I298" s="2" t="s">
        <v>1344</v>
      </c>
      <c r="J298" s="2" t="s">
        <v>30</v>
      </c>
      <c r="K298" s="2" t="n">
        <v>2600</v>
      </c>
      <c r="L298" s="2" t="n">
        <v>1200</v>
      </c>
      <c r="M298" s="2" t="n">
        <v>3600</v>
      </c>
      <c r="N298" s="2" t="s">
        <v>1345</v>
      </c>
    </row>
    <row r="299" customFormat="false" ht="15" hidden="false" customHeight="false" outlineLevel="0" collapsed="false">
      <c r="A299" s="3" t="s">
        <v>1346</v>
      </c>
      <c r="B299" s="3" t="s">
        <v>1347</v>
      </c>
      <c r="C299" s="3" t="n">
        <v>1531</v>
      </c>
      <c r="D299" s="3" t="s">
        <v>16</v>
      </c>
      <c r="E299" s="3" t="s">
        <v>392</v>
      </c>
      <c r="F299" s="3" t="n">
        <v>3</v>
      </c>
      <c r="G299" s="3" t="s">
        <v>18</v>
      </c>
      <c r="H299" s="3" t="s">
        <v>121</v>
      </c>
      <c r="I299" s="3" t="s">
        <v>1348</v>
      </c>
      <c r="J299" s="3" t="s">
        <v>317</v>
      </c>
      <c r="K299" s="3" t="n">
        <v>870</v>
      </c>
      <c r="L299" s="3" t="n">
        <v>250</v>
      </c>
      <c r="M299" s="3" t="n">
        <v>750</v>
      </c>
      <c r="N299" s="3" t="s">
        <v>1349</v>
      </c>
    </row>
    <row r="300" customFormat="false" ht="15" hidden="false" customHeight="false" outlineLevel="0" collapsed="false">
      <c r="A300" s="2" t="s">
        <v>1350</v>
      </c>
      <c r="B300" s="2" t="s">
        <v>434</v>
      </c>
      <c r="C300" s="2" t="n">
        <v>1532</v>
      </c>
      <c r="D300" s="2" t="s">
        <v>34</v>
      </c>
      <c r="E300" s="2" t="s">
        <v>1351</v>
      </c>
      <c r="F300" s="2" t="n">
        <v>1</v>
      </c>
      <c r="G300" s="2" t="s">
        <v>18</v>
      </c>
      <c r="H300" s="2" t="s">
        <v>43</v>
      </c>
      <c r="I300" s="2" t="s">
        <v>1352</v>
      </c>
      <c r="J300" s="2" t="s">
        <v>45</v>
      </c>
      <c r="K300" s="2" t="n">
        <v>3350</v>
      </c>
      <c r="L300" s="2" t="n">
        <v>300</v>
      </c>
      <c r="M300" s="2" t="n">
        <v>300</v>
      </c>
      <c r="N300" s="2" t="s">
        <v>1353</v>
      </c>
    </row>
    <row r="301" customFormat="false" ht="15" hidden="false" customHeight="false" outlineLevel="0" collapsed="false">
      <c r="A301" s="3" t="s">
        <v>1354</v>
      </c>
      <c r="B301" s="3" t="s">
        <v>1355</v>
      </c>
      <c r="C301" s="3" t="n">
        <v>1533</v>
      </c>
      <c r="D301" s="3" t="s">
        <v>34</v>
      </c>
      <c r="E301" s="3" t="s">
        <v>1356</v>
      </c>
      <c r="F301" s="3" t="n">
        <v>1</v>
      </c>
      <c r="G301" s="3" t="s">
        <v>51</v>
      </c>
      <c r="H301" s="3" t="s">
        <v>52</v>
      </c>
      <c r="I301" s="3" t="s">
        <v>1357</v>
      </c>
      <c r="J301" s="3" t="s">
        <v>92</v>
      </c>
      <c r="K301" s="3" t="n">
        <v>4870</v>
      </c>
      <c r="L301" s="3" t="n">
        <v>300</v>
      </c>
      <c r="M301" s="3" t="n">
        <v>300</v>
      </c>
      <c r="N301" s="3" t="s">
        <v>1358</v>
      </c>
    </row>
    <row r="302" customFormat="false" ht="15" hidden="false" customHeight="false" outlineLevel="0" collapsed="false">
      <c r="A302" s="2" t="s">
        <v>1359</v>
      </c>
      <c r="B302" s="2" t="s">
        <v>1360</v>
      </c>
      <c r="C302" s="2" t="n">
        <v>1534</v>
      </c>
      <c r="D302" s="2" t="s">
        <v>25</v>
      </c>
      <c r="E302" s="2" t="s">
        <v>271</v>
      </c>
      <c r="F302" s="2" t="n">
        <v>1</v>
      </c>
      <c r="G302" s="2" t="s">
        <v>18</v>
      </c>
      <c r="H302" s="2" t="s">
        <v>52</v>
      </c>
      <c r="I302" s="2" t="s">
        <v>1361</v>
      </c>
      <c r="J302" s="2" t="s">
        <v>92</v>
      </c>
      <c r="K302" s="2" t="n">
        <v>4870</v>
      </c>
      <c r="L302" s="2" t="n">
        <v>800</v>
      </c>
      <c r="M302" s="2" t="n">
        <v>800</v>
      </c>
      <c r="N302" s="2" t="s">
        <v>1362</v>
      </c>
    </row>
    <row r="303" customFormat="false" ht="15" hidden="false" customHeight="false" outlineLevel="0" collapsed="false">
      <c r="A303" s="3" t="s">
        <v>1363</v>
      </c>
      <c r="B303" s="3" t="s">
        <v>57</v>
      </c>
      <c r="C303" s="3" t="n">
        <v>1535</v>
      </c>
      <c r="D303" s="3" t="s">
        <v>147</v>
      </c>
      <c r="E303" s="3" t="s">
        <v>231</v>
      </c>
      <c r="F303" s="3" t="n">
        <v>1</v>
      </c>
      <c r="G303" s="3" t="s">
        <v>18</v>
      </c>
      <c r="H303" s="3" t="s">
        <v>43</v>
      </c>
      <c r="I303" s="3" t="s">
        <v>1364</v>
      </c>
      <c r="J303" s="3" t="s">
        <v>67</v>
      </c>
      <c r="K303" s="3" t="n">
        <v>3220</v>
      </c>
      <c r="L303" s="3" t="n">
        <v>600</v>
      </c>
      <c r="M303" s="3" t="n">
        <v>600</v>
      </c>
      <c r="N303" s="3" t="s">
        <v>1365</v>
      </c>
    </row>
    <row r="304" customFormat="false" ht="15" hidden="false" customHeight="false" outlineLevel="0" collapsed="false">
      <c r="A304" s="2" t="s">
        <v>1366</v>
      </c>
      <c r="B304" s="2" t="s">
        <v>415</v>
      </c>
      <c r="C304" s="2" t="n">
        <v>1536</v>
      </c>
      <c r="D304" s="2" t="s">
        <v>49</v>
      </c>
      <c r="E304" s="2" t="s">
        <v>549</v>
      </c>
      <c r="F304" s="2" t="n">
        <v>3</v>
      </c>
      <c r="G304" s="2" t="s">
        <v>27</v>
      </c>
      <c r="H304" s="2" t="s">
        <v>52</v>
      </c>
      <c r="I304" s="2" t="s">
        <v>1367</v>
      </c>
      <c r="J304" s="2" t="s">
        <v>54</v>
      </c>
      <c r="K304" s="2" t="n">
        <v>4217</v>
      </c>
      <c r="L304" s="2" t="n">
        <v>250</v>
      </c>
      <c r="M304" s="2" t="n">
        <v>750</v>
      </c>
      <c r="N304" s="2" t="s">
        <v>1368</v>
      </c>
    </row>
    <row r="305" customFormat="false" ht="15" hidden="false" customHeight="false" outlineLevel="0" collapsed="false">
      <c r="A305" s="3" t="s">
        <v>819</v>
      </c>
      <c r="B305" s="3" t="s">
        <v>240</v>
      </c>
      <c r="C305" s="3" t="n">
        <v>1537</v>
      </c>
      <c r="D305" s="3" t="s">
        <v>16</v>
      </c>
      <c r="E305" s="3" t="s">
        <v>158</v>
      </c>
      <c r="F305" s="3" t="n">
        <v>1</v>
      </c>
      <c r="G305" s="3" t="s">
        <v>18</v>
      </c>
      <c r="H305" s="3" t="s">
        <v>43</v>
      </c>
      <c r="I305" s="3" t="s">
        <v>1369</v>
      </c>
      <c r="J305" s="3" t="s">
        <v>67</v>
      </c>
      <c r="K305" s="3" t="n">
        <v>3220</v>
      </c>
      <c r="L305" s="3" t="n">
        <v>250</v>
      </c>
      <c r="M305" s="3" t="n">
        <v>250</v>
      </c>
      <c r="N305" s="3" t="s">
        <v>1370</v>
      </c>
    </row>
    <row r="306" customFormat="false" ht="15" hidden="false" customHeight="false" outlineLevel="0" collapsed="false">
      <c r="A306" s="2" t="s">
        <v>1371</v>
      </c>
      <c r="B306" s="2" t="s">
        <v>1360</v>
      </c>
      <c r="C306" s="2" t="n">
        <v>1538</v>
      </c>
      <c r="D306" s="2" t="s">
        <v>25</v>
      </c>
      <c r="E306" s="2" t="s">
        <v>1372</v>
      </c>
      <c r="F306" s="2" t="n">
        <v>1</v>
      </c>
      <c r="G306" s="2" t="s">
        <v>51</v>
      </c>
      <c r="H306" s="2" t="s">
        <v>19</v>
      </c>
      <c r="I306" s="2" t="s">
        <v>1373</v>
      </c>
      <c r="J306" s="2" t="s">
        <v>176</v>
      </c>
      <c r="K306" s="2" t="n">
        <v>6000</v>
      </c>
      <c r="L306" s="2" t="n">
        <v>800</v>
      </c>
      <c r="M306" s="2" t="n">
        <v>800</v>
      </c>
      <c r="N306" s="2" t="s">
        <v>1374</v>
      </c>
    </row>
    <row r="307" customFormat="false" ht="15" hidden="false" customHeight="false" outlineLevel="0" collapsed="false">
      <c r="A307" s="3" t="s">
        <v>1375</v>
      </c>
      <c r="B307" s="3" t="s">
        <v>1376</v>
      </c>
      <c r="C307" s="3" t="n">
        <v>1539</v>
      </c>
      <c r="D307" s="3" t="s">
        <v>34</v>
      </c>
      <c r="E307" s="3" t="s">
        <v>301</v>
      </c>
      <c r="F307" s="3" t="n">
        <v>2</v>
      </c>
      <c r="G307" s="3" t="s">
        <v>18</v>
      </c>
      <c r="H307" s="3" t="s">
        <v>28</v>
      </c>
      <c r="I307" s="3" t="s">
        <v>1377</v>
      </c>
      <c r="J307" s="3" t="s">
        <v>30</v>
      </c>
      <c r="K307" s="3" t="n">
        <v>2600</v>
      </c>
      <c r="L307" s="3" t="n">
        <v>300</v>
      </c>
      <c r="M307" s="3" t="n">
        <v>600</v>
      </c>
      <c r="N307" s="3" t="s">
        <v>1378</v>
      </c>
    </row>
    <row r="308" customFormat="false" ht="15" hidden="false" customHeight="false" outlineLevel="0" collapsed="false">
      <c r="A308" s="2" t="s">
        <v>1379</v>
      </c>
      <c r="B308" s="2" t="s">
        <v>1380</v>
      </c>
      <c r="C308" s="2" t="n">
        <v>1540</v>
      </c>
      <c r="D308" s="2" t="s">
        <v>147</v>
      </c>
      <c r="E308" s="2" t="s">
        <v>285</v>
      </c>
      <c r="F308" s="2" t="n">
        <v>3</v>
      </c>
      <c r="G308" s="2" t="s">
        <v>51</v>
      </c>
      <c r="H308" s="2" t="s">
        <v>59</v>
      </c>
      <c r="I308" s="2" t="s">
        <v>1381</v>
      </c>
      <c r="J308" s="2" t="s">
        <v>99</v>
      </c>
      <c r="K308" s="2" t="n">
        <v>5000</v>
      </c>
      <c r="L308" s="2" t="n">
        <v>600</v>
      </c>
      <c r="M308" s="2" t="n">
        <v>1800</v>
      </c>
      <c r="N308" s="2" t="s">
        <v>1382</v>
      </c>
    </row>
    <row r="309" customFormat="false" ht="15" hidden="false" customHeight="false" outlineLevel="0" collapsed="false">
      <c r="A309" s="3" t="s">
        <v>865</v>
      </c>
      <c r="B309" s="3" t="s">
        <v>680</v>
      </c>
      <c r="C309" s="3" t="n">
        <v>1541</v>
      </c>
      <c r="D309" s="3" t="s">
        <v>34</v>
      </c>
      <c r="E309" s="3" t="s">
        <v>488</v>
      </c>
      <c r="F309" s="3" t="n">
        <v>3</v>
      </c>
      <c r="G309" s="3" t="s">
        <v>18</v>
      </c>
      <c r="H309" s="3" t="s">
        <v>121</v>
      </c>
      <c r="I309" s="3" t="s">
        <v>1383</v>
      </c>
      <c r="J309" s="3" t="s">
        <v>317</v>
      </c>
      <c r="K309" s="3" t="n">
        <v>870</v>
      </c>
      <c r="L309" s="3" t="n">
        <v>300</v>
      </c>
      <c r="M309" s="3" t="n">
        <v>900</v>
      </c>
      <c r="N309" s="3" t="s">
        <v>1384</v>
      </c>
    </row>
    <row r="310" customFormat="false" ht="15" hidden="false" customHeight="false" outlineLevel="0" collapsed="false">
      <c r="A310" s="2" t="s">
        <v>1385</v>
      </c>
      <c r="B310" s="2" t="s">
        <v>1386</v>
      </c>
      <c r="C310" s="2" t="n">
        <v>1542</v>
      </c>
      <c r="D310" s="2" t="s">
        <v>25</v>
      </c>
      <c r="E310" s="2" t="s">
        <v>995</v>
      </c>
      <c r="F310" s="2" t="n">
        <v>2</v>
      </c>
      <c r="G310" s="2" t="s">
        <v>18</v>
      </c>
      <c r="H310" s="2" t="s">
        <v>121</v>
      </c>
      <c r="I310" s="2" t="s">
        <v>1387</v>
      </c>
      <c r="J310" s="2" t="s">
        <v>123</v>
      </c>
      <c r="K310" s="2" t="n">
        <v>800</v>
      </c>
      <c r="L310" s="2" t="n">
        <v>800</v>
      </c>
      <c r="M310" s="2" t="n">
        <v>1600</v>
      </c>
      <c r="N310" s="2" t="s">
        <v>1388</v>
      </c>
    </row>
    <row r="311" customFormat="false" ht="15" hidden="false" customHeight="false" outlineLevel="0" collapsed="false">
      <c r="A311" s="3" t="s">
        <v>1389</v>
      </c>
      <c r="B311" s="3" t="s">
        <v>83</v>
      </c>
      <c r="C311" s="3" t="n">
        <v>1543</v>
      </c>
      <c r="D311" s="3" t="s">
        <v>49</v>
      </c>
      <c r="E311" s="3" t="s">
        <v>1132</v>
      </c>
      <c r="F311" s="3" t="n">
        <v>2</v>
      </c>
      <c r="G311" s="3" t="s">
        <v>97</v>
      </c>
      <c r="H311" s="3" t="s">
        <v>43</v>
      </c>
      <c r="I311" s="3" t="s">
        <v>1390</v>
      </c>
      <c r="J311" s="3" t="s">
        <v>111</v>
      </c>
      <c r="K311" s="3" t="n">
        <v>3000</v>
      </c>
      <c r="L311" s="3" t="n">
        <v>250</v>
      </c>
      <c r="M311" s="3" t="n">
        <v>500</v>
      </c>
      <c r="N311" s="3" t="s">
        <v>1391</v>
      </c>
    </row>
    <row r="312" customFormat="false" ht="15" hidden="false" customHeight="false" outlineLevel="0" collapsed="false">
      <c r="A312" s="2" t="s">
        <v>209</v>
      </c>
      <c r="B312" s="2" t="s">
        <v>1392</v>
      </c>
      <c r="C312" s="2" t="n">
        <v>1544</v>
      </c>
      <c r="D312" s="2" t="s">
        <v>147</v>
      </c>
      <c r="E312" s="2" t="s">
        <v>1393</v>
      </c>
      <c r="F312" s="2" t="n">
        <v>2</v>
      </c>
      <c r="G312" s="2" t="s">
        <v>51</v>
      </c>
      <c r="H312" s="2" t="s">
        <v>36</v>
      </c>
      <c r="I312" s="2" t="s">
        <v>1394</v>
      </c>
      <c r="J312" s="2" t="s">
        <v>192</v>
      </c>
      <c r="K312" s="2" t="n">
        <v>2000</v>
      </c>
      <c r="L312" s="2" t="n">
        <v>600</v>
      </c>
      <c r="M312" s="2" t="n">
        <v>1200</v>
      </c>
      <c r="N312" s="2" t="s">
        <v>1395</v>
      </c>
    </row>
    <row r="313" customFormat="false" ht="15" hidden="false" customHeight="false" outlineLevel="0" collapsed="false">
      <c r="A313" s="3" t="s">
        <v>1396</v>
      </c>
      <c r="B313" s="3" t="s">
        <v>772</v>
      </c>
      <c r="C313" s="3" t="n">
        <v>1545</v>
      </c>
      <c r="D313" s="3" t="s">
        <v>16</v>
      </c>
      <c r="E313" s="3" t="s">
        <v>1397</v>
      </c>
      <c r="F313" s="3" t="n">
        <v>3</v>
      </c>
      <c r="G313" s="3" t="s">
        <v>51</v>
      </c>
      <c r="H313" s="3" t="s">
        <v>78</v>
      </c>
      <c r="I313" s="3" t="s">
        <v>1398</v>
      </c>
      <c r="J313" s="3" t="s">
        <v>86</v>
      </c>
      <c r="K313" s="3" t="n">
        <v>7000</v>
      </c>
      <c r="L313" s="3" t="n">
        <v>250</v>
      </c>
      <c r="M313" s="3" t="n">
        <v>750</v>
      </c>
      <c r="N313" s="3" t="s">
        <v>1399</v>
      </c>
    </row>
    <row r="314" customFormat="false" ht="15" hidden="false" customHeight="false" outlineLevel="0" collapsed="false">
      <c r="A314" s="2" t="s">
        <v>1400</v>
      </c>
      <c r="B314" s="2" t="s">
        <v>1401</v>
      </c>
      <c r="C314" s="2" t="n">
        <v>1546</v>
      </c>
      <c r="D314" s="2" t="s">
        <v>108</v>
      </c>
      <c r="E314" s="2" t="s">
        <v>1402</v>
      </c>
      <c r="F314" s="2" t="n">
        <v>1</v>
      </c>
      <c r="G314" s="2" t="s">
        <v>51</v>
      </c>
      <c r="H314" s="2" t="s">
        <v>78</v>
      </c>
      <c r="I314" s="2" t="s">
        <v>1403</v>
      </c>
      <c r="J314" s="2" t="s">
        <v>408</v>
      </c>
      <c r="K314" s="2" t="n">
        <v>7310</v>
      </c>
      <c r="L314" s="2" t="n">
        <v>1200</v>
      </c>
      <c r="M314" s="2" t="n">
        <v>1200</v>
      </c>
      <c r="N314" s="2" t="s">
        <v>1404</v>
      </c>
    </row>
    <row r="315" customFormat="false" ht="15" hidden="false" customHeight="false" outlineLevel="0" collapsed="false">
      <c r="A315" s="3" t="s">
        <v>1405</v>
      </c>
      <c r="B315" s="3" t="s">
        <v>1406</v>
      </c>
      <c r="C315" s="3" t="n">
        <v>1547</v>
      </c>
      <c r="D315" s="3" t="s">
        <v>108</v>
      </c>
      <c r="E315" s="3" t="s">
        <v>1407</v>
      </c>
      <c r="F315" s="3" t="n">
        <v>3</v>
      </c>
      <c r="G315" s="3" t="s">
        <v>27</v>
      </c>
      <c r="H315" s="3" t="s">
        <v>43</v>
      </c>
      <c r="I315" s="3" t="s">
        <v>1408</v>
      </c>
      <c r="J315" s="3" t="s">
        <v>45</v>
      </c>
      <c r="K315" s="3" t="n">
        <v>3350</v>
      </c>
      <c r="L315" s="3" t="n">
        <v>1200</v>
      </c>
      <c r="M315" s="3" t="n">
        <v>3600</v>
      </c>
      <c r="N315" s="3" t="s">
        <v>1409</v>
      </c>
    </row>
    <row r="316" customFormat="false" ht="15" hidden="false" customHeight="false" outlineLevel="0" collapsed="false">
      <c r="A316" s="2" t="s">
        <v>1410</v>
      </c>
      <c r="B316" s="2" t="s">
        <v>57</v>
      </c>
      <c r="C316" s="2" t="n">
        <v>1548</v>
      </c>
      <c r="D316" s="2" t="s">
        <v>147</v>
      </c>
      <c r="E316" s="2" t="s">
        <v>1411</v>
      </c>
      <c r="F316" s="2" t="n">
        <v>3</v>
      </c>
      <c r="G316" s="2" t="s">
        <v>51</v>
      </c>
      <c r="H316" s="2" t="s">
        <v>19</v>
      </c>
      <c r="I316" s="2" t="s">
        <v>1412</v>
      </c>
      <c r="J316" s="2" t="s">
        <v>21</v>
      </c>
      <c r="K316" s="2" t="n">
        <v>6725</v>
      </c>
      <c r="L316" s="2" t="n">
        <v>600</v>
      </c>
      <c r="M316" s="2" t="n">
        <v>1800</v>
      </c>
      <c r="N316" s="2" t="s">
        <v>1413</v>
      </c>
    </row>
    <row r="317" customFormat="false" ht="15" hidden="false" customHeight="false" outlineLevel="0" collapsed="false">
      <c r="A317" s="3" t="s">
        <v>848</v>
      </c>
      <c r="B317" s="3" t="s">
        <v>1414</v>
      </c>
      <c r="C317" s="3" t="n">
        <v>1549</v>
      </c>
      <c r="D317" s="3" t="s">
        <v>49</v>
      </c>
      <c r="E317" s="3" t="s">
        <v>753</v>
      </c>
      <c r="F317" s="3" t="n">
        <v>1</v>
      </c>
      <c r="G317" s="3" t="s">
        <v>97</v>
      </c>
      <c r="H317" s="3" t="s">
        <v>43</v>
      </c>
      <c r="I317" s="3" t="s">
        <v>1415</v>
      </c>
      <c r="J317" s="3" t="s">
        <v>111</v>
      </c>
      <c r="K317" s="3" t="n">
        <v>3000</v>
      </c>
      <c r="L317" s="3" t="n">
        <v>250</v>
      </c>
      <c r="M317" s="3" t="n">
        <v>250</v>
      </c>
      <c r="N317" s="3" t="s">
        <v>1416</v>
      </c>
    </row>
    <row r="318" customFormat="false" ht="15" hidden="false" customHeight="false" outlineLevel="0" collapsed="false">
      <c r="A318" s="2" t="s">
        <v>1417</v>
      </c>
      <c r="B318" s="2" t="s">
        <v>1418</v>
      </c>
      <c r="C318" s="2" t="n">
        <v>1550</v>
      </c>
      <c r="D318" s="2" t="s">
        <v>108</v>
      </c>
      <c r="E318" s="2" t="s">
        <v>1419</v>
      </c>
      <c r="F318" s="2" t="n">
        <v>1</v>
      </c>
      <c r="G318" s="2" t="s">
        <v>27</v>
      </c>
      <c r="H318" s="2" t="s">
        <v>59</v>
      </c>
      <c r="I318" s="2" t="s">
        <v>1420</v>
      </c>
      <c r="J318" s="2" t="s">
        <v>61</v>
      </c>
      <c r="K318" s="2" t="n">
        <v>5290</v>
      </c>
      <c r="L318" s="2" t="n">
        <v>1200</v>
      </c>
      <c r="M318" s="2" t="n">
        <v>1200</v>
      </c>
      <c r="N318" s="2" t="s">
        <v>1421</v>
      </c>
    </row>
    <row r="319" customFormat="false" ht="15" hidden="false" customHeight="false" outlineLevel="0" collapsed="false">
      <c r="A319" s="3" t="s">
        <v>1422</v>
      </c>
      <c r="B319" s="3" t="s">
        <v>1423</v>
      </c>
      <c r="C319" s="3" t="n">
        <v>1551</v>
      </c>
      <c r="D319" s="3" t="s">
        <v>16</v>
      </c>
      <c r="E319" s="3" t="s">
        <v>1424</v>
      </c>
      <c r="F319" s="3" t="n">
        <v>1</v>
      </c>
      <c r="G319" s="3" t="s">
        <v>18</v>
      </c>
      <c r="H319" s="3" t="s">
        <v>36</v>
      </c>
      <c r="I319" s="3" t="s">
        <v>1425</v>
      </c>
      <c r="J319" s="3" t="s">
        <v>38</v>
      </c>
      <c r="K319" s="3" t="n">
        <v>2300</v>
      </c>
      <c r="L319" s="3" t="n">
        <v>250</v>
      </c>
      <c r="M319" s="3" t="n">
        <v>250</v>
      </c>
      <c r="N319" s="3" t="s">
        <v>1426</v>
      </c>
    </row>
    <row r="320" customFormat="false" ht="15" hidden="false" customHeight="false" outlineLevel="0" collapsed="false">
      <c r="A320" s="2" t="s">
        <v>1427</v>
      </c>
      <c r="B320" s="2" t="s">
        <v>1428</v>
      </c>
      <c r="C320" s="2" t="n">
        <v>1552</v>
      </c>
      <c r="D320" s="2" t="s">
        <v>49</v>
      </c>
      <c r="E320" s="2" t="s">
        <v>301</v>
      </c>
      <c r="F320" s="2" t="n">
        <v>2</v>
      </c>
      <c r="G320" s="2" t="s">
        <v>51</v>
      </c>
      <c r="H320" s="2" t="s">
        <v>43</v>
      </c>
      <c r="I320" s="2" t="s">
        <v>1429</v>
      </c>
      <c r="J320" s="2" t="s">
        <v>67</v>
      </c>
      <c r="K320" s="2" t="n">
        <v>3220</v>
      </c>
      <c r="L320" s="2" t="n">
        <v>250</v>
      </c>
      <c r="M320" s="2" t="n">
        <v>500</v>
      </c>
      <c r="N320" s="2" t="s">
        <v>1430</v>
      </c>
    </row>
    <row r="321" customFormat="false" ht="15" hidden="false" customHeight="false" outlineLevel="0" collapsed="false">
      <c r="A321" s="3" t="s">
        <v>1034</v>
      </c>
      <c r="B321" s="3" t="s">
        <v>900</v>
      </c>
      <c r="C321" s="3" t="n">
        <v>1553</v>
      </c>
      <c r="D321" s="3" t="s">
        <v>108</v>
      </c>
      <c r="E321" s="3" t="s">
        <v>266</v>
      </c>
      <c r="F321" s="3" t="n">
        <v>3</v>
      </c>
      <c r="G321" s="3" t="s">
        <v>18</v>
      </c>
      <c r="H321" s="3" t="s">
        <v>59</v>
      </c>
      <c r="I321" s="3" t="s">
        <v>1431</v>
      </c>
      <c r="J321" s="3" t="s">
        <v>99</v>
      </c>
      <c r="K321" s="3" t="n">
        <v>5000</v>
      </c>
      <c r="L321" s="3" t="n">
        <v>1200</v>
      </c>
      <c r="M321" s="3" t="n">
        <v>3600</v>
      </c>
      <c r="N321" s="3" t="s">
        <v>1432</v>
      </c>
    </row>
    <row r="322" customFormat="false" ht="15" hidden="false" customHeight="false" outlineLevel="0" collapsed="false">
      <c r="A322" s="2" t="s">
        <v>539</v>
      </c>
      <c r="B322" s="2" t="s">
        <v>1433</v>
      </c>
      <c r="C322" s="2" t="n">
        <v>1554</v>
      </c>
      <c r="D322" s="2" t="s">
        <v>49</v>
      </c>
      <c r="E322" s="2" t="s">
        <v>180</v>
      </c>
      <c r="F322" s="2" t="n">
        <v>1</v>
      </c>
      <c r="G322" s="2" t="s">
        <v>18</v>
      </c>
      <c r="H322" s="2" t="s">
        <v>52</v>
      </c>
      <c r="I322" s="2" t="s">
        <v>1434</v>
      </c>
      <c r="J322" s="2" t="s">
        <v>92</v>
      </c>
      <c r="K322" s="2" t="n">
        <v>4870</v>
      </c>
      <c r="L322" s="2" t="n">
        <v>250</v>
      </c>
      <c r="M322" s="2" t="n">
        <v>250</v>
      </c>
      <c r="N322" s="2" t="s">
        <v>1435</v>
      </c>
    </row>
    <row r="323" customFormat="false" ht="15" hidden="false" customHeight="false" outlineLevel="0" collapsed="false">
      <c r="A323" s="3" t="s">
        <v>1436</v>
      </c>
      <c r="B323" s="3" t="s">
        <v>1437</v>
      </c>
      <c r="C323" s="3" t="n">
        <v>1555</v>
      </c>
      <c r="D323" s="3" t="s">
        <v>25</v>
      </c>
      <c r="E323" s="3" t="s">
        <v>1132</v>
      </c>
      <c r="F323" s="3" t="n">
        <v>3</v>
      </c>
      <c r="G323" s="3" t="s">
        <v>51</v>
      </c>
      <c r="H323" s="3" t="s">
        <v>59</v>
      </c>
      <c r="I323" s="3" t="s">
        <v>1438</v>
      </c>
      <c r="J323" s="3" t="s">
        <v>61</v>
      </c>
      <c r="K323" s="3" t="n">
        <v>5290</v>
      </c>
      <c r="L323" s="3" t="n">
        <v>800</v>
      </c>
      <c r="M323" s="3" t="n">
        <v>2400</v>
      </c>
      <c r="N323" s="3" t="s">
        <v>1439</v>
      </c>
    </row>
    <row r="324" customFormat="false" ht="15" hidden="false" customHeight="false" outlineLevel="0" collapsed="false">
      <c r="A324" s="2" t="s">
        <v>1440</v>
      </c>
      <c r="B324" s="2" t="s">
        <v>1441</v>
      </c>
      <c r="C324" s="2" t="n">
        <v>1556</v>
      </c>
      <c r="D324" s="2" t="s">
        <v>25</v>
      </c>
      <c r="E324" s="2" t="s">
        <v>276</v>
      </c>
      <c r="F324" s="2" t="n">
        <v>2</v>
      </c>
      <c r="G324" s="2" t="s">
        <v>51</v>
      </c>
      <c r="H324" s="2" t="s">
        <v>19</v>
      </c>
      <c r="I324" s="2" t="s">
        <v>1442</v>
      </c>
      <c r="J324" s="2" t="s">
        <v>176</v>
      </c>
      <c r="K324" s="2" t="n">
        <v>6000</v>
      </c>
      <c r="L324" s="2" t="n">
        <v>800</v>
      </c>
      <c r="M324" s="2" t="n">
        <v>1600</v>
      </c>
      <c r="N324" s="2" t="s">
        <v>1443</v>
      </c>
    </row>
    <row r="325" customFormat="false" ht="15" hidden="false" customHeight="false" outlineLevel="0" collapsed="false">
      <c r="A325" s="3" t="s">
        <v>1444</v>
      </c>
      <c r="B325" s="3" t="s">
        <v>1445</v>
      </c>
      <c r="C325" s="3" t="n">
        <v>1557</v>
      </c>
      <c r="D325" s="3" t="s">
        <v>108</v>
      </c>
      <c r="E325" s="3" t="s">
        <v>1206</v>
      </c>
      <c r="F325" s="3" t="n">
        <v>3</v>
      </c>
      <c r="G325" s="3" t="s">
        <v>27</v>
      </c>
      <c r="H325" s="3" t="s">
        <v>59</v>
      </c>
      <c r="I325" s="3" t="s">
        <v>1446</v>
      </c>
      <c r="J325" s="3" t="s">
        <v>61</v>
      </c>
      <c r="K325" s="3" t="n">
        <v>5290</v>
      </c>
      <c r="L325" s="3" t="n">
        <v>1200</v>
      </c>
      <c r="M325" s="3" t="n">
        <v>3600</v>
      </c>
      <c r="N325" s="3" t="s">
        <v>1447</v>
      </c>
    </row>
    <row r="326" customFormat="false" ht="15" hidden="false" customHeight="false" outlineLevel="0" collapsed="false">
      <c r="A326" s="2" t="s">
        <v>1448</v>
      </c>
      <c r="B326" s="2" t="s">
        <v>107</v>
      </c>
      <c r="C326" s="2" t="n">
        <v>1558</v>
      </c>
      <c r="D326" s="2" t="s">
        <v>108</v>
      </c>
      <c r="E326" s="2" t="s">
        <v>870</v>
      </c>
      <c r="F326" s="2" t="n">
        <v>2</v>
      </c>
      <c r="G326" s="2" t="s">
        <v>51</v>
      </c>
      <c r="H326" s="2" t="s">
        <v>78</v>
      </c>
      <c r="I326" s="2" t="s">
        <v>1449</v>
      </c>
      <c r="J326" s="2" t="s">
        <v>408</v>
      </c>
      <c r="K326" s="2" t="n">
        <v>7310</v>
      </c>
      <c r="L326" s="2" t="n">
        <v>1200</v>
      </c>
      <c r="M326" s="2" t="n">
        <v>2400</v>
      </c>
      <c r="N326" s="2" t="s">
        <v>1450</v>
      </c>
    </row>
    <row r="327" customFormat="false" ht="15" hidden="false" customHeight="false" outlineLevel="0" collapsed="false">
      <c r="A327" s="3" t="s">
        <v>1451</v>
      </c>
      <c r="B327" s="3" t="s">
        <v>1452</v>
      </c>
      <c r="C327" s="3" t="n">
        <v>1559</v>
      </c>
      <c r="D327" s="3" t="s">
        <v>147</v>
      </c>
      <c r="E327" s="3" t="s">
        <v>1453</v>
      </c>
      <c r="F327" s="3" t="n">
        <v>3</v>
      </c>
      <c r="G327" s="3" t="s">
        <v>18</v>
      </c>
      <c r="H327" s="3" t="s">
        <v>36</v>
      </c>
      <c r="I327" s="3" t="s">
        <v>1454</v>
      </c>
      <c r="J327" s="3" t="s">
        <v>170</v>
      </c>
      <c r="K327" s="3" t="n">
        <v>2500</v>
      </c>
      <c r="L327" s="3" t="n">
        <v>600</v>
      </c>
      <c r="M327" s="3" t="n">
        <v>1800</v>
      </c>
      <c r="N327" s="3" t="s">
        <v>1455</v>
      </c>
    </row>
    <row r="328" customFormat="false" ht="15" hidden="false" customHeight="false" outlineLevel="0" collapsed="false">
      <c r="A328" s="2" t="s">
        <v>891</v>
      </c>
      <c r="B328" s="2" t="s">
        <v>1456</v>
      </c>
      <c r="C328" s="2" t="n">
        <v>1560</v>
      </c>
      <c r="D328" s="2" t="s">
        <v>16</v>
      </c>
      <c r="E328" s="2" t="s">
        <v>1457</v>
      </c>
      <c r="F328" s="2" t="n">
        <v>1</v>
      </c>
      <c r="G328" s="2" t="s">
        <v>97</v>
      </c>
      <c r="H328" s="2" t="s">
        <v>19</v>
      </c>
      <c r="I328" s="2" t="s">
        <v>1458</v>
      </c>
      <c r="J328" s="2" t="s">
        <v>21</v>
      </c>
      <c r="K328" s="2" t="n">
        <v>6725</v>
      </c>
      <c r="L328" s="2" t="n">
        <v>250</v>
      </c>
      <c r="M328" s="2" t="n">
        <v>250</v>
      </c>
      <c r="N328" s="2" t="s">
        <v>1459</v>
      </c>
    </row>
    <row r="329" customFormat="false" ht="15" hidden="false" customHeight="false" outlineLevel="0" collapsed="false">
      <c r="A329" s="3" t="s">
        <v>1460</v>
      </c>
      <c r="B329" s="3" t="s">
        <v>1461</v>
      </c>
      <c r="C329" s="3" t="n">
        <v>1561</v>
      </c>
      <c r="D329" s="3" t="s">
        <v>25</v>
      </c>
      <c r="E329" s="3" t="s">
        <v>850</v>
      </c>
      <c r="F329" s="3" t="n">
        <v>1</v>
      </c>
      <c r="G329" s="3" t="s">
        <v>18</v>
      </c>
      <c r="H329" s="3" t="s">
        <v>28</v>
      </c>
      <c r="I329" s="3" t="s">
        <v>1462</v>
      </c>
      <c r="J329" s="3" t="s">
        <v>30</v>
      </c>
      <c r="K329" s="3" t="n">
        <v>2600</v>
      </c>
      <c r="L329" s="3" t="n">
        <v>800</v>
      </c>
      <c r="M329" s="3" t="n">
        <v>800</v>
      </c>
      <c r="N329" s="3" t="s">
        <v>1463</v>
      </c>
    </row>
    <row r="330" customFormat="false" ht="15" hidden="false" customHeight="false" outlineLevel="0" collapsed="false">
      <c r="A330" s="2" t="s">
        <v>1464</v>
      </c>
      <c r="B330" s="2" t="s">
        <v>1465</v>
      </c>
      <c r="C330" s="2" t="n">
        <v>1562</v>
      </c>
      <c r="D330" s="2" t="s">
        <v>49</v>
      </c>
      <c r="E330" s="2" t="s">
        <v>1282</v>
      </c>
      <c r="F330" s="2" t="n">
        <v>3</v>
      </c>
      <c r="G330" s="2" t="s">
        <v>27</v>
      </c>
      <c r="H330" s="2" t="s">
        <v>36</v>
      </c>
      <c r="I330" s="2" t="s">
        <v>1466</v>
      </c>
      <c r="J330" s="2" t="s">
        <v>38</v>
      </c>
      <c r="K330" s="2" t="n">
        <v>2300</v>
      </c>
      <c r="L330" s="2" t="n">
        <v>250</v>
      </c>
      <c r="M330" s="2" t="n">
        <v>750</v>
      </c>
      <c r="N330" s="2" t="s">
        <v>1467</v>
      </c>
    </row>
    <row r="331" customFormat="false" ht="15" hidden="false" customHeight="false" outlineLevel="0" collapsed="false">
      <c r="A331" s="3" t="s">
        <v>1468</v>
      </c>
      <c r="B331" s="3" t="s">
        <v>230</v>
      </c>
      <c r="C331" s="3" t="n">
        <v>1563</v>
      </c>
      <c r="D331" s="3" t="s">
        <v>25</v>
      </c>
      <c r="E331" s="3" t="s">
        <v>266</v>
      </c>
      <c r="F331" s="3" t="n">
        <v>1</v>
      </c>
      <c r="G331" s="3" t="s">
        <v>18</v>
      </c>
      <c r="H331" s="3" t="s">
        <v>121</v>
      </c>
      <c r="I331" s="3" t="s">
        <v>1469</v>
      </c>
      <c r="J331" s="3" t="s">
        <v>317</v>
      </c>
      <c r="K331" s="3" t="n">
        <v>870</v>
      </c>
      <c r="L331" s="3" t="n">
        <v>800</v>
      </c>
      <c r="M331" s="3" t="n">
        <v>800</v>
      </c>
      <c r="N331" s="3" t="s">
        <v>1470</v>
      </c>
    </row>
    <row r="332" customFormat="false" ht="15" hidden="false" customHeight="false" outlineLevel="0" collapsed="false">
      <c r="A332" s="2" t="s">
        <v>1471</v>
      </c>
      <c r="B332" s="2" t="s">
        <v>622</v>
      </c>
      <c r="C332" s="2" t="n">
        <v>1564</v>
      </c>
      <c r="D332" s="2" t="s">
        <v>147</v>
      </c>
      <c r="E332" s="2" t="s">
        <v>1472</v>
      </c>
      <c r="F332" s="2" t="n">
        <v>2</v>
      </c>
      <c r="G332" s="2" t="s">
        <v>18</v>
      </c>
      <c r="H332" s="2" t="s">
        <v>19</v>
      </c>
      <c r="I332" s="2" t="s">
        <v>1473</v>
      </c>
      <c r="J332" s="2" t="s">
        <v>73</v>
      </c>
      <c r="K332" s="2" t="n">
        <v>6160</v>
      </c>
      <c r="L332" s="2" t="n">
        <v>600</v>
      </c>
      <c r="M332" s="2" t="n">
        <v>1200</v>
      </c>
      <c r="N332" s="2" t="s">
        <v>1474</v>
      </c>
    </row>
    <row r="333" customFormat="false" ht="15" hidden="false" customHeight="false" outlineLevel="0" collapsed="false">
      <c r="A333" s="3" t="s">
        <v>1475</v>
      </c>
      <c r="B333" s="3" t="s">
        <v>1476</v>
      </c>
      <c r="C333" s="3" t="n">
        <v>1565</v>
      </c>
      <c r="D333" s="3" t="s">
        <v>25</v>
      </c>
      <c r="E333" s="3" t="s">
        <v>435</v>
      </c>
      <c r="F333" s="3" t="n">
        <v>2</v>
      </c>
      <c r="G333" s="3" t="s">
        <v>18</v>
      </c>
      <c r="H333" s="3" t="s">
        <v>59</v>
      </c>
      <c r="I333" s="3" t="s">
        <v>1477</v>
      </c>
      <c r="J333" s="3" t="s">
        <v>61</v>
      </c>
      <c r="K333" s="3" t="n">
        <v>5290</v>
      </c>
      <c r="L333" s="3" t="n">
        <v>800</v>
      </c>
      <c r="M333" s="3" t="n">
        <v>1600</v>
      </c>
      <c r="N333" s="3" t="s">
        <v>1478</v>
      </c>
    </row>
    <row r="334" customFormat="false" ht="15" hidden="false" customHeight="false" outlineLevel="0" collapsed="false">
      <c r="A334" s="2" t="s">
        <v>1479</v>
      </c>
      <c r="B334" s="2" t="s">
        <v>1480</v>
      </c>
      <c r="C334" s="2" t="n">
        <v>1566</v>
      </c>
      <c r="D334" s="2" t="s">
        <v>34</v>
      </c>
      <c r="E334" s="2" t="s">
        <v>1039</v>
      </c>
      <c r="F334" s="2" t="n">
        <v>3</v>
      </c>
      <c r="G334" s="2" t="s">
        <v>18</v>
      </c>
      <c r="H334" s="2" t="s">
        <v>43</v>
      </c>
      <c r="I334" s="2" t="s">
        <v>1481</v>
      </c>
      <c r="J334" s="2" t="s">
        <v>45</v>
      </c>
      <c r="K334" s="2" t="n">
        <v>3350</v>
      </c>
      <c r="L334" s="2" t="n">
        <v>300</v>
      </c>
      <c r="M334" s="2" t="n">
        <v>900</v>
      </c>
      <c r="N334" s="2" t="s">
        <v>1482</v>
      </c>
    </row>
    <row r="335" customFormat="false" ht="15" hidden="false" customHeight="false" outlineLevel="0" collapsed="false">
      <c r="A335" s="3" t="s">
        <v>1483</v>
      </c>
      <c r="B335" s="3" t="s">
        <v>1484</v>
      </c>
      <c r="C335" s="3" t="n">
        <v>1567</v>
      </c>
      <c r="D335" s="3" t="s">
        <v>49</v>
      </c>
      <c r="E335" s="3" t="s">
        <v>697</v>
      </c>
      <c r="F335" s="3" t="n">
        <v>2</v>
      </c>
      <c r="G335" s="3" t="s">
        <v>27</v>
      </c>
      <c r="H335" s="3" t="s">
        <v>121</v>
      </c>
      <c r="I335" s="3" t="s">
        <v>1485</v>
      </c>
      <c r="J335" s="3" t="s">
        <v>123</v>
      </c>
      <c r="K335" s="3" t="n">
        <v>800</v>
      </c>
      <c r="L335" s="3" t="n">
        <v>250</v>
      </c>
      <c r="M335" s="3" t="n">
        <v>500</v>
      </c>
      <c r="N335" s="3" t="s">
        <v>1486</v>
      </c>
    </row>
    <row r="336" customFormat="false" ht="15" hidden="false" customHeight="false" outlineLevel="0" collapsed="false">
      <c r="A336" s="2" t="s">
        <v>1487</v>
      </c>
      <c r="B336" s="2" t="s">
        <v>1030</v>
      </c>
      <c r="C336" s="2" t="n">
        <v>1568</v>
      </c>
      <c r="D336" s="2" t="s">
        <v>25</v>
      </c>
      <c r="E336" s="2" t="s">
        <v>892</v>
      </c>
      <c r="F336" s="2" t="n">
        <v>2</v>
      </c>
      <c r="G336" s="2" t="s">
        <v>18</v>
      </c>
      <c r="H336" s="2" t="s">
        <v>36</v>
      </c>
      <c r="I336" s="2" t="s">
        <v>1488</v>
      </c>
      <c r="J336" s="2" t="s">
        <v>192</v>
      </c>
      <c r="K336" s="2" t="n">
        <v>2000</v>
      </c>
      <c r="L336" s="2" t="n">
        <v>800</v>
      </c>
      <c r="M336" s="2" t="n">
        <v>1600</v>
      </c>
      <c r="N336" s="2" t="s">
        <v>1489</v>
      </c>
    </row>
    <row r="337" customFormat="false" ht="15" hidden="false" customHeight="false" outlineLevel="0" collapsed="false">
      <c r="A337" s="3" t="s">
        <v>1490</v>
      </c>
      <c r="B337" s="3" t="s">
        <v>1491</v>
      </c>
      <c r="C337" s="3" t="n">
        <v>1569</v>
      </c>
      <c r="D337" s="3" t="s">
        <v>16</v>
      </c>
      <c r="E337" s="3" t="s">
        <v>1328</v>
      </c>
      <c r="F337" s="3" t="n">
        <v>2</v>
      </c>
      <c r="G337" s="3" t="s">
        <v>51</v>
      </c>
      <c r="H337" s="3" t="s">
        <v>28</v>
      </c>
      <c r="I337" s="3" t="s">
        <v>1492</v>
      </c>
      <c r="J337" s="3" t="s">
        <v>30</v>
      </c>
      <c r="K337" s="3" t="n">
        <v>2600</v>
      </c>
      <c r="L337" s="3" t="n">
        <v>250</v>
      </c>
      <c r="M337" s="3" t="n">
        <v>500</v>
      </c>
      <c r="N337" s="3" t="s">
        <v>1493</v>
      </c>
    </row>
    <row r="338" customFormat="false" ht="15" hidden="false" customHeight="false" outlineLevel="0" collapsed="false">
      <c r="A338" s="2" t="s">
        <v>1494</v>
      </c>
      <c r="B338" s="2" t="s">
        <v>935</v>
      </c>
      <c r="C338" s="2" t="n">
        <v>1570</v>
      </c>
      <c r="D338" s="2" t="s">
        <v>147</v>
      </c>
      <c r="E338" s="2" t="s">
        <v>1495</v>
      </c>
      <c r="F338" s="2" t="n">
        <v>2</v>
      </c>
      <c r="G338" s="2" t="s">
        <v>51</v>
      </c>
      <c r="H338" s="2" t="s">
        <v>19</v>
      </c>
      <c r="I338" s="2" t="s">
        <v>1496</v>
      </c>
      <c r="J338" s="2" t="s">
        <v>73</v>
      </c>
      <c r="K338" s="2" t="n">
        <v>6160</v>
      </c>
      <c r="L338" s="2" t="n">
        <v>600</v>
      </c>
      <c r="M338" s="2" t="n">
        <v>1200</v>
      </c>
      <c r="N338" s="2" t="s">
        <v>1497</v>
      </c>
    </row>
    <row r="339" customFormat="false" ht="15" hidden="false" customHeight="false" outlineLevel="0" collapsed="false">
      <c r="A339" s="3" t="s">
        <v>352</v>
      </c>
      <c r="B339" s="3" t="s">
        <v>1498</v>
      </c>
      <c r="C339" s="3" t="n">
        <v>1571</v>
      </c>
      <c r="D339" s="3" t="s">
        <v>108</v>
      </c>
      <c r="E339" s="3" t="s">
        <v>190</v>
      </c>
      <c r="F339" s="3" t="n">
        <v>1</v>
      </c>
      <c r="G339" s="3" t="s">
        <v>51</v>
      </c>
      <c r="H339" s="3" t="s">
        <v>28</v>
      </c>
      <c r="I339" s="3" t="s">
        <v>1499</v>
      </c>
      <c r="J339" s="3" t="s">
        <v>30</v>
      </c>
      <c r="K339" s="3" t="n">
        <v>2600</v>
      </c>
      <c r="L339" s="3" t="n">
        <v>1200</v>
      </c>
      <c r="M339" s="3" t="n">
        <v>1200</v>
      </c>
      <c r="N339" s="3" t="s">
        <v>1500</v>
      </c>
    </row>
    <row r="340" customFormat="false" ht="15" hidden="false" customHeight="false" outlineLevel="0" collapsed="false">
      <c r="A340" s="2" t="s">
        <v>1501</v>
      </c>
      <c r="B340" s="2" t="s">
        <v>391</v>
      </c>
      <c r="C340" s="2" t="n">
        <v>1572</v>
      </c>
      <c r="D340" s="2" t="s">
        <v>25</v>
      </c>
      <c r="E340" s="2" t="s">
        <v>469</v>
      </c>
      <c r="F340" s="2" t="n">
        <v>3</v>
      </c>
      <c r="G340" s="2" t="s">
        <v>51</v>
      </c>
      <c r="H340" s="2" t="s">
        <v>78</v>
      </c>
      <c r="I340" s="2" t="s">
        <v>1502</v>
      </c>
      <c r="J340" s="2" t="s">
        <v>80</v>
      </c>
      <c r="K340" s="2" t="n">
        <v>7250</v>
      </c>
      <c r="L340" s="2" t="n">
        <v>800</v>
      </c>
      <c r="M340" s="2" t="n">
        <v>2400</v>
      </c>
      <c r="N340" s="2" t="s">
        <v>1503</v>
      </c>
    </row>
    <row r="341" customFormat="false" ht="15" hidden="false" customHeight="false" outlineLevel="0" collapsed="false">
      <c r="A341" s="3" t="s">
        <v>433</v>
      </c>
      <c r="B341" s="3" t="s">
        <v>1086</v>
      </c>
      <c r="C341" s="3" t="n">
        <v>1573</v>
      </c>
      <c r="D341" s="3" t="s">
        <v>16</v>
      </c>
      <c r="E341" s="3" t="s">
        <v>845</v>
      </c>
      <c r="F341" s="3" t="n">
        <v>1</v>
      </c>
      <c r="G341" s="3" t="s">
        <v>18</v>
      </c>
      <c r="H341" s="3" t="s">
        <v>52</v>
      </c>
      <c r="I341" s="3" t="s">
        <v>1504</v>
      </c>
      <c r="J341" s="3" t="s">
        <v>54</v>
      </c>
      <c r="K341" s="3" t="n">
        <v>4217</v>
      </c>
      <c r="L341" s="3" t="n">
        <v>250</v>
      </c>
      <c r="M341" s="3" t="n">
        <v>250</v>
      </c>
      <c r="N341" s="3" t="s">
        <v>1505</v>
      </c>
    </row>
    <row r="342" customFormat="false" ht="15" hidden="false" customHeight="false" outlineLevel="0" collapsed="false">
      <c r="A342" s="2" t="s">
        <v>584</v>
      </c>
      <c r="B342" s="2" t="s">
        <v>1506</v>
      </c>
      <c r="C342" s="2" t="n">
        <v>1574</v>
      </c>
      <c r="D342" s="2" t="s">
        <v>147</v>
      </c>
      <c r="E342" s="2" t="s">
        <v>1507</v>
      </c>
      <c r="F342" s="2" t="n">
        <v>3</v>
      </c>
      <c r="G342" s="2" t="s">
        <v>27</v>
      </c>
      <c r="H342" s="2" t="s">
        <v>78</v>
      </c>
      <c r="I342" s="2" t="s">
        <v>1508</v>
      </c>
      <c r="J342" s="2" t="s">
        <v>80</v>
      </c>
      <c r="K342" s="2" t="n">
        <v>7250</v>
      </c>
      <c r="L342" s="2" t="n">
        <v>600</v>
      </c>
      <c r="M342" s="2" t="n">
        <v>1800</v>
      </c>
      <c r="N342" s="2" t="s">
        <v>1509</v>
      </c>
    </row>
    <row r="343" customFormat="false" ht="15" hidden="false" customHeight="false" outlineLevel="0" collapsed="false">
      <c r="A343" s="3" t="s">
        <v>1085</v>
      </c>
      <c r="B343" s="3" t="s">
        <v>1510</v>
      </c>
      <c r="C343" s="3" t="n">
        <v>1575</v>
      </c>
      <c r="D343" s="3" t="s">
        <v>25</v>
      </c>
      <c r="E343" s="3" t="s">
        <v>1248</v>
      </c>
      <c r="F343" s="3" t="n">
        <v>3</v>
      </c>
      <c r="G343" s="3" t="s">
        <v>18</v>
      </c>
      <c r="H343" s="3" t="s">
        <v>28</v>
      </c>
      <c r="I343" s="3" t="s">
        <v>1511</v>
      </c>
      <c r="J343" s="3" t="s">
        <v>30</v>
      </c>
      <c r="K343" s="3" t="n">
        <v>2600</v>
      </c>
      <c r="L343" s="3" t="n">
        <v>800</v>
      </c>
      <c r="M343" s="3" t="n">
        <v>2400</v>
      </c>
      <c r="N343" s="3" t="s">
        <v>1512</v>
      </c>
    </row>
    <row r="344" customFormat="false" ht="15" hidden="false" customHeight="false" outlineLevel="0" collapsed="false">
      <c r="A344" s="2" t="s">
        <v>1513</v>
      </c>
      <c r="B344" s="2" t="s">
        <v>1514</v>
      </c>
      <c r="C344" s="2" t="n">
        <v>1576</v>
      </c>
      <c r="D344" s="2" t="s">
        <v>49</v>
      </c>
      <c r="E344" s="2" t="s">
        <v>1515</v>
      </c>
      <c r="F344" s="2" t="n">
        <v>2</v>
      </c>
      <c r="G344" s="2" t="s">
        <v>18</v>
      </c>
      <c r="H344" s="2" t="s">
        <v>121</v>
      </c>
      <c r="I344" s="2" t="s">
        <v>1516</v>
      </c>
      <c r="J344" s="2" t="s">
        <v>123</v>
      </c>
      <c r="K344" s="2" t="n">
        <v>800</v>
      </c>
      <c r="L344" s="2" t="n">
        <v>250</v>
      </c>
      <c r="M344" s="2" t="n">
        <v>500</v>
      </c>
      <c r="N344" s="2" t="s">
        <v>1517</v>
      </c>
    </row>
    <row r="345" customFormat="false" ht="15" hidden="false" customHeight="false" outlineLevel="0" collapsed="false">
      <c r="A345" s="3" t="s">
        <v>1518</v>
      </c>
      <c r="B345" s="3" t="s">
        <v>1519</v>
      </c>
      <c r="C345" s="3" t="n">
        <v>1577</v>
      </c>
      <c r="D345" s="3" t="s">
        <v>108</v>
      </c>
      <c r="E345" s="3" t="s">
        <v>995</v>
      </c>
      <c r="F345" s="3" t="n">
        <v>1</v>
      </c>
      <c r="G345" s="3" t="s">
        <v>51</v>
      </c>
      <c r="H345" s="3" t="s">
        <v>43</v>
      </c>
      <c r="I345" s="3" t="s">
        <v>1520</v>
      </c>
      <c r="J345" s="3" t="s">
        <v>45</v>
      </c>
      <c r="K345" s="3" t="n">
        <v>3350</v>
      </c>
      <c r="L345" s="3" t="n">
        <v>1200</v>
      </c>
      <c r="M345" s="3" t="n">
        <v>1200</v>
      </c>
      <c r="N345" s="3" t="s">
        <v>1521</v>
      </c>
    </row>
    <row r="346" customFormat="false" ht="15" hidden="false" customHeight="false" outlineLevel="0" collapsed="false">
      <c r="A346" s="2" t="s">
        <v>914</v>
      </c>
      <c r="B346" s="2" t="s">
        <v>1522</v>
      </c>
      <c r="C346" s="2" t="n">
        <v>1578</v>
      </c>
      <c r="D346" s="2" t="s">
        <v>25</v>
      </c>
      <c r="E346" s="2" t="s">
        <v>1523</v>
      </c>
      <c r="F346" s="2" t="n">
        <v>2</v>
      </c>
      <c r="G346" s="2" t="s">
        <v>97</v>
      </c>
      <c r="H346" s="2" t="s">
        <v>59</v>
      </c>
      <c r="I346" s="2" t="s">
        <v>1524</v>
      </c>
      <c r="J346" s="2" t="s">
        <v>61</v>
      </c>
      <c r="K346" s="2" t="n">
        <v>5290</v>
      </c>
      <c r="L346" s="2" t="n">
        <v>800</v>
      </c>
      <c r="M346" s="2" t="n">
        <v>1600</v>
      </c>
      <c r="N346" s="2" t="s">
        <v>1525</v>
      </c>
    </row>
    <row r="347" customFormat="false" ht="15" hidden="false" customHeight="false" outlineLevel="0" collapsed="false">
      <c r="A347" s="3" t="s">
        <v>424</v>
      </c>
      <c r="B347" s="3" t="s">
        <v>1526</v>
      </c>
      <c r="C347" s="3" t="n">
        <v>1579</v>
      </c>
      <c r="D347" s="3" t="s">
        <v>108</v>
      </c>
      <c r="E347" s="3" t="s">
        <v>497</v>
      </c>
      <c r="F347" s="3" t="n">
        <v>1</v>
      </c>
      <c r="G347" s="3" t="s">
        <v>27</v>
      </c>
      <c r="H347" s="3" t="s">
        <v>59</v>
      </c>
      <c r="I347" s="3" t="s">
        <v>1527</v>
      </c>
      <c r="J347" s="3" t="s">
        <v>99</v>
      </c>
      <c r="K347" s="3" t="n">
        <v>5000</v>
      </c>
      <c r="L347" s="3" t="n">
        <v>1200</v>
      </c>
      <c r="M347" s="3" t="n">
        <v>1200</v>
      </c>
      <c r="N347" s="3" t="s">
        <v>1528</v>
      </c>
    </row>
    <row r="348" customFormat="false" ht="15" hidden="false" customHeight="false" outlineLevel="0" collapsed="false">
      <c r="A348" s="2" t="s">
        <v>524</v>
      </c>
      <c r="B348" s="2" t="s">
        <v>1529</v>
      </c>
      <c r="C348" s="2" t="n">
        <v>1580</v>
      </c>
      <c r="D348" s="2" t="s">
        <v>34</v>
      </c>
      <c r="E348" s="2" t="s">
        <v>1530</v>
      </c>
      <c r="F348" s="2" t="n">
        <v>3</v>
      </c>
      <c r="G348" s="2" t="s">
        <v>18</v>
      </c>
      <c r="H348" s="2" t="s">
        <v>121</v>
      </c>
      <c r="I348" s="2" t="s">
        <v>1531</v>
      </c>
      <c r="J348" s="2" t="s">
        <v>317</v>
      </c>
      <c r="K348" s="2" t="n">
        <v>870</v>
      </c>
      <c r="L348" s="2" t="n">
        <v>300</v>
      </c>
      <c r="M348" s="2" t="n">
        <v>900</v>
      </c>
      <c r="N348" s="2" t="s">
        <v>1532</v>
      </c>
    </row>
    <row r="349" customFormat="false" ht="15" hidden="false" customHeight="false" outlineLevel="0" collapsed="false">
      <c r="A349" s="3" t="s">
        <v>1533</v>
      </c>
      <c r="B349" s="3" t="s">
        <v>1100</v>
      </c>
      <c r="C349" s="3" t="n">
        <v>1581</v>
      </c>
      <c r="D349" s="3" t="s">
        <v>147</v>
      </c>
      <c r="E349" s="3" t="s">
        <v>1534</v>
      </c>
      <c r="F349" s="3" t="n">
        <v>3</v>
      </c>
      <c r="G349" s="3" t="s">
        <v>51</v>
      </c>
      <c r="H349" s="3" t="s">
        <v>121</v>
      </c>
      <c r="I349" s="3" t="s">
        <v>1535</v>
      </c>
      <c r="J349" s="3" t="s">
        <v>317</v>
      </c>
      <c r="K349" s="3" t="n">
        <v>870</v>
      </c>
      <c r="L349" s="3" t="n">
        <v>600</v>
      </c>
      <c r="M349" s="3" t="n">
        <v>1800</v>
      </c>
      <c r="N349" s="3" t="s">
        <v>1536</v>
      </c>
    </row>
    <row r="350" customFormat="false" ht="15" hidden="false" customHeight="false" outlineLevel="0" collapsed="false">
      <c r="A350" s="2" t="s">
        <v>283</v>
      </c>
      <c r="B350" s="2" t="s">
        <v>1537</v>
      </c>
      <c r="C350" s="2" t="n">
        <v>1582</v>
      </c>
      <c r="D350" s="2" t="s">
        <v>108</v>
      </c>
      <c r="E350" s="2" t="s">
        <v>1538</v>
      </c>
      <c r="F350" s="2" t="n">
        <v>1</v>
      </c>
      <c r="G350" s="2" t="s">
        <v>51</v>
      </c>
      <c r="H350" s="2" t="s">
        <v>78</v>
      </c>
      <c r="I350" s="2" t="s">
        <v>1539</v>
      </c>
      <c r="J350" s="2" t="s">
        <v>86</v>
      </c>
      <c r="K350" s="2" t="n">
        <v>7000</v>
      </c>
      <c r="L350" s="2" t="n">
        <v>1200</v>
      </c>
      <c r="M350" s="2" t="n">
        <v>1200</v>
      </c>
      <c r="N350" s="2" t="s">
        <v>1540</v>
      </c>
    </row>
    <row r="351" customFormat="false" ht="15" hidden="false" customHeight="false" outlineLevel="0" collapsed="false">
      <c r="A351" s="3" t="s">
        <v>1541</v>
      </c>
      <c r="B351" s="3" t="s">
        <v>1542</v>
      </c>
      <c r="C351" s="3" t="n">
        <v>1583</v>
      </c>
      <c r="D351" s="3" t="s">
        <v>147</v>
      </c>
      <c r="E351" s="3" t="s">
        <v>1543</v>
      </c>
      <c r="F351" s="3" t="n">
        <v>3</v>
      </c>
      <c r="G351" s="3" t="s">
        <v>51</v>
      </c>
      <c r="H351" s="3" t="s">
        <v>59</v>
      </c>
      <c r="I351" s="3" t="s">
        <v>1544</v>
      </c>
      <c r="J351" s="3" t="s">
        <v>61</v>
      </c>
      <c r="K351" s="3" t="n">
        <v>5290</v>
      </c>
      <c r="L351" s="3" t="n">
        <v>600</v>
      </c>
      <c r="M351" s="3" t="n">
        <v>1800</v>
      </c>
      <c r="N351" s="3" t="s">
        <v>1545</v>
      </c>
    </row>
    <row r="352" customFormat="false" ht="15" hidden="false" customHeight="false" outlineLevel="0" collapsed="false">
      <c r="A352" s="2" t="s">
        <v>439</v>
      </c>
      <c r="B352" s="2" t="s">
        <v>1546</v>
      </c>
      <c r="C352" s="2" t="n">
        <v>1584</v>
      </c>
      <c r="D352" s="2" t="s">
        <v>34</v>
      </c>
      <c r="E352" s="2" t="s">
        <v>206</v>
      </c>
      <c r="F352" s="2" t="n">
        <v>3</v>
      </c>
      <c r="G352" s="2" t="s">
        <v>18</v>
      </c>
      <c r="H352" s="2" t="s">
        <v>59</v>
      </c>
      <c r="I352" s="2" t="s">
        <v>1547</v>
      </c>
      <c r="J352" s="2" t="s">
        <v>99</v>
      </c>
      <c r="K352" s="2" t="n">
        <v>5000</v>
      </c>
      <c r="L352" s="2" t="n">
        <v>300</v>
      </c>
      <c r="M352" s="2" t="n">
        <v>900</v>
      </c>
      <c r="N352" s="2" t="s">
        <v>1548</v>
      </c>
    </row>
    <row r="353" customFormat="false" ht="15" hidden="false" customHeight="false" outlineLevel="0" collapsed="false">
      <c r="A353" s="3" t="s">
        <v>1549</v>
      </c>
      <c r="B353" s="3" t="s">
        <v>896</v>
      </c>
      <c r="C353" s="3" t="n">
        <v>1585</v>
      </c>
      <c r="D353" s="3" t="s">
        <v>108</v>
      </c>
      <c r="E353" s="3" t="s">
        <v>469</v>
      </c>
      <c r="F353" s="3" t="n">
        <v>1</v>
      </c>
      <c r="G353" s="3" t="s">
        <v>97</v>
      </c>
      <c r="H353" s="3" t="s">
        <v>19</v>
      </c>
      <c r="I353" s="3" t="s">
        <v>1550</v>
      </c>
      <c r="J353" s="3" t="s">
        <v>73</v>
      </c>
      <c r="K353" s="3" t="n">
        <v>6160</v>
      </c>
      <c r="L353" s="3" t="n">
        <v>1200</v>
      </c>
      <c r="M353" s="3" t="n">
        <v>1200</v>
      </c>
      <c r="N353" s="3" t="s">
        <v>1551</v>
      </c>
    </row>
    <row r="354" customFormat="false" ht="15" hidden="false" customHeight="false" outlineLevel="0" collapsed="false">
      <c r="A354" s="2" t="s">
        <v>1029</v>
      </c>
      <c r="B354" s="2" t="s">
        <v>230</v>
      </c>
      <c r="C354" s="2" t="n">
        <v>1586</v>
      </c>
      <c r="D354" s="2" t="s">
        <v>25</v>
      </c>
      <c r="E354" s="2" t="s">
        <v>1523</v>
      </c>
      <c r="F354" s="2" t="n">
        <v>1</v>
      </c>
      <c r="G354" s="2" t="s">
        <v>97</v>
      </c>
      <c r="H354" s="2" t="s">
        <v>28</v>
      </c>
      <c r="I354" s="2" t="s">
        <v>1552</v>
      </c>
      <c r="J354" s="2" t="s">
        <v>30</v>
      </c>
      <c r="K354" s="2" t="n">
        <v>2600</v>
      </c>
      <c r="L354" s="2" t="n">
        <v>800</v>
      </c>
      <c r="M354" s="2" t="n">
        <v>800</v>
      </c>
      <c r="N354" s="2" t="s">
        <v>1553</v>
      </c>
    </row>
    <row r="355" customFormat="false" ht="15" hidden="false" customHeight="false" outlineLevel="0" collapsed="false">
      <c r="A355" s="3" t="s">
        <v>535</v>
      </c>
      <c r="B355" s="3" t="s">
        <v>1554</v>
      </c>
      <c r="C355" s="3" t="n">
        <v>1587</v>
      </c>
      <c r="D355" s="3" t="s">
        <v>108</v>
      </c>
      <c r="E355" s="3" t="s">
        <v>416</v>
      </c>
      <c r="F355" s="3" t="n">
        <v>1</v>
      </c>
      <c r="G355" s="3" t="s">
        <v>18</v>
      </c>
      <c r="H355" s="3" t="s">
        <v>36</v>
      </c>
      <c r="I355" s="3" t="s">
        <v>1555</v>
      </c>
      <c r="J355" s="3" t="s">
        <v>192</v>
      </c>
      <c r="K355" s="3" t="n">
        <v>2000</v>
      </c>
      <c r="L355" s="3" t="n">
        <v>1200</v>
      </c>
      <c r="M355" s="3" t="n">
        <v>1200</v>
      </c>
      <c r="N355" s="3" t="s">
        <v>1556</v>
      </c>
    </row>
    <row r="356" customFormat="false" ht="15" hidden="false" customHeight="false" outlineLevel="0" collapsed="false">
      <c r="A356" s="2" t="s">
        <v>1557</v>
      </c>
      <c r="B356" s="2" t="s">
        <v>1558</v>
      </c>
      <c r="C356" s="2" t="n">
        <v>1588</v>
      </c>
      <c r="D356" s="2" t="s">
        <v>147</v>
      </c>
      <c r="E356" s="2" t="s">
        <v>820</v>
      </c>
      <c r="F356" s="2" t="n">
        <v>2</v>
      </c>
      <c r="G356" s="2" t="s">
        <v>18</v>
      </c>
      <c r="H356" s="2" t="s">
        <v>28</v>
      </c>
      <c r="I356" s="2" t="s">
        <v>1559</v>
      </c>
      <c r="J356" s="2" t="s">
        <v>30</v>
      </c>
      <c r="K356" s="2" t="n">
        <v>2600</v>
      </c>
      <c r="L356" s="2" t="n">
        <v>600</v>
      </c>
      <c r="M356" s="2" t="n">
        <v>1200</v>
      </c>
      <c r="N356" s="2" t="s">
        <v>1560</v>
      </c>
    </row>
    <row r="357" customFormat="false" ht="15" hidden="false" customHeight="false" outlineLevel="0" collapsed="false">
      <c r="A357" s="3" t="s">
        <v>991</v>
      </c>
      <c r="B357" s="3" t="s">
        <v>1561</v>
      </c>
      <c r="C357" s="3" t="n">
        <v>1589</v>
      </c>
      <c r="D357" s="3" t="s">
        <v>49</v>
      </c>
      <c r="E357" s="3" t="s">
        <v>1562</v>
      </c>
      <c r="F357" s="3" t="n">
        <v>1</v>
      </c>
      <c r="G357" s="3" t="s">
        <v>27</v>
      </c>
      <c r="H357" s="3" t="s">
        <v>28</v>
      </c>
      <c r="I357" s="3" t="s">
        <v>1563</v>
      </c>
      <c r="J357" s="3" t="s">
        <v>30</v>
      </c>
      <c r="K357" s="3" t="n">
        <v>2600</v>
      </c>
      <c r="L357" s="3" t="n">
        <v>250</v>
      </c>
      <c r="M357" s="3" t="n">
        <v>250</v>
      </c>
      <c r="N357" s="3" t="s">
        <v>1564</v>
      </c>
    </row>
    <row r="358" customFormat="false" ht="15" hidden="false" customHeight="false" outlineLevel="0" collapsed="false">
      <c r="A358" s="2" t="s">
        <v>660</v>
      </c>
      <c r="B358" s="2" t="s">
        <v>1565</v>
      </c>
      <c r="C358" s="2" t="n">
        <v>1590</v>
      </c>
      <c r="D358" s="2" t="s">
        <v>49</v>
      </c>
      <c r="E358" s="2" t="s">
        <v>1566</v>
      </c>
      <c r="F358" s="2" t="n">
        <v>1</v>
      </c>
      <c r="G358" s="2" t="s">
        <v>51</v>
      </c>
      <c r="H358" s="2" t="s">
        <v>52</v>
      </c>
      <c r="I358" s="2" t="s">
        <v>1567</v>
      </c>
      <c r="J358" s="2" t="s">
        <v>182</v>
      </c>
      <c r="K358" s="2" t="n">
        <v>4000</v>
      </c>
      <c r="L358" s="2" t="n">
        <v>250</v>
      </c>
      <c r="M358" s="2" t="n">
        <v>250</v>
      </c>
      <c r="N358" s="2" t="s">
        <v>1568</v>
      </c>
    </row>
    <row r="359" customFormat="false" ht="15" hidden="false" customHeight="false" outlineLevel="0" collapsed="false">
      <c r="A359" s="3" t="s">
        <v>265</v>
      </c>
      <c r="B359" s="3" t="s">
        <v>478</v>
      </c>
      <c r="C359" s="3" t="n">
        <v>1591</v>
      </c>
      <c r="D359" s="3" t="s">
        <v>34</v>
      </c>
      <c r="E359" s="3" t="s">
        <v>1569</v>
      </c>
      <c r="F359" s="3" t="n">
        <v>2</v>
      </c>
      <c r="G359" s="3" t="s">
        <v>18</v>
      </c>
      <c r="H359" s="3" t="s">
        <v>28</v>
      </c>
      <c r="I359" s="3" t="s">
        <v>1570</v>
      </c>
      <c r="J359" s="3" t="s">
        <v>30</v>
      </c>
      <c r="K359" s="3" t="n">
        <v>2600</v>
      </c>
      <c r="L359" s="3" t="n">
        <v>300</v>
      </c>
      <c r="M359" s="3" t="n">
        <v>600</v>
      </c>
      <c r="N359" s="3" t="s">
        <v>1571</v>
      </c>
    </row>
    <row r="360" customFormat="false" ht="15" hidden="false" customHeight="false" outlineLevel="0" collapsed="false">
      <c r="A360" s="2" t="s">
        <v>1572</v>
      </c>
      <c r="B360" s="2" t="s">
        <v>1573</v>
      </c>
      <c r="C360" s="2" t="n">
        <v>1592</v>
      </c>
      <c r="D360" s="2" t="s">
        <v>16</v>
      </c>
      <c r="E360" s="2" t="s">
        <v>1574</v>
      </c>
      <c r="F360" s="2" t="n">
        <v>1</v>
      </c>
      <c r="G360" s="2" t="s">
        <v>97</v>
      </c>
      <c r="H360" s="2" t="s">
        <v>121</v>
      </c>
      <c r="I360" s="2" t="s">
        <v>1575</v>
      </c>
      <c r="J360" s="2" t="s">
        <v>123</v>
      </c>
      <c r="K360" s="2" t="n">
        <v>800</v>
      </c>
      <c r="L360" s="2" t="n">
        <v>250</v>
      </c>
      <c r="M360" s="2" t="n">
        <v>250</v>
      </c>
      <c r="N360" s="2" t="s">
        <v>1576</v>
      </c>
    </row>
    <row r="361" customFormat="false" ht="15" hidden="false" customHeight="false" outlineLevel="0" collapsed="false">
      <c r="A361" s="3" t="s">
        <v>633</v>
      </c>
      <c r="B361" s="3" t="s">
        <v>1577</v>
      </c>
      <c r="C361" s="3" t="n">
        <v>1593</v>
      </c>
      <c r="D361" s="3" t="s">
        <v>108</v>
      </c>
      <c r="E361" s="3" t="s">
        <v>1578</v>
      </c>
      <c r="F361" s="3" t="n">
        <v>3</v>
      </c>
      <c r="G361" s="3" t="s">
        <v>18</v>
      </c>
      <c r="H361" s="3" t="s">
        <v>121</v>
      </c>
      <c r="I361" s="3" t="s">
        <v>1579</v>
      </c>
      <c r="J361" s="3" t="s">
        <v>123</v>
      </c>
      <c r="K361" s="3" t="n">
        <v>800</v>
      </c>
      <c r="L361" s="3" t="n">
        <v>1200</v>
      </c>
      <c r="M361" s="3" t="n">
        <v>3600</v>
      </c>
      <c r="N361" s="3" t="s">
        <v>1580</v>
      </c>
    </row>
    <row r="362" customFormat="false" ht="15" hidden="false" customHeight="false" outlineLevel="0" collapsed="false">
      <c r="A362" s="2" t="s">
        <v>1581</v>
      </c>
      <c r="B362" s="2" t="s">
        <v>540</v>
      </c>
      <c r="C362" s="2" t="n">
        <v>1594</v>
      </c>
      <c r="D362" s="2" t="s">
        <v>108</v>
      </c>
      <c r="E362" s="2" t="s">
        <v>1337</v>
      </c>
      <c r="F362" s="2" t="n">
        <v>1</v>
      </c>
      <c r="G362" s="2" t="s">
        <v>51</v>
      </c>
      <c r="H362" s="2" t="s">
        <v>19</v>
      </c>
      <c r="I362" s="2" t="s">
        <v>1582</v>
      </c>
      <c r="J362" s="2" t="s">
        <v>73</v>
      </c>
      <c r="K362" s="2" t="n">
        <v>6160</v>
      </c>
      <c r="L362" s="2" t="n">
        <v>1200</v>
      </c>
      <c r="M362" s="2" t="n">
        <v>1200</v>
      </c>
      <c r="N362" s="2" t="s">
        <v>1583</v>
      </c>
    </row>
    <row r="363" customFormat="false" ht="15" hidden="false" customHeight="false" outlineLevel="0" collapsed="false">
      <c r="A363" s="3" t="s">
        <v>1584</v>
      </c>
      <c r="B363" s="3" t="s">
        <v>1585</v>
      </c>
      <c r="C363" s="3" t="n">
        <v>1595</v>
      </c>
      <c r="D363" s="3" t="s">
        <v>108</v>
      </c>
      <c r="E363" s="3" t="s">
        <v>1586</v>
      </c>
      <c r="F363" s="3" t="n">
        <v>2</v>
      </c>
      <c r="G363" s="3" t="s">
        <v>51</v>
      </c>
      <c r="H363" s="3" t="s">
        <v>36</v>
      </c>
      <c r="I363" s="3" t="s">
        <v>1587</v>
      </c>
      <c r="J363" s="3" t="s">
        <v>192</v>
      </c>
      <c r="K363" s="3" t="n">
        <v>2000</v>
      </c>
      <c r="L363" s="3" t="n">
        <v>1200</v>
      </c>
      <c r="M363" s="3" t="n">
        <v>2400</v>
      </c>
      <c r="N363" s="3" t="s">
        <v>1588</v>
      </c>
    </row>
    <row r="364" customFormat="false" ht="15" hidden="false" customHeight="false" outlineLevel="0" collapsed="false">
      <c r="A364" s="2" t="s">
        <v>837</v>
      </c>
      <c r="B364" s="2" t="s">
        <v>1313</v>
      </c>
      <c r="C364" s="2" t="n">
        <v>1596</v>
      </c>
      <c r="D364" s="2" t="s">
        <v>147</v>
      </c>
      <c r="E364" s="2" t="s">
        <v>1248</v>
      </c>
      <c r="F364" s="2" t="n">
        <v>1</v>
      </c>
      <c r="G364" s="2" t="s">
        <v>97</v>
      </c>
      <c r="H364" s="2" t="s">
        <v>121</v>
      </c>
      <c r="I364" s="2" t="s">
        <v>1589</v>
      </c>
      <c r="J364" s="2" t="s">
        <v>123</v>
      </c>
      <c r="K364" s="2" t="n">
        <v>800</v>
      </c>
      <c r="L364" s="2" t="n">
        <v>600</v>
      </c>
      <c r="M364" s="2" t="n">
        <v>600</v>
      </c>
      <c r="N364" s="2" t="s">
        <v>1590</v>
      </c>
    </row>
    <row r="365" customFormat="false" ht="15" hidden="false" customHeight="false" outlineLevel="0" collapsed="false">
      <c r="A365" s="3" t="s">
        <v>991</v>
      </c>
      <c r="B365" s="3" t="s">
        <v>1591</v>
      </c>
      <c r="C365" s="3" t="n">
        <v>1597</v>
      </c>
      <c r="D365" s="3" t="s">
        <v>16</v>
      </c>
      <c r="E365" s="3" t="s">
        <v>185</v>
      </c>
      <c r="F365" s="3" t="n">
        <v>1</v>
      </c>
      <c r="G365" s="3" t="s">
        <v>51</v>
      </c>
      <c r="H365" s="3" t="s">
        <v>19</v>
      </c>
      <c r="I365" s="3" t="s">
        <v>1592</v>
      </c>
      <c r="J365" s="3" t="s">
        <v>176</v>
      </c>
      <c r="K365" s="3" t="n">
        <v>6000</v>
      </c>
      <c r="L365" s="3" t="n">
        <v>250</v>
      </c>
      <c r="M365" s="3" t="n">
        <v>250</v>
      </c>
      <c r="N365" s="3" t="s">
        <v>1593</v>
      </c>
    </row>
    <row r="366" customFormat="false" ht="15" hidden="false" customHeight="false" outlineLevel="0" collapsed="false">
      <c r="A366" s="2" t="s">
        <v>1594</v>
      </c>
      <c r="B366" s="2" t="s">
        <v>959</v>
      </c>
      <c r="C366" s="2" t="n">
        <v>1598</v>
      </c>
      <c r="D366" s="2" t="s">
        <v>108</v>
      </c>
      <c r="E366" s="2" t="s">
        <v>1595</v>
      </c>
      <c r="F366" s="2" t="n">
        <v>3</v>
      </c>
      <c r="G366" s="2" t="s">
        <v>51</v>
      </c>
      <c r="H366" s="2" t="s">
        <v>59</v>
      </c>
      <c r="I366" s="2" t="s">
        <v>1596</v>
      </c>
      <c r="J366" s="2" t="s">
        <v>99</v>
      </c>
      <c r="K366" s="2" t="n">
        <v>5000</v>
      </c>
      <c r="L366" s="2" t="n">
        <v>1200</v>
      </c>
      <c r="M366" s="2" t="n">
        <v>3600</v>
      </c>
      <c r="N366" s="2" t="s">
        <v>1597</v>
      </c>
    </row>
    <row r="367" customFormat="false" ht="15" hidden="false" customHeight="false" outlineLevel="0" collapsed="false">
      <c r="A367" s="3" t="s">
        <v>1598</v>
      </c>
      <c r="B367" s="3" t="s">
        <v>448</v>
      </c>
      <c r="C367" s="3" t="n">
        <v>1599</v>
      </c>
      <c r="D367" s="3" t="s">
        <v>16</v>
      </c>
      <c r="E367" s="3" t="s">
        <v>271</v>
      </c>
      <c r="F367" s="3" t="n">
        <v>2</v>
      </c>
      <c r="G367" s="3" t="s">
        <v>18</v>
      </c>
      <c r="H367" s="3" t="s">
        <v>19</v>
      </c>
      <c r="I367" s="3" t="s">
        <v>1599</v>
      </c>
      <c r="J367" s="3" t="s">
        <v>21</v>
      </c>
      <c r="K367" s="3" t="n">
        <v>6725</v>
      </c>
      <c r="L367" s="3" t="n">
        <v>250</v>
      </c>
      <c r="M367" s="3" t="n">
        <v>500</v>
      </c>
      <c r="N367" s="3" t="s">
        <v>1600</v>
      </c>
    </row>
    <row r="368" customFormat="false" ht="15" hidden="false" customHeight="false" outlineLevel="0" collapsed="false">
      <c r="A368" s="2" t="s">
        <v>184</v>
      </c>
      <c r="B368" s="2" t="s">
        <v>405</v>
      </c>
      <c r="C368" s="2" t="n">
        <v>1600</v>
      </c>
      <c r="D368" s="2" t="s">
        <v>147</v>
      </c>
      <c r="E368" s="2" t="s">
        <v>1601</v>
      </c>
      <c r="F368" s="2" t="n">
        <v>2</v>
      </c>
      <c r="G368" s="2" t="s">
        <v>27</v>
      </c>
      <c r="H368" s="2" t="s">
        <v>36</v>
      </c>
      <c r="I368" s="2" t="s">
        <v>1602</v>
      </c>
      <c r="J368" s="2" t="s">
        <v>38</v>
      </c>
      <c r="K368" s="2" t="n">
        <v>2300</v>
      </c>
      <c r="L368" s="2" t="n">
        <v>600</v>
      </c>
      <c r="M368" s="2" t="n">
        <v>1200</v>
      </c>
      <c r="N368" s="2" t="s">
        <v>1603</v>
      </c>
    </row>
    <row r="369" customFormat="false" ht="15" hidden="false" customHeight="false" outlineLevel="0" collapsed="false">
      <c r="A369" s="3" t="s">
        <v>1604</v>
      </c>
      <c r="B369" s="3" t="s">
        <v>1605</v>
      </c>
      <c r="C369" s="3" t="n">
        <v>1601</v>
      </c>
      <c r="D369" s="3" t="s">
        <v>25</v>
      </c>
      <c r="E369" s="3" t="s">
        <v>1048</v>
      </c>
      <c r="F369" s="3" t="n">
        <v>1</v>
      </c>
      <c r="G369" s="3" t="s">
        <v>51</v>
      </c>
      <c r="H369" s="3" t="s">
        <v>52</v>
      </c>
      <c r="I369" s="3" t="s">
        <v>1606</v>
      </c>
      <c r="J369" s="3" t="s">
        <v>54</v>
      </c>
      <c r="K369" s="3" t="n">
        <v>4217</v>
      </c>
      <c r="L369" s="3" t="n">
        <v>800</v>
      </c>
      <c r="M369" s="3" t="n">
        <v>800</v>
      </c>
      <c r="N369" s="3" t="s">
        <v>1607</v>
      </c>
    </row>
    <row r="370" customFormat="false" ht="15" hidden="false" customHeight="false" outlineLevel="0" collapsed="false">
      <c r="A370" s="2" t="s">
        <v>457</v>
      </c>
      <c r="B370" s="2" t="s">
        <v>1608</v>
      </c>
      <c r="C370" s="2" t="n">
        <v>1602</v>
      </c>
      <c r="D370" s="2" t="s">
        <v>34</v>
      </c>
      <c r="E370" s="2" t="s">
        <v>907</v>
      </c>
      <c r="F370" s="2" t="n">
        <v>2</v>
      </c>
      <c r="G370" s="2" t="s">
        <v>18</v>
      </c>
      <c r="H370" s="2" t="s">
        <v>19</v>
      </c>
      <c r="I370" s="2" t="s">
        <v>1609</v>
      </c>
      <c r="J370" s="2" t="s">
        <v>21</v>
      </c>
      <c r="K370" s="2" t="n">
        <v>6725</v>
      </c>
      <c r="L370" s="2" t="n">
        <v>300</v>
      </c>
      <c r="M370" s="2" t="n">
        <v>600</v>
      </c>
      <c r="N370" s="2" t="s">
        <v>1610</v>
      </c>
    </row>
    <row r="371" customFormat="false" ht="15" hidden="false" customHeight="false" outlineLevel="0" collapsed="false">
      <c r="A371" s="3" t="s">
        <v>1611</v>
      </c>
      <c r="B371" s="3" t="s">
        <v>1612</v>
      </c>
      <c r="C371" s="3" t="n">
        <v>1603</v>
      </c>
      <c r="D371" s="3" t="s">
        <v>147</v>
      </c>
      <c r="E371" s="3" t="s">
        <v>1337</v>
      </c>
      <c r="F371" s="3" t="n">
        <v>2</v>
      </c>
      <c r="G371" s="3" t="s">
        <v>18</v>
      </c>
      <c r="H371" s="3" t="s">
        <v>78</v>
      </c>
      <c r="I371" s="3" t="s">
        <v>1613</v>
      </c>
      <c r="J371" s="3" t="s">
        <v>80</v>
      </c>
      <c r="K371" s="3" t="n">
        <v>7250</v>
      </c>
      <c r="L371" s="3" t="n">
        <v>600</v>
      </c>
      <c r="M371" s="3" t="n">
        <v>1200</v>
      </c>
      <c r="N371" s="3" t="s">
        <v>1614</v>
      </c>
    </row>
    <row r="372" customFormat="false" ht="15" hidden="false" customHeight="false" outlineLevel="0" collapsed="false">
      <c r="A372" s="2" t="s">
        <v>1615</v>
      </c>
      <c r="B372" s="2" t="s">
        <v>1529</v>
      </c>
      <c r="C372" s="2" t="n">
        <v>1604</v>
      </c>
      <c r="D372" s="2" t="s">
        <v>108</v>
      </c>
      <c r="E372" s="2" t="s">
        <v>1472</v>
      </c>
      <c r="F372" s="2" t="n">
        <v>3</v>
      </c>
      <c r="G372" s="2" t="s">
        <v>51</v>
      </c>
      <c r="H372" s="2" t="s">
        <v>19</v>
      </c>
      <c r="I372" s="2" t="s">
        <v>1616</v>
      </c>
      <c r="J372" s="2" t="s">
        <v>73</v>
      </c>
      <c r="K372" s="2" t="n">
        <v>6160</v>
      </c>
      <c r="L372" s="2" t="n">
        <v>1200</v>
      </c>
      <c r="M372" s="2" t="n">
        <v>3600</v>
      </c>
      <c r="N372" s="2" t="s">
        <v>1617</v>
      </c>
    </row>
    <row r="373" customFormat="false" ht="15" hidden="false" customHeight="false" outlineLevel="0" collapsed="false">
      <c r="A373" s="3" t="s">
        <v>1618</v>
      </c>
      <c r="B373" s="3" t="s">
        <v>1619</v>
      </c>
      <c r="C373" s="3" t="n">
        <v>1605</v>
      </c>
      <c r="D373" s="3" t="s">
        <v>108</v>
      </c>
      <c r="E373" s="3" t="s">
        <v>1620</v>
      </c>
      <c r="F373" s="3" t="n">
        <v>3</v>
      </c>
      <c r="G373" s="3" t="s">
        <v>51</v>
      </c>
      <c r="H373" s="3" t="s">
        <v>43</v>
      </c>
      <c r="I373" s="3" t="s">
        <v>1621</v>
      </c>
      <c r="J373" s="3" t="s">
        <v>67</v>
      </c>
      <c r="K373" s="3" t="n">
        <v>3220</v>
      </c>
      <c r="L373" s="3" t="n">
        <v>1200</v>
      </c>
      <c r="M373" s="3" t="n">
        <v>3600</v>
      </c>
      <c r="N373" s="3" t="s">
        <v>1622</v>
      </c>
    </row>
    <row r="374" customFormat="false" ht="15" hidden="false" customHeight="false" outlineLevel="0" collapsed="false">
      <c r="A374" s="2" t="s">
        <v>1623</v>
      </c>
      <c r="B374" s="2" t="s">
        <v>891</v>
      </c>
      <c r="C374" s="2" t="n">
        <v>1606</v>
      </c>
      <c r="D374" s="2" t="s">
        <v>147</v>
      </c>
      <c r="E374" s="2" t="s">
        <v>1624</v>
      </c>
      <c r="F374" s="2" t="n">
        <v>3</v>
      </c>
      <c r="G374" s="2" t="s">
        <v>51</v>
      </c>
      <c r="H374" s="2" t="s">
        <v>78</v>
      </c>
      <c r="I374" s="2" t="s">
        <v>1625</v>
      </c>
      <c r="J374" s="2" t="s">
        <v>408</v>
      </c>
      <c r="K374" s="2" t="n">
        <v>7310</v>
      </c>
      <c r="L374" s="2" t="n">
        <v>600</v>
      </c>
      <c r="M374" s="2" t="n">
        <v>1800</v>
      </c>
      <c r="N374" s="2" t="s">
        <v>1626</v>
      </c>
    </row>
    <row r="375" customFormat="false" ht="15" hidden="false" customHeight="false" outlineLevel="0" collapsed="false">
      <c r="A375" s="3" t="s">
        <v>1627</v>
      </c>
      <c r="B375" s="3" t="s">
        <v>1228</v>
      </c>
      <c r="C375" s="3" t="n">
        <v>1607</v>
      </c>
      <c r="D375" s="3" t="s">
        <v>25</v>
      </c>
      <c r="E375" s="3" t="s">
        <v>1628</v>
      </c>
      <c r="F375" s="3" t="n">
        <v>3</v>
      </c>
      <c r="G375" s="3" t="s">
        <v>18</v>
      </c>
      <c r="H375" s="3" t="s">
        <v>52</v>
      </c>
      <c r="I375" s="3" t="s">
        <v>1629</v>
      </c>
      <c r="J375" s="3" t="s">
        <v>92</v>
      </c>
      <c r="K375" s="3" t="n">
        <v>4870</v>
      </c>
      <c r="L375" s="3" t="n">
        <v>800</v>
      </c>
      <c r="M375" s="3" t="n">
        <v>2400</v>
      </c>
      <c r="N375" s="3" t="s">
        <v>1630</v>
      </c>
    </row>
    <row r="376" customFormat="false" ht="15" hidden="false" customHeight="false" outlineLevel="0" collapsed="false">
      <c r="A376" s="2" t="s">
        <v>1427</v>
      </c>
      <c r="B376" s="2" t="s">
        <v>954</v>
      </c>
      <c r="C376" s="2" t="n">
        <v>1608</v>
      </c>
      <c r="D376" s="2" t="s">
        <v>16</v>
      </c>
      <c r="E376" s="2" t="s">
        <v>1631</v>
      </c>
      <c r="F376" s="2" t="n">
        <v>3</v>
      </c>
      <c r="G376" s="2" t="s">
        <v>51</v>
      </c>
      <c r="H376" s="2" t="s">
        <v>19</v>
      </c>
      <c r="I376" s="2" t="s">
        <v>1632</v>
      </c>
      <c r="J376" s="2" t="s">
        <v>176</v>
      </c>
      <c r="K376" s="2" t="n">
        <v>6000</v>
      </c>
      <c r="L376" s="2" t="n">
        <v>250</v>
      </c>
      <c r="M376" s="2" t="n">
        <v>750</v>
      </c>
      <c r="N376" s="2" t="s">
        <v>1633</v>
      </c>
    </row>
    <row r="377" customFormat="false" ht="15" hidden="false" customHeight="false" outlineLevel="0" collapsed="false">
      <c r="A377" s="3" t="s">
        <v>1634</v>
      </c>
      <c r="B377" s="3" t="s">
        <v>1635</v>
      </c>
      <c r="C377" s="3" t="n">
        <v>1609</v>
      </c>
      <c r="D377" s="3" t="s">
        <v>147</v>
      </c>
      <c r="E377" s="3" t="s">
        <v>1636</v>
      </c>
      <c r="F377" s="3" t="n">
        <v>2</v>
      </c>
      <c r="G377" s="3" t="s">
        <v>27</v>
      </c>
      <c r="H377" s="3" t="s">
        <v>78</v>
      </c>
      <c r="I377" s="3" t="s">
        <v>1637</v>
      </c>
      <c r="J377" s="3" t="s">
        <v>408</v>
      </c>
      <c r="K377" s="3" t="n">
        <v>7310</v>
      </c>
      <c r="L377" s="3" t="n">
        <v>600</v>
      </c>
      <c r="M377" s="3" t="n">
        <v>1200</v>
      </c>
      <c r="N377" s="3" t="s">
        <v>1638</v>
      </c>
    </row>
    <row r="378" customFormat="false" ht="15" hidden="false" customHeight="false" outlineLevel="0" collapsed="false">
      <c r="A378" s="2" t="s">
        <v>1639</v>
      </c>
      <c r="B378" s="2" t="s">
        <v>1423</v>
      </c>
      <c r="C378" s="2" t="n">
        <v>1610</v>
      </c>
      <c r="D378" s="2" t="s">
        <v>34</v>
      </c>
      <c r="E378" s="2" t="s">
        <v>1640</v>
      </c>
      <c r="F378" s="2" t="n">
        <v>3</v>
      </c>
      <c r="G378" s="2" t="s">
        <v>27</v>
      </c>
      <c r="H378" s="2" t="s">
        <v>59</v>
      </c>
      <c r="I378" s="2" t="s">
        <v>1641</v>
      </c>
      <c r="J378" s="2" t="s">
        <v>292</v>
      </c>
      <c r="K378" s="2" t="n">
        <v>5600</v>
      </c>
      <c r="L378" s="2" t="n">
        <v>300</v>
      </c>
      <c r="M378" s="2" t="n">
        <v>900</v>
      </c>
      <c r="N378" s="2" t="s">
        <v>1642</v>
      </c>
    </row>
    <row r="379" customFormat="false" ht="15" hidden="false" customHeight="false" outlineLevel="0" collapsed="false">
      <c r="A379" s="3" t="s">
        <v>482</v>
      </c>
      <c r="B379" s="3" t="s">
        <v>1643</v>
      </c>
      <c r="C379" s="3" t="n">
        <v>1611</v>
      </c>
      <c r="D379" s="3" t="s">
        <v>108</v>
      </c>
      <c r="E379" s="3" t="s">
        <v>1644</v>
      </c>
      <c r="F379" s="3" t="n">
        <v>3</v>
      </c>
      <c r="G379" s="3" t="s">
        <v>97</v>
      </c>
      <c r="H379" s="3" t="s">
        <v>28</v>
      </c>
      <c r="I379" s="3" t="s">
        <v>1645</v>
      </c>
      <c r="J379" s="3" t="s">
        <v>30</v>
      </c>
      <c r="K379" s="3" t="n">
        <v>2600</v>
      </c>
      <c r="L379" s="3" t="n">
        <v>1200</v>
      </c>
      <c r="M379" s="3" t="n">
        <v>3600</v>
      </c>
      <c r="N379" s="3" t="s">
        <v>1646</v>
      </c>
    </row>
    <row r="380" customFormat="false" ht="15" hidden="false" customHeight="false" outlineLevel="0" collapsed="false">
      <c r="A380" s="2" t="s">
        <v>1647</v>
      </c>
      <c r="B380" s="2" t="s">
        <v>1648</v>
      </c>
      <c r="C380" s="2" t="n">
        <v>1612</v>
      </c>
      <c r="D380" s="2" t="s">
        <v>108</v>
      </c>
      <c r="E380" s="2" t="s">
        <v>793</v>
      </c>
      <c r="F380" s="2" t="n">
        <v>1</v>
      </c>
      <c r="G380" s="2" t="s">
        <v>18</v>
      </c>
      <c r="H380" s="2" t="s">
        <v>59</v>
      </c>
      <c r="I380" s="2" t="s">
        <v>1649</v>
      </c>
      <c r="J380" s="2" t="s">
        <v>61</v>
      </c>
      <c r="K380" s="2" t="n">
        <v>5290</v>
      </c>
      <c r="L380" s="2" t="n">
        <v>1200</v>
      </c>
      <c r="M380" s="2" t="n">
        <v>1200</v>
      </c>
      <c r="N380" s="2" t="s">
        <v>1650</v>
      </c>
    </row>
    <row r="381" customFormat="false" ht="15" hidden="false" customHeight="false" outlineLevel="0" collapsed="false">
      <c r="A381" s="3" t="s">
        <v>1518</v>
      </c>
      <c r="B381" s="3" t="s">
        <v>824</v>
      </c>
      <c r="C381" s="3" t="n">
        <v>1613</v>
      </c>
      <c r="D381" s="3" t="s">
        <v>16</v>
      </c>
      <c r="E381" s="3" t="s">
        <v>803</v>
      </c>
      <c r="F381" s="3" t="n">
        <v>3</v>
      </c>
      <c r="G381" s="3" t="s">
        <v>51</v>
      </c>
      <c r="H381" s="3" t="s">
        <v>78</v>
      </c>
      <c r="I381" s="3" t="s">
        <v>1651</v>
      </c>
      <c r="J381" s="3" t="s">
        <v>80</v>
      </c>
      <c r="K381" s="3" t="n">
        <v>7250</v>
      </c>
      <c r="L381" s="3" t="n">
        <v>250</v>
      </c>
      <c r="M381" s="3" t="n">
        <v>750</v>
      </c>
      <c r="N381" s="3" t="s">
        <v>1652</v>
      </c>
    </row>
    <row r="382" customFormat="false" ht="15" hidden="false" customHeight="false" outlineLevel="0" collapsed="false">
      <c r="A382" s="2" t="s">
        <v>1653</v>
      </c>
      <c r="B382" s="2" t="s">
        <v>1428</v>
      </c>
      <c r="C382" s="2" t="n">
        <v>1614</v>
      </c>
      <c r="D382" s="2" t="s">
        <v>16</v>
      </c>
      <c r="E382" s="2" t="s">
        <v>1628</v>
      </c>
      <c r="F382" s="2" t="n">
        <v>2</v>
      </c>
      <c r="G382" s="2" t="s">
        <v>97</v>
      </c>
      <c r="H382" s="2" t="s">
        <v>59</v>
      </c>
      <c r="I382" s="2" t="s">
        <v>1654</v>
      </c>
      <c r="J382" s="2" t="s">
        <v>99</v>
      </c>
      <c r="K382" s="2" t="n">
        <v>5000</v>
      </c>
      <c r="L382" s="2" t="n">
        <v>250</v>
      </c>
      <c r="M382" s="2" t="n">
        <v>500</v>
      </c>
      <c r="N382" s="2" t="s">
        <v>1655</v>
      </c>
    </row>
    <row r="383" customFormat="false" ht="15" hidden="false" customHeight="false" outlineLevel="0" collapsed="false">
      <c r="A383" s="3" t="s">
        <v>710</v>
      </c>
      <c r="B383" s="3" t="s">
        <v>711</v>
      </c>
      <c r="C383" s="3" t="n">
        <v>1373</v>
      </c>
      <c r="D383" s="3" t="s">
        <v>108</v>
      </c>
      <c r="E383" s="3" t="s">
        <v>1372</v>
      </c>
      <c r="F383" s="3" t="n">
        <v>2</v>
      </c>
      <c r="G383" s="3" t="s">
        <v>51</v>
      </c>
      <c r="H383" s="3" t="s">
        <v>121</v>
      </c>
      <c r="I383" s="3" t="s">
        <v>1656</v>
      </c>
      <c r="J383" s="3" t="s">
        <v>317</v>
      </c>
      <c r="K383" s="3" t="n">
        <v>870</v>
      </c>
      <c r="L383" s="3" t="n">
        <v>1200</v>
      </c>
      <c r="M383" s="3" t="n">
        <v>2400</v>
      </c>
      <c r="N383" s="3" t="s">
        <v>1657</v>
      </c>
    </row>
    <row r="384" customFormat="false" ht="15" hidden="false" customHeight="false" outlineLevel="0" collapsed="false">
      <c r="A384" s="2" t="s">
        <v>1658</v>
      </c>
      <c r="B384" s="2" t="s">
        <v>1659</v>
      </c>
      <c r="C384" s="2" t="n">
        <v>1615</v>
      </c>
      <c r="D384" s="2" t="s">
        <v>25</v>
      </c>
      <c r="E384" s="2" t="s">
        <v>502</v>
      </c>
      <c r="F384" s="2" t="n">
        <v>1</v>
      </c>
      <c r="G384" s="2" t="s">
        <v>51</v>
      </c>
      <c r="H384" s="2" t="s">
        <v>78</v>
      </c>
      <c r="I384" s="2" t="s">
        <v>1660</v>
      </c>
      <c r="J384" s="2" t="s">
        <v>408</v>
      </c>
      <c r="K384" s="2" t="n">
        <v>7310</v>
      </c>
      <c r="L384" s="2" t="n">
        <v>800</v>
      </c>
      <c r="M384" s="2" t="n">
        <v>800</v>
      </c>
      <c r="N384" s="2" t="s">
        <v>1661</v>
      </c>
    </row>
    <row r="385" customFormat="false" ht="15" hidden="false" customHeight="false" outlineLevel="0" collapsed="false">
      <c r="A385" s="3" t="s">
        <v>1662</v>
      </c>
      <c r="B385" s="3" t="s">
        <v>376</v>
      </c>
      <c r="C385" s="3" t="n">
        <v>1616</v>
      </c>
      <c r="D385" s="3" t="s">
        <v>108</v>
      </c>
      <c r="E385" s="3" t="s">
        <v>1663</v>
      </c>
      <c r="F385" s="3" t="n">
        <v>3</v>
      </c>
      <c r="G385" s="3" t="s">
        <v>27</v>
      </c>
      <c r="H385" s="3" t="s">
        <v>52</v>
      </c>
      <c r="I385" s="3" t="s">
        <v>1664</v>
      </c>
      <c r="J385" s="3" t="s">
        <v>54</v>
      </c>
      <c r="K385" s="3" t="n">
        <v>4217</v>
      </c>
      <c r="L385" s="3" t="n">
        <v>1200</v>
      </c>
      <c r="M385" s="3" t="n">
        <v>3600</v>
      </c>
      <c r="N385" s="3" t="s">
        <v>1665</v>
      </c>
    </row>
    <row r="386" customFormat="false" ht="15" hidden="false" customHeight="false" outlineLevel="0" collapsed="false">
      <c r="A386" s="2" t="s">
        <v>1666</v>
      </c>
      <c r="B386" s="2" t="s">
        <v>1667</v>
      </c>
      <c r="C386" s="2" t="n">
        <v>1617</v>
      </c>
      <c r="D386" s="2" t="s">
        <v>108</v>
      </c>
      <c r="E386" s="2" t="s">
        <v>261</v>
      </c>
      <c r="F386" s="2" t="n">
        <v>3</v>
      </c>
      <c r="G386" s="2" t="s">
        <v>51</v>
      </c>
      <c r="H386" s="2" t="s">
        <v>78</v>
      </c>
      <c r="I386" s="2" t="s">
        <v>1668</v>
      </c>
      <c r="J386" s="2" t="s">
        <v>80</v>
      </c>
      <c r="K386" s="2" t="n">
        <v>7250</v>
      </c>
      <c r="L386" s="2" t="n">
        <v>1200</v>
      </c>
      <c r="M386" s="2" t="n">
        <v>3600</v>
      </c>
      <c r="N386" s="2" t="s">
        <v>1669</v>
      </c>
    </row>
    <row r="387" customFormat="false" ht="15" hidden="false" customHeight="false" outlineLevel="0" collapsed="false">
      <c r="A387" s="3" t="s">
        <v>1251</v>
      </c>
      <c r="B387" s="3" t="s">
        <v>1670</v>
      </c>
      <c r="C387" s="3" t="n">
        <v>1618</v>
      </c>
      <c r="D387" s="3" t="s">
        <v>34</v>
      </c>
      <c r="E387" s="3" t="s">
        <v>1671</v>
      </c>
      <c r="F387" s="3" t="n">
        <v>3</v>
      </c>
      <c r="G387" s="3" t="s">
        <v>18</v>
      </c>
      <c r="H387" s="3" t="s">
        <v>28</v>
      </c>
      <c r="I387" s="3" t="s">
        <v>1672</v>
      </c>
      <c r="J387" s="3" t="s">
        <v>30</v>
      </c>
      <c r="K387" s="3" t="n">
        <v>2600</v>
      </c>
      <c r="L387" s="3" t="n">
        <v>300</v>
      </c>
      <c r="M387" s="3" t="n">
        <v>900</v>
      </c>
      <c r="N387" s="3" t="s">
        <v>1673</v>
      </c>
    </row>
    <row r="388" customFormat="false" ht="15" hidden="false" customHeight="false" outlineLevel="0" collapsed="false">
      <c r="A388" s="2" t="s">
        <v>1674</v>
      </c>
      <c r="B388" s="2" t="s">
        <v>1168</v>
      </c>
      <c r="C388" s="2" t="n">
        <v>1619</v>
      </c>
      <c r="D388" s="2" t="s">
        <v>108</v>
      </c>
      <c r="E388" s="2" t="s">
        <v>1675</v>
      </c>
      <c r="F388" s="2" t="n">
        <v>2</v>
      </c>
      <c r="G388" s="2" t="s">
        <v>18</v>
      </c>
      <c r="H388" s="2" t="s">
        <v>52</v>
      </c>
      <c r="I388" s="2" t="s">
        <v>1676</v>
      </c>
      <c r="J388" s="2" t="s">
        <v>92</v>
      </c>
      <c r="K388" s="2" t="n">
        <v>4870</v>
      </c>
      <c r="L388" s="2" t="n">
        <v>1200</v>
      </c>
      <c r="M388" s="2" t="n">
        <v>2400</v>
      </c>
      <c r="N388" s="2" t="s">
        <v>1677</v>
      </c>
    </row>
    <row r="389" customFormat="false" ht="15" hidden="false" customHeight="false" outlineLevel="0" collapsed="false">
      <c r="A389" s="3" t="s">
        <v>304</v>
      </c>
      <c r="B389" s="3" t="s">
        <v>1678</v>
      </c>
      <c r="C389" s="3" t="n">
        <v>1620</v>
      </c>
      <c r="D389" s="3" t="s">
        <v>147</v>
      </c>
      <c r="E389" s="3" t="s">
        <v>26</v>
      </c>
      <c r="F389" s="3" t="n">
        <v>1</v>
      </c>
      <c r="G389" s="3" t="s">
        <v>97</v>
      </c>
      <c r="H389" s="3" t="s">
        <v>59</v>
      </c>
      <c r="I389" s="3" t="s">
        <v>1679</v>
      </c>
      <c r="J389" s="3" t="s">
        <v>292</v>
      </c>
      <c r="K389" s="3" t="n">
        <v>5600</v>
      </c>
      <c r="L389" s="3" t="n">
        <v>600</v>
      </c>
      <c r="M389" s="3" t="n">
        <v>600</v>
      </c>
      <c r="N389" s="3" t="s">
        <v>1680</v>
      </c>
    </row>
    <row r="390" customFormat="false" ht="15" hidden="false" customHeight="false" outlineLevel="0" collapsed="false">
      <c r="A390" s="2" t="s">
        <v>1681</v>
      </c>
      <c r="B390" s="2" t="s">
        <v>1682</v>
      </c>
      <c r="C390" s="2" t="n">
        <v>1621</v>
      </c>
      <c r="D390" s="2" t="s">
        <v>108</v>
      </c>
      <c r="E390" s="2" t="s">
        <v>1683</v>
      </c>
      <c r="F390" s="2" t="n">
        <v>1</v>
      </c>
      <c r="G390" s="2" t="s">
        <v>97</v>
      </c>
      <c r="H390" s="2" t="s">
        <v>36</v>
      </c>
      <c r="I390" s="2" t="s">
        <v>1684</v>
      </c>
      <c r="J390" s="2" t="s">
        <v>170</v>
      </c>
      <c r="K390" s="2" t="n">
        <v>2500</v>
      </c>
      <c r="L390" s="2" t="n">
        <v>1200</v>
      </c>
      <c r="M390" s="2" t="n">
        <v>1200</v>
      </c>
      <c r="N390" s="2" t="s">
        <v>1685</v>
      </c>
    </row>
    <row r="391" customFormat="false" ht="15" hidden="false" customHeight="false" outlineLevel="0" collapsed="false">
      <c r="A391" s="3" t="s">
        <v>1686</v>
      </c>
      <c r="B391" s="3" t="s">
        <v>325</v>
      </c>
      <c r="C391" s="3" t="n">
        <v>1622</v>
      </c>
      <c r="D391" s="3" t="s">
        <v>147</v>
      </c>
      <c r="E391" s="3" t="s">
        <v>221</v>
      </c>
      <c r="F391" s="3" t="n">
        <v>3</v>
      </c>
      <c r="G391" s="3" t="s">
        <v>51</v>
      </c>
      <c r="H391" s="3" t="s">
        <v>59</v>
      </c>
      <c r="I391" s="3" t="s">
        <v>1687</v>
      </c>
      <c r="J391" s="3" t="s">
        <v>292</v>
      </c>
      <c r="K391" s="3" t="n">
        <v>5600</v>
      </c>
      <c r="L391" s="3" t="n">
        <v>600</v>
      </c>
      <c r="M391" s="3" t="n">
        <v>1800</v>
      </c>
      <c r="N391" s="3" t="s">
        <v>1688</v>
      </c>
    </row>
    <row r="392" customFormat="false" ht="15" hidden="false" customHeight="false" outlineLevel="0" collapsed="false">
      <c r="A392" s="2" t="s">
        <v>751</v>
      </c>
      <c r="B392" s="2" t="s">
        <v>344</v>
      </c>
      <c r="C392" s="2" t="n">
        <v>1623</v>
      </c>
      <c r="D392" s="2" t="s">
        <v>49</v>
      </c>
      <c r="E392" s="2" t="s">
        <v>445</v>
      </c>
      <c r="F392" s="2" t="n">
        <v>3</v>
      </c>
      <c r="G392" s="2" t="s">
        <v>18</v>
      </c>
      <c r="H392" s="2" t="s">
        <v>78</v>
      </c>
      <c r="I392" s="2" t="s">
        <v>1689</v>
      </c>
      <c r="J392" s="2" t="s">
        <v>86</v>
      </c>
      <c r="K392" s="2" t="n">
        <v>7000</v>
      </c>
      <c r="L392" s="2" t="n">
        <v>250</v>
      </c>
      <c r="M392" s="2" t="n">
        <v>750</v>
      </c>
      <c r="N392" s="2" t="s">
        <v>1690</v>
      </c>
    </row>
    <row r="393" customFormat="false" ht="15" hidden="false" customHeight="false" outlineLevel="0" collapsed="false">
      <c r="A393" s="3" t="s">
        <v>1691</v>
      </c>
      <c r="B393" s="3" t="s">
        <v>1692</v>
      </c>
      <c r="C393" s="3" t="n">
        <v>1624</v>
      </c>
      <c r="D393" s="3" t="s">
        <v>147</v>
      </c>
      <c r="E393" s="3" t="s">
        <v>120</v>
      </c>
      <c r="F393" s="3" t="n">
        <v>1</v>
      </c>
      <c r="G393" s="3" t="s">
        <v>51</v>
      </c>
      <c r="H393" s="3" t="s">
        <v>36</v>
      </c>
      <c r="I393" s="3" t="s">
        <v>1693</v>
      </c>
      <c r="J393" s="3" t="s">
        <v>170</v>
      </c>
      <c r="K393" s="3" t="n">
        <v>2500</v>
      </c>
      <c r="L393" s="3" t="n">
        <v>600</v>
      </c>
      <c r="M393" s="3" t="n">
        <v>600</v>
      </c>
      <c r="N393" s="3" t="s">
        <v>1694</v>
      </c>
    </row>
    <row r="394" customFormat="false" ht="15" hidden="false" customHeight="false" outlineLevel="0" collapsed="false">
      <c r="A394" s="2" t="s">
        <v>1666</v>
      </c>
      <c r="B394" s="2" t="s">
        <v>229</v>
      </c>
      <c r="C394" s="2" t="n">
        <v>1625</v>
      </c>
      <c r="D394" s="2" t="s">
        <v>49</v>
      </c>
      <c r="E394" s="2" t="s">
        <v>1695</v>
      </c>
      <c r="F394" s="2" t="n">
        <v>3</v>
      </c>
      <c r="G394" s="2" t="s">
        <v>97</v>
      </c>
      <c r="H394" s="2" t="s">
        <v>43</v>
      </c>
      <c r="I394" s="2" t="s">
        <v>1696</v>
      </c>
      <c r="J394" s="2" t="s">
        <v>45</v>
      </c>
      <c r="K394" s="2" t="n">
        <v>3350</v>
      </c>
      <c r="L394" s="2" t="n">
        <v>250</v>
      </c>
      <c r="M394" s="2" t="n">
        <v>750</v>
      </c>
      <c r="N394" s="2" t="s">
        <v>1697</v>
      </c>
    </row>
    <row r="395" customFormat="false" ht="15" hidden="false" customHeight="false" outlineLevel="0" collapsed="false">
      <c r="A395" s="3" t="s">
        <v>1698</v>
      </c>
      <c r="B395" s="3" t="s">
        <v>1699</v>
      </c>
      <c r="C395" s="3" t="n">
        <v>1626</v>
      </c>
      <c r="D395" s="3" t="s">
        <v>147</v>
      </c>
      <c r="E395" s="3" t="s">
        <v>1039</v>
      </c>
      <c r="F395" s="3" t="n">
        <v>1</v>
      </c>
      <c r="G395" s="3" t="s">
        <v>51</v>
      </c>
      <c r="H395" s="3" t="s">
        <v>19</v>
      </c>
      <c r="I395" s="3" t="s">
        <v>1700</v>
      </c>
      <c r="J395" s="3" t="s">
        <v>73</v>
      </c>
      <c r="K395" s="3" t="n">
        <v>6160</v>
      </c>
      <c r="L395" s="3" t="n">
        <v>600</v>
      </c>
      <c r="M395" s="3" t="n">
        <v>600</v>
      </c>
      <c r="N395" s="3" t="s">
        <v>1701</v>
      </c>
    </row>
    <row r="396" customFormat="false" ht="15" hidden="false" customHeight="false" outlineLevel="0" collapsed="false">
      <c r="A396" s="2" t="s">
        <v>1702</v>
      </c>
      <c r="B396" s="2" t="s">
        <v>1703</v>
      </c>
      <c r="C396" s="2" t="n">
        <v>1627</v>
      </c>
      <c r="D396" s="2" t="s">
        <v>108</v>
      </c>
      <c r="E396" s="2" t="s">
        <v>1704</v>
      </c>
      <c r="F396" s="2" t="n">
        <v>1</v>
      </c>
      <c r="G396" s="2" t="s">
        <v>18</v>
      </c>
      <c r="H396" s="2" t="s">
        <v>121</v>
      </c>
      <c r="I396" s="2" t="s">
        <v>1705</v>
      </c>
      <c r="J396" s="2" t="s">
        <v>123</v>
      </c>
      <c r="K396" s="2" t="n">
        <v>800</v>
      </c>
      <c r="L396" s="2" t="n">
        <v>1200</v>
      </c>
      <c r="M396" s="2" t="n">
        <v>1200</v>
      </c>
      <c r="N396" s="2" t="s">
        <v>1706</v>
      </c>
    </row>
    <row r="397" customFormat="false" ht="15" hidden="false" customHeight="false" outlineLevel="0" collapsed="false">
      <c r="A397" s="3" t="s">
        <v>1707</v>
      </c>
      <c r="B397" s="3" t="s">
        <v>1708</v>
      </c>
      <c r="C397" s="3" t="n">
        <v>1628</v>
      </c>
      <c r="D397" s="3" t="s">
        <v>25</v>
      </c>
      <c r="E397" s="3" t="s">
        <v>71</v>
      </c>
      <c r="F397" s="3" t="n">
        <v>3</v>
      </c>
      <c r="G397" s="3" t="s">
        <v>51</v>
      </c>
      <c r="H397" s="3" t="s">
        <v>43</v>
      </c>
      <c r="I397" s="3" t="s">
        <v>1709</v>
      </c>
      <c r="J397" s="3" t="s">
        <v>45</v>
      </c>
      <c r="K397" s="3" t="n">
        <v>3350</v>
      </c>
      <c r="L397" s="3" t="n">
        <v>800</v>
      </c>
      <c r="M397" s="3" t="n">
        <v>2400</v>
      </c>
      <c r="N397" s="3" t="s">
        <v>1710</v>
      </c>
    </row>
    <row r="398" customFormat="false" ht="15" hidden="false" customHeight="false" outlineLevel="0" collapsed="false">
      <c r="A398" s="2" t="s">
        <v>358</v>
      </c>
      <c r="B398" s="2" t="s">
        <v>765</v>
      </c>
      <c r="C398" s="2" t="n">
        <v>1629</v>
      </c>
      <c r="D398" s="2" t="s">
        <v>108</v>
      </c>
      <c r="E398" s="2" t="s">
        <v>1711</v>
      </c>
      <c r="F398" s="2" t="n">
        <v>3</v>
      </c>
      <c r="G398" s="2" t="s">
        <v>51</v>
      </c>
      <c r="H398" s="2" t="s">
        <v>121</v>
      </c>
      <c r="I398" s="2" t="s">
        <v>1712</v>
      </c>
      <c r="J398" s="2" t="s">
        <v>317</v>
      </c>
      <c r="K398" s="2" t="n">
        <v>870</v>
      </c>
      <c r="L398" s="2" t="n">
        <v>1200</v>
      </c>
      <c r="M398" s="2" t="n">
        <v>3600</v>
      </c>
      <c r="N398" s="2" t="s">
        <v>1713</v>
      </c>
    </row>
    <row r="399" customFormat="false" ht="15" hidden="false" customHeight="false" outlineLevel="0" collapsed="false">
      <c r="A399" s="3" t="s">
        <v>1354</v>
      </c>
      <c r="B399" s="3" t="s">
        <v>1714</v>
      </c>
      <c r="C399" s="3" t="n">
        <v>1630</v>
      </c>
      <c r="D399" s="3" t="s">
        <v>147</v>
      </c>
      <c r="E399" s="3" t="s">
        <v>1715</v>
      </c>
      <c r="F399" s="3" t="n">
        <v>3</v>
      </c>
      <c r="G399" s="3" t="s">
        <v>51</v>
      </c>
      <c r="H399" s="3" t="s">
        <v>19</v>
      </c>
      <c r="I399" s="3" t="s">
        <v>1716</v>
      </c>
      <c r="J399" s="3" t="s">
        <v>21</v>
      </c>
      <c r="K399" s="3" t="n">
        <v>6725</v>
      </c>
      <c r="L399" s="3" t="n">
        <v>600</v>
      </c>
      <c r="M399" s="3" t="n">
        <v>1800</v>
      </c>
      <c r="N399" s="3" t="s">
        <v>1717</v>
      </c>
    </row>
    <row r="400" customFormat="false" ht="15" hidden="false" customHeight="false" outlineLevel="0" collapsed="false">
      <c r="A400" s="2" t="s">
        <v>1542</v>
      </c>
      <c r="B400" s="2" t="s">
        <v>439</v>
      </c>
      <c r="C400" s="2" t="n">
        <v>1631</v>
      </c>
      <c r="D400" s="2" t="s">
        <v>34</v>
      </c>
      <c r="E400" s="2" t="s">
        <v>1718</v>
      </c>
      <c r="F400" s="2" t="n">
        <v>3</v>
      </c>
      <c r="G400" s="2" t="s">
        <v>18</v>
      </c>
      <c r="H400" s="2" t="s">
        <v>78</v>
      </c>
      <c r="I400" s="2" t="s">
        <v>1719</v>
      </c>
      <c r="J400" s="2" t="s">
        <v>86</v>
      </c>
      <c r="K400" s="2" t="n">
        <v>7000</v>
      </c>
      <c r="L400" s="2" t="n">
        <v>300</v>
      </c>
      <c r="M400" s="2" t="n">
        <v>900</v>
      </c>
      <c r="N400" s="2" t="s">
        <v>1720</v>
      </c>
    </row>
    <row r="401" customFormat="false" ht="15" hidden="false" customHeight="false" outlineLevel="0" collapsed="false">
      <c r="A401" s="3" t="s">
        <v>1721</v>
      </c>
      <c r="B401" s="3" t="s">
        <v>1114</v>
      </c>
      <c r="C401" s="3" t="n">
        <v>1632</v>
      </c>
      <c r="D401" s="3" t="s">
        <v>147</v>
      </c>
      <c r="E401" s="3" t="s">
        <v>1722</v>
      </c>
      <c r="F401" s="3" t="n">
        <v>3</v>
      </c>
      <c r="G401" s="3" t="s">
        <v>18</v>
      </c>
      <c r="H401" s="3" t="s">
        <v>43</v>
      </c>
      <c r="I401" s="3" t="s">
        <v>1723</v>
      </c>
      <c r="J401" s="3" t="s">
        <v>111</v>
      </c>
      <c r="K401" s="3" t="n">
        <v>3000</v>
      </c>
      <c r="L401" s="3" t="n">
        <v>600</v>
      </c>
      <c r="M401" s="3" t="n">
        <v>1800</v>
      </c>
      <c r="N401" s="3" t="s">
        <v>1724</v>
      </c>
    </row>
    <row r="402" customFormat="false" ht="15" hidden="false" customHeight="false" outlineLevel="0" collapsed="false">
      <c r="A402" s="2" t="s">
        <v>140</v>
      </c>
      <c r="B402" s="2" t="s">
        <v>1725</v>
      </c>
      <c r="C402" s="2" t="n">
        <v>1633</v>
      </c>
      <c r="D402" s="2" t="s">
        <v>108</v>
      </c>
      <c r="E402" s="2" t="s">
        <v>858</v>
      </c>
      <c r="F402" s="2" t="n">
        <v>3</v>
      </c>
      <c r="G402" s="2" t="s">
        <v>51</v>
      </c>
      <c r="H402" s="2" t="s">
        <v>28</v>
      </c>
      <c r="I402" s="2" t="s">
        <v>1726</v>
      </c>
      <c r="J402" s="2" t="s">
        <v>30</v>
      </c>
      <c r="K402" s="2" t="n">
        <v>2600</v>
      </c>
      <c r="L402" s="2" t="n">
        <v>1200</v>
      </c>
      <c r="M402" s="2" t="n">
        <v>3600</v>
      </c>
      <c r="N402" s="2" t="s">
        <v>1727</v>
      </c>
    </row>
    <row r="403" customFormat="false" ht="15" hidden="false" customHeight="false" outlineLevel="0" collapsed="false">
      <c r="A403" s="3" t="s">
        <v>1728</v>
      </c>
      <c r="B403" s="3" t="s">
        <v>1729</v>
      </c>
      <c r="C403" s="3" t="n">
        <v>1634</v>
      </c>
      <c r="D403" s="3" t="s">
        <v>25</v>
      </c>
      <c r="E403" s="3" t="s">
        <v>1730</v>
      </c>
      <c r="F403" s="3" t="n">
        <v>3</v>
      </c>
      <c r="G403" s="3" t="s">
        <v>51</v>
      </c>
      <c r="H403" s="3" t="s">
        <v>121</v>
      </c>
      <c r="I403" s="3" t="s">
        <v>1731</v>
      </c>
      <c r="J403" s="3" t="s">
        <v>123</v>
      </c>
      <c r="K403" s="3" t="n">
        <v>800</v>
      </c>
      <c r="L403" s="3" t="n">
        <v>800</v>
      </c>
      <c r="M403" s="3" t="n">
        <v>2400</v>
      </c>
      <c r="N403" s="3" t="s">
        <v>1732</v>
      </c>
    </row>
    <row r="404" customFormat="false" ht="15" hidden="false" customHeight="false" outlineLevel="0" collapsed="false">
      <c r="A404" s="2" t="s">
        <v>1733</v>
      </c>
      <c r="B404" s="2" t="s">
        <v>618</v>
      </c>
      <c r="C404" s="2" t="n">
        <v>1635</v>
      </c>
      <c r="D404" s="2" t="s">
        <v>108</v>
      </c>
      <c r="E404" s="2" t="s">
        <v>190</v>
      </c>
      <c r="F404" s="2" t="n">
        <v>2</v>
      </c>
      <c r="G404" s="2" t="s">
        <v>18</v>
      </c>
      <c r="H404" s="2" t="s">
        <v>43</v>
      </c>
      <c r="I404" s="2" t="s">
        <v>1734</v>
      </c>
      <c r="J404" s="2" t="s">
        <v>111</v>
      </c>
      <c r="K404" s="2" t="n">
        <v>3000</v>
      </c>
      <c r="L404" s="2" t="n">
        <v>1200</v>
      </c>
      <c r="M404" s="2" t="n">
        <v>2400</v>
      </c>
      <c r="N404" s="2" t="s">
        <v>1735</v>
      </c>
    </row>
    <row r="405" customFormat="false" ht="15" hidden="false" customHeight="false" outlineLevel="0" collapsed="false">
      <c r="A405" s="3" t="s">
        <v>82</v>
      </c>
      <c r="B405" s="3" t="s">
        <v>1736</v>
      </c>
      <c r="C405" s="3" t="n">
        <v>1636</v>
      </c>
      <c r="D405" s="3" t="s">
        <v>16</v>
      </c>
      <c r="E405" s="3" t="s">
        <v>1737</v>
      </c>
      <c r="F405" s="3" t="n">
        <v>2</v>
      </c>
      <c r="G405" s="3" t="s">
        <v>97</v>
      </c>
      <c r="H405" s="3" t="s">
        <v>43</v>
      </c>
      <c r="I405" s="3" t="s">
        <v>1738</v>
      </c>
      <c r="J405" s="3" t="s">
        <v>111</v>
      </c>
      <c r="K405" s="3" t="n">
        <v>3000</v>
      </c>
      <c r="L405" s="3" t="n">
        <v>250</v>
      </c>
      <c r="M405" s="3" t="n">
        <v>500</v>
      </c>
      <c r="N405" s="3" t="s">
        <v>1739</v>
      </c>
    </row>
    <row r="406" customFormat="false" ht="15" hidden="false" customHeight="false" outlineLevel="0" collapsed="false">
      <c r="A406" s="2" t="s">
        <v>1740</v>
      </c>
      <c r="B406" s="2" t="s">
        <v>1741</v>
      </c>
      <c r="C406" s="2" t="n">
        <v>1637</v>
      </c>
      <c r="D406" s="2" t="s">
        <v>34</v>
      </c>
      <c r="E406" s="2" t="s">
        <v>1507</v>
      </c>
      <c r="F406" s="2" t="n">
        <v>3</v>
      </c>
      <c r="G406" s="2" t="s">
        <v>51</v>
      </c>
      <c r="H406" s="2" t="s">
        <v>19</v>
      </c>
      <c r="I406" s="2" t="s">
        <v>1742</v>
      </c>
      <c r="J406" s="2" t="s">
        <v>73</v>
      </c>
      <c r="K406" s="2" t="n">
        <v>6160</v>
      </c>
      <c r="L406" s="2" t="n">
        <v>300</v>
      </c>
      <c r="M406" s="2" t="n">
        <v>900</v>
      </c>
      <c r="N406" s="2" t="s">
        <v>1743</v>
      </c>
    </row>
    <row r="407" customFormat="false" ht="15" hidden="false" customHeight="false" outlineLevel="0" collapsed="false">
      <c r="A407" s="3" t="s">
        <v>1744</v>
      </c>
      <c r="B407" s="3" t="s">
        <v>1306</v>
      </c>
      <c r="C407" s="3" t="n">
        <v>1638</v>
      </c>
      <c r="D407" s="3" t="s">
        <v>25</v>
      </c>
      <c r="E407" s="3" t="s">
        <v>1745</v>
      </c>
      <c r="F407" s="3" t="n">
        <v>1</v>
      </c>
      <c r="G407" s="3" t="s">
        <v>27</v>
      </c>
      <c r="H407" s="3" t="s">
        <v>28</v>
      </c>
      <c r="I407" s="3" t="s">
        <v>1746</v>
      </c>
      <c r="J407" s="3" t="s">
        <v>30</v>
      </c>
      <c r="K407" s="3" t="n">
        <v>2600</v>
      </c>
      <c r="L407" s="3" t="n">
        <v>800</v>
      </c>
      <c r="M407" s="3" t="n">
        <v>800</v>
      </c>
      <c r="N407" s="3" t="s">
        <v>1747</v>
      </c>
    </row>
    <row r="408" customFormat="false" ht="15" hidden="false" customHeight="false" outlineLevel="0" collapsed="false">
      <c r="A408" s="2" t="s">
        <v>1748</v>
      </c>
      <c r="B408" s="2" t="s">
        <v>1090</v>
      </c>
      <c r="C408" s="2" t="n">
        <v>1639</v>
      </c>
      <c r="D408" s="2" t="s">
        <v>49</v>
      </c>
      <c r="E408" s="2" t="s">
        <v>907</v>
      </c>
      <c r="F408" s="2" t="n">
        <v>3</v>
      </c>
      <c r="G408" s="2" t="s">
        <v>97</v>
      </c>
      <c r="H408" s="2" t="s">
        <v>43</v>
      </c>
      <c r="I408" s="2" t="s">
        <v>1749</v>
      </c>
      <c r="J408" s="2" t="s">
        <v>111</v>
      </c>
      <c r="K408" s="2" t="n">
        <v>3000</v>
      </c>
      <c r="L408" s="2" t="n">
        <v>250</v>
      </c>
      <c r="M408" s="2" t="n">
        <v>750</v>
      </c>
      <c r="N408" s="2" t="s">
        <v>1750</v>
      </c>
    </row>
    <row r="409" customFormat="false" ht="15" hidden="false" customHeight="false" outlineLevel="0" collapsed="false">
      <c r="A409" s="3" t="s">
        <v>1751</v>
      </c>
      <c r="B409" s="3" t="s">
        <v>1752</v>
      </c>
      <c r="C409" s="3" t="n">
        <v>1640</v>
      </c>
      <c r="D409" s="3" t="s">
        <v>49</v>
      </c>
      <c r="E409" s="3" t="s">
        <v>311</v>
      </c>
      <c r="F409" s="3" t="n">
        <v>3</v>
      </c>
      <c r="G409" s="3" t="s">
        <v>51</v>
      </c>
      <c r="H409" s="3" t="s">
        <v>78</v>
      </c>
      <c r="I409" s="3" t="s">
        <v>1753</v>
      </c>
      <c r="J409" s="3" t="s">
        <v>80</v>
      </c>
      <c r="K409" s="3" t="n">
        <v>7250</v>
      </c>
      <c r="L409" s="3" t="n">
        <v>250</v>
      </c>
      <c r="M409" s="3" t="n">
        <v>750</v>
      </c>
      <c r="N409" s="3" t="s">
        <v>1754</v>
      </c>
    </row>
    <row r="410" customFormat="false" ht="15" hidden="false" customHeight="false" outlineLevel="0" collapsed="false">
      <c r="A410" s="2" t="s">
        <v>1755</v>
      </c>
      <c r="B410" s="2" t="s">
        <v>1756</v>
      </c>
      <c r="C410" s="2" t="n">
        <v>1641</v>
      </c>
      <c r="D410" s="2" t="s">
        <v>147</v>
      </c>
      <c r="E410" s="2" t="s">
        <v>306</v>
      </c>
      <c r="F410" s="2" t="n">
        <v>2</v>
      </c>
      <c r="G410" s="2" t="s">
        <v>51</v>
      </c>
      <c r="H410" s="2" t="s">
        <v>28</v>
      </c>
      <c r="I410" s="2" t="s">
        <v>1757</v>
      </c>
      <c r="J410" s="2" t="s">
        <v>30</v>
      </c>
      <c r="K410" s="2" t="n">
        <v>2600</v>
      </c>
      <c r="L410" s="2" t="n">
        <v>600</v>
      </c>
      <c r="M410" s="2" t="n">
        <v>1200</v>
      </c>
      <c r="N410" s="2" t="s">
        <v>1758</v>
      </c>
    </row>
    <row r="411" customFormat="false" ht="15" hidden="false" customHeight="false" outlineLevel="0" collapsed="false">
      <c r="A411" s="3" t="s">
        <v>1759</v>
      </c>
      <c r="B411" s="3" t="s">
        <v>1760</v>
      </c>
      <c r="C411" s="3" t="n">
        <v>1642</v>
      </c>
      <c r="D411" s="3" t="s">
        <v>34</v>
      </c>
      <c r="E411" s="3" t="s">
        <v>90</v>
      </c>
      <c r="F411" s="3" t="n">
        <v>3</v>
      </c>
      <c r="G411" s="3" t="s">
        <v>27</v>
      </c>
      <c r="H411" s="3" t="s">
        <v>52</v>
      </c>
      <c r="I411" s="3" t="s">
        <v>1761</v>
      </c>
      <c r="J411" s="3" t="s">
        <v>182</v>
      </c>
      <c r="K411" s="3" t="n">
        <v>4000</v>
      </c>
      <c r="L411" s="3" t="n">
        <v>300</v>
      </c>
      <c r="M411" s="3" t="n">
        <v>900</v>
      </c>
      <c r="N411" s="3" t="s">
        <v>1762</v>
      </c>
    </row>
    <row r="412" customFormat="false" ht="15" hidden="false" customHeight="false" outlineLevel="0" collapsed="false">
      <c r="A412" s="2" t="s">
        <v>1721</v>
      </c>
      <c r="B412" s="2" t="s">
        <v>1763</v>
      </c>
      <c r="C412" s="2" t="n">
        <v>1643</v>
      </c>
      <c r="D412" s="2" t="s">
        <v>16</v>
      </c>
      <c r="E412" s="2" t="s">
        <v>1764</v>
      </c>
      <c r="F412" s="2" t="n">
        <v>1</v>
      </c>
      <c r="G412" s="2" t="s">
        <v>27</v>
      </c>
      <c r="H412" s="2" t="s">
        <v>43</v>
      </c>
      <c r="I412" s="2" t="s">
        <v>1765</v>
      </c>
      <c r="J412" s="2" t="s">
        <v>67</v>
      </c>
      <c r="K412" s="2" t="n">
        <v>3220</v>
      </c>
      <c r="L412" s="2" t="n">
        <v>250</v>
      </c>
      <c r="M412" s="2" t="n">
        <v>250</v>
      </c>
      <c r="N412" s="2" t="s">
        <v>1766</v>
      </c>
    </row>
    <row r="413" customFormat="false" ht="15" hidden="false" customHeight="false" outlineLevel="0" collapsed="false">
      <c r="A413" s="3" t="s">
        <v>1406</v>
      </c>
      <c r="B413" s="3" t="s">
        <v>215</v>
      </c>
      <c r="C413" s="3" t="n">
        <v>1644</v>
      </c>
      <c r="D413" s="3" t="s">
        <v>147</v>
      </c>
      <c r="E413" s="3" t="s">
        <v>1097</v>
      </c>
      <c r="F413" s="3" t="n">
        <v>1</v>
      </c>
      <c r="G413" s="3" t="s">
        <v>51</v>
      </c>
      <c r="H413" s="3" t="s">
        <v>36</v>
      </c>
      <c r="I413" s="3" t="s">
        <v>1767</v>
      </c>
      <c r="J413" s="3" t="s">
        <v>170</v>
      </c>
      <c r="K413" s="3" t="n">
        <v>2500</v>
      </c>
      <c r="L413" s="3" t="n">
        <v>600</v>
      </c>
      <c r="M413" s="3" t="n">
        <v>600</v>
      </c>
      <c r="N413" s="3" t="s">
        <v>1768</v>
      </c>
    </row>
    <row r="414" customFormat="false" ht="15" hidden="false" customHeight="false" outlineLevel="0" collapsed="false">
      <c r="A414" s="2" t="s">
        <v>1769</v>
      </c>
      <c r="B414" s="2" t="s">
        <v>1770</v>
      </c>
      <c r="C414" s="2" t="n">
        <v>1645</v>
      </c>
      <c r="D414" s="2" t="s">
        <v>108</v>
      </c>
      <c r="E414" s="2" t="s">
        <v>1745</v>
      </c>
      <c r="F414" s="2" t="n">
        <v>3</v>
      </c>
      <c r="G414" s="2" t="s">
        <v>18</v>
      </c>
      <c r="H414" s="2" t="s">
        <v>78</v>
      </c>
      <c r="I414" s="2" t="s">
        <v>1771</v>
      </c>
      <c r="J414" s="2" t="s">
        <v>86</v>
      </c>
      <c r="K414" s="2" t="n">
        <v>7000</v>
      </c>
      <c r="L414" s="2" t="n">
        <v>1200</v>
      </c>
      <c r="M414" s="2" t="n">
        <v>3600</v>
      </c>
      <c r="N414" s="2" t="s">
        <v>1772</v>
      </c>
    </row>
    <row r="415" customFormat="false" ht="15" hidden="false" customHeight="false" outlineLevel="0" collapsed="false">
      <c r="A415" s="3" t="s">
        <v>130</v>
      </c>
      <c r="B415" s="3" t="s">
        <v>1773</v>
      </c>
      <c r="C415" s="3" t="n">
        <v>1646</v>
      </c>
      <c r="D415" s="3" t="s">
        <v>147</v>
      </c>
      <c r="E415" s="3" t="s">
        <v>1774</v>
      </c>
      <c r="F415" s="3" t="n">
        <v>3</v>
      </c>
      <c r="G415" s="3" t="s">
        <v>27</v>
      </c>
      <c r="H415" s="3" t="s">
        <v>28</v>
      </c>
      <c r="I415" s="3" t="s">
        <v>1775</v>
      </c>
      <c r="J415" s="3" t="s">
        <v>30</v>
      </c>
      <c r="K415" s="3" t="n">
        <v>2600</v>
      </c>
      <c r="L415" s="3" t="n">
        <v>600</v>
      </c>
      <c r="M415" s="3" t="n">
        <v>1800</v>
      </c>
      <c r="N415" s="3" t="s">
        <v>1776</v>
      </c>
    </row>
    <row r="416" customFormat="false" ht="15" hidden="false" customHeight="false" outlineLevel="0" collapsed="false">
      <c r="A416" s="2" t="s">
        <v>1777</v>
      </c>
      <c r="B416" s="2" t="s">
        <v>500</v>
      </c>
      <c r="C416" s="2" t="n">
        <v>1647</v>
      </c>
      <c r="D416" s="2" t="s">
        <v>16</v>
      </c>
      <c r="E416" s="2" t="s">
        <v>449</v>
      </c>
      <c r="F416" s="2" t="n">
        <v>2</v>
      </c>
      <c r="G416" s="2" t="s">
        <v>18</v>
      </c>
      <c r="H416" s="2" t="s">
        <v>59</v>
      </c>
      <c r="I416" s="2" t="s">
        <v>1778</v>
      </c>
      <c r="J416" s="2" t="s">
        <v>292</v>
      </c>
      <c r="K416" s="2" t="n">
        <v>5600</v>
      </c>
      <c r="L416" s="2" t="n">
        <v>250</v>
      </c>
      <c r="M416" s="2" t="n">
        <v>500</v>
      </c>
      <c r="N416" s="2" t="s">
        <v>1779</v>
      </c>
    </row>
    <row r="417" customFormat="false" ht="15" hidden="false" customHeight="false" outlineLevel="0" collapsed="false">
      <c r="A417" s="3" t="s">
        <v>1780</v>
      </c>
      <c r="B417" s="3" t="s">
        <v>1781</v>
      </c>
      <c r="C417" s="3" t="n">
        <v>1648</v>
      </c>
      <c r="D417" s="3" t="s">
        <v>49</v>
      </c>
      <c r="E417" s="3" t="s">
        <v>340</v>
      </c>
      <c r="F417" s="3" t="n">
        <v>1</v>
      </c>
      <c r="G417" s="3" t="s">
        <v>18</v>
      </c>
      <c r="H417" s="3" t="s">
        <v>43</v>
      </c>
      <c r="I417" s="3" t="s">
        <v>1782</v>
      </c>
      <c r="J417" s="3" t="s">
        <v>67</v>
      </c>
      <c r="K417" s="3" t="n">
        <v>3220</v>
      </c>
      <c r="L417" s="3" t="n">
        <v>250</v>
      </c>
      <c r="M417" s="3" t="n">
        <v>250</v>
      </c>
      <c r="N417" s="3" t="s">
        <v>1783</v>
      </c>
    </row>
    <row r="418" customFormat="false" ht="15" hidden="false" customHeight="false" outlineLevel="0" collapsed="false">
      <c r="A418" s="2" t="s">
        <v>1784</v>
      </c>
      <c r="B418" s="2" t="s">
        <v>1785</v>
      </c>
      <c r="C418" s="2" t="n">
        <v>1649</v>
      </c>
      <c r="D418" s="2" t="s">
        <v>16</v>
      </c>
      <c r="E418" s="2" t="s">
        <v>685</v>
      </c>
      <c r="F418" s="2" t="n">
        <v>1</v>
      </c>
      <c r="G418" s="2" t="s">
        <v>51</v>
      </c>
      <c r="H418" s="2" t="s">
        <v>52</v>
      </c>
      <c r="I418" s="2" t="s">
        <v>1786</v>
      </c>
      <c r="J418" s="2" t="s">
        <v>54</v>
      </c>
      <c r="K418" s="2" t="n">
        <v>4217</v>
      </c>
      <c r="L418" s="2" t="n">
        <v>250</v>
      </c>
      <c r="M418" s="2" t="n">
        <v>250</v>
      </c>
      <c r="N418" s="2" t="s">
        <v>1787</v>
      </c>
    </row>
    <row r="419" customFormat="false" ht="15" hidden="false" customHeight="false" outlineLevel="0" collapsed="false">
      <c r="A419" s="3" t="s">
        <v>1788</v>
      </c>
      <c r="B419" s="3" t="s">
        <v>1789</v>
      </c>
      <c r="C419" s="3" t="n">
        <v>1650</v>
      </c>
      <c r="D419" s="3" t="s">
        <v>25</v>
      </c>
      <c r="E419" s="3" t="s">
        <v>396</v>
      </c>
      <c r="F419" s="3" t="n">
        <v>2</v>
      </c>
      <c r="G419" s="3" t="s">
        <v>51</v>
      </c>
      <c r="H419" s="3" t="s">
        <v>59</v>
      </c>
      <c r="I419" s="3" t="s">
        <v>1790</v>
      </c>
      <c r="J419" s="3" t="s">
        <v>99</v>
      </c>
      <c r="K419" s="3" t="n">
        <v>5000</v>
      </c>
      <c r="L419" s="3" t="n">
        <v>800</v>
      </c>
      <c r="M419" s="3" t="n">
        <v>1600</v>
      </c>
      <c r="N419" s="3" t="s">
        <v>1791</v>
      </c>
    </row>
    <row r="420" customFormat="false" ht="15" hidden="false" customHeight="false" outlineLevel="0" collapsed="false">
      <c r="A420" s="2" t="s">
        <v>1792</v>
      </c>
      <c r="B420" s="2" t="s">
        <v>1793</v>
      </c>
      <c r="C420" s="2" t="n">
        <v>1651</v>
      </c>
      <c r="D420" s="2" t="s">
        <v>49</v>
      </c>
      <c r="E420" s="2" t="s">
        <v>1453</v>
      </c>
      <c r="F420" s="2" t="n">
        <v>2</v>
      </c>
      <c r="G420" s="2" t="s">
        <v>97</v>
      </c>
      <c r="H420" s="2" t="s">
        <v>78</v>
      </c>
      <c r="I420" s="2" t="s">
        <v>1794</v>
      </c>
      <c r="J420" s="2" t="s">
        <v>408</v>
      </c>
      <c r="K420" s="2" t="n">
        <v>7310</v>
      </c>
      <c r="L420" s="2" t="n">
        <v>250</v>
      </c>
      <c r="M420" s="2" t="n">
        <v>500</v>
      </c>
      <c r="N420" s="2" t="s">
        <v>1795</v>
      </c>
    </row>
    <row r="421" customFormat="false" ht="15" hidden="false" customHeight="false" outlineLevel="0" collapsed="false">
      <c r="A421" s="3" t="s">
        <v>309</v>
      </c>
      <c r="B421" s="3" t="s">
        <v>1541</v>
      </c>
      <c r="C421" s="3" t="n">
        <v>1652</v>
      </c>
      <c r="D421" s="3" t="s">
        <v>108</v>
      </c>
      <c r="E421" s="3" t="s">
        <v>1796</v>
      </c>
      <c r="F421" s="3" t="n">
        <v>2</v>
      </c>
      <c r="G421" s="3" t="s">
        <v>18</v>
      </c>
      <c r="H421" s="3" t="s">
        <v>36</v>
      </c>
      <c r="I421" s="3" t="s">
        <v>1797</v>
      </c>
      <c r="J421" s="3" t="s">
        <v>192</v>
      </c>
      <c r="K421" s="3" t="n">
        <v>2000</v>
      </c>
      <c r="L421" s="3" t="n">
        <v>1200</v>
      </c>
      <c r="M421" s="3" t="n">
        <v>2400</v>
      </c>
      <c r="N421" s="3" t="s">
        <v>1798</v>
      </c>
    </row>
    <row r="422" customFormat="false" ht="15" hidden="false" customHeight="false" outlineLevel="0" collapsed="false">
      <c r="A422" s="2" t="s">
        <v>710</v>
      </c>
      <c r="B422" s="2" t="s">
        <v>57</v>
      </c>
      <c r="C422" s="2" t="n">
        <v>1653</v>
      </c>
      <c r="D422" s="2" t="s">
        <v>25</v>
      </c>
      <c r="E422" s="2" t="s">
        <v>71</v>
      </c>
      <c r="F422" s="2" t="n">
        <v>3</v>
      </c>
      <c r="G422" s="2" t="s">
        <v>27</v>
      </c>
      <c r="H422" s="2" t="s">
        <v>19</v>
      </c>
      <c r="I422" s="2" t="s">
        <v>1799</v>
      </c>
      <c r="J422" s="2" t="s">
        <v>21</v>
      </c>
      <c r="K422" s="2" t="n">
        <v>6725</v>
      </c>
      <c r="L422" s="2" t="n">
        <v>800</v>
      </c>
      <c r="M422" s="2" t="n">
        <v>2400</v>
      </c>
      <c r="N422" s="2" t="s">
        <v>1800</v>
      </c>
    </row>
    <row r="423" customFormat="false" ht="15" hidden="false" customHeight="false" outlineLevel="0" collapsed="false">
      <c r="A423" s="3" t="s">
        <v>1801</v>
      </c>
      <c r="B423" s="3" t="s">
        <v>1802</v>
      </c>
      <c r="C423" s="3" t="n">
        <v>1654</v>
      </c>
      <c r="D423" s="3" t="s">
        <v>108</v>
      </c>
      <c r="E423" s="3" t="s">
        <v>1803</v>
      </c>
      <c r="F423" s="3" t="n">
        <v>1</v>
      </c>
      <c r="G423" s="3" t="s">
        <v>18</v>
      </c>
      <c r="H423" s="3" t="s">
        <v>19</v>
      </c>
      <c r="I423" s="3" t="s">
        <v>1804</v>
      </c>
      <c r="J423" s="3" t="s">
        <v>21</v>
      </c>
      <c r="K423" s="3" t="n">
        <v>6725</v>
      </c>
      <c r="L423" s="3" t="n">
        <v>1200</v>
      </c>
      <c r="M423" s="3" t="n">
        <v>1200</v>
      </c>
      <c r="N423" s="3" t="s">
        <v>1805</v>
      </c>
    </row>
    <row r="424" customFormat="false" ht="15" hidden="false" customHeight="false" outlineLevel="0" collapsed="false">
      <c r="A424" s="2" t="s">
        <v>1806</v>
      </c>
      <c r="B424" s="2" t="s">
        <v>901</v>
      </c>
      <c r="C424" s="2" t="n">
        <v>1655</v>
      </c>
      <c r="D424" s="2" t="s">
        <v>25</v>
      </c>
      <c r="E424" s="2" t="s">
        <v>493</v>
      </c>
      <c r="F424" s="2" t="n">
        <v>3</v>
      </c>
      <c r="G424" s="2" t="s">
        <v>18</v>
      </c>
      <c r="H424" s="2" t="s">
        <v>121</v>
      </c>
      <c r="I424" s="2" t="s">
        <v>1807</v>
      </c>
      <c r="J424" s="2" t="s">
        <v>317</v>
      </c>
      <c r="K424" s="2" t="n">
        <v>870</v>
      </c>
      <c r="L424" s="2" t="n">
        <v>800</v>
      </c>
      <c r="M424" s="2" t="n">
        <v>2400</v>
      </c>
      <c r="N424" s="2" t="s">
        <v>1808</v>
      </c>
    </row>
    <row r="425" customFormat="false" ht="15" hidden="false" customHeight="false" outlineLevel="0" collapsed="false">
      <c r="A425" s="3" t="s">
        <v>1100</v>
      </c>
      <c r="B425" s="3" t="s">
        <v>711</v>
      </c>
      <c r="C425" s="3" t="n">
        <v>1656</v>
      </c>
      <c r="D425" s="3" t="s">
        <v>49</v>
      </c>
      <c r="E425" s="3" t="s">
        <v>1530</v>
      </c>
      <c r="F425" s="3" t="n">
        <v>3</v>
      </c>
      <c r="G425" s="3" t="s">
        <v>51</v>
      </c>
      <c r="H425" s="3" t="s">
        <v>52</v>
      </c>
      <c r="I425" s="3" t="s">
        <v>1809</v>
      </c>
      <c r="J425" s="3" t="s">
        <v>92</v>
      </c>
      <c r="K425" s="3" t="n">
        <v>4870</v>
      </c>
      <c r="L425" s="3" t="n">
        <v>250</v>
      </c>
      <c r="M425" s="3" t="n">
        <v>750</v>
      </c>
      <c r="N425" s="3" t="s">
        <v>1810</v>
      </c>
    </row>
    <row r="426" customFormat="false" ht="15" hidden="false" customHeight="false" outlineLevel="0" collapsed="false">
      <c r="A426" s="2" t="s">
        <v>1811</v>
      </c>
      <c r="B426" s="2" t="s">
        <v>1812</v>
      </c>
      <c r="C426" s="2" t="n">
        <v>1657</v>
      </c>
      <c r="D426" s="2" t="s">
        <v>34</v>
      </c>
      <c r="E426" s="2" t="s">
        <v>1813</v>
      </c>
      <c r="F426" s="2" t="n">
        <v>2</v>
      </c>
      <c r="G426" s="2" t="s">
        <v>18</v>
      </c>
      <c r="H426" s="2" t="s">
        <v>19</v>
      </c>
      <c r="I426" s="2" t="s">
        <v>1814</v>
      </c>
      <c r="J426" s="2" t="s">
        <v>176</v>
      </c>
      <c r="K426" s="2" t="n">
        <v>6000</v>
      </c>
      <c r="L426" s="2" t="n">
        <v>300</v>
      </c>
      <c r="M426" s="2" t="n">
        <v>600</v>
      </c>
      <c r="N426" s="2" t="s">
        <v>1815</v>
      </c>
    </row>
    <row r="427" customFormat="false" ht="15" hidden="false" customHeight="false" outlineLevel="0" collapsed="false">
      <c r="A427" s="3" t="s">
        <v>234</v>
      </c>
      <c r="B427" s="3" t="s">
        <v>64</v>
      </c>
      <c r="C427" s="3" t="n">
        <v>1658</v>
      </c>
      <c r="D427" s="3" t="s">
        <v>25</v>
      </c>
      <c r="E427" s="3" t="s">
        <v>256</v>
      </c>
      <c r="F427" s="3" t="n">
        <v>1</v>
      </c>
      <c r="G427" s="3" t="s">
        <v>97</v>
      </c>
      <c r="H427" s="3" t="s">
        <v>78</v>
      </c>
      <c r="I427" s="3" t="s">
        <v>1816</v>
      </c>
      <c r="J427" s="3" t="s">
        <v>80</v>
      </c>
      <c r="K427" s="3" t="n">
        <v>7250</v>
      </c>
      <c r="L427" s="3" t="n">
        <v>800</v>
      </c>
      <c r="M427" s="3" t="n">
        <v>800</v>
      </c>
      <c r="N427" s="3" t="s">
        <v>1817</v>
      </c>
    </row>
    <row r="428" customFormat="false" ht="15" hidden="false" customHeight="false" outlineLevel="0" collapsed="false">
      <c r="A428" s="2" t="s">
        <v>1818</v>
      </c>
      <c r="B428" s="2" t="s">
        <v>1819</v>
      </c>
      <c r="C428" s="2" t="n">
        <v>1659</v>
      </c>
      <c r="D428" s="2" t="s">
        <v>16</v>
      </c>
      <c r="E428" s="2" t="s">
        <v>1156</v>
      </c>
      <c r="F428" s="2" t="n">
        <v>3</v>
      </c>
      <c r="G428" s="2" t="s">
        <v>51</v>
      </c>
      <c r="H428" s="2" t="s">
        <v>121</v>
      </c>
      <c r="I428" s="2" t="s">
        <v>1820</v>
      </c>
      <c r="J428" s="2" t="s">
        <v>317</v>
      </c>
      <c r="K428" s="2" t="n">
        <v>870</v>
      </c>
      <c r="L428" s="2" t="n">
        <v>250</v>
      </c>
      <c r="M428" s="2" t="n">
        <v>750</v>
      </c>
      <c r="N428" s="2" t="s">
        <v>1821</v>
      </c>
    </row>
    <row r="429" customFormat="false" ht="15" hidden="false" customHeight="false" outlineLevel="0" collapsed="false">
      <c r="A429" s="3" t="s">
        <v>1822</v>
      </c>
      <c r="B429" s="3" t="s">
        <v>1823</v>
      </c>
      <c r="C429" s="3" t="n">
        <v>1660</v>
      </c>
      <c r="D429" s="3" t="s">
        <v>34</v>
      </c>
      <c r="E429" s="3" t="s">
        <v>1824</v>
      </c>
      <c r="F429" s="3" t="n">
        <v>2</v>
      </c>
      <c r="G429" s="3" t="s">
        <v>51</v>
      </c>
      <c r="H429" s="3" t="s">
        <v>78</v>
      </c>
      <c r="I429" s="3" t="s">
        <v>1825</v>
      </c>
      <c r="J429" s="3" t="s">
        <v>86</v>
      </c>
      <c r="K429" s="3" t="n">
        <v>7000</v>
      </c>
      <c r="L429" s="3" t="n">
        <v>300</v>
      </c>
      <c r="M429" s="3" t="n">
        <v>600</v>
      </c>
      <c r="N429" s="3" t="s">
        <v>1826</v>
      </c>
    </row>
    <row r="430" customFormat="false" ht="15" hidden="false" customHeight="false" outlineLevel="0" collapsed="false">
      <c r="A430" s="2" t="s">
        <v>1085</v>
      </c>
      <c r="B430" s="2" t="s">
        <v>1827</v>
      </c>
      <c r="C430" s="2" t="n">
        <v>1661</v>
      </c>
      <c r="D430" s="2" t="s">
        <v>49</v>
      </c>
      <c r="E430" s="2" t="s">
        <v>396</v>
      </c>
      <c r="F430" s="2" t="n">
        <v>1</v>
      </c>
      <c r="G430" s="2" t="s">
        <v>27</v>
      </c>
      <c r="H430" s="2" t="s">
        <v>36</v>
      </c>
      <c r="I430" s="2" t="s">
        <v>1828</v>
      </c>
      <c r="J430" s="2" t="s">
        <v>38</v>
      </c>
      <c r="K430" s="2" t="n">
        <v>2300</v>
      </c>
      <c r="L430" s="2" t="n">
        <v>250</v>
      </c>
      <c r="M430" s="2" t="n">
        <v>250</v>
      </c>
      <c r="N430" s="2" t="s">
        <v>1829</v>
      </c>
    </row>
    <row r="431" customFormat="false" ht="15" hidden="false" customHeight="false" outlineLevel="0" collapsed="false">
      <c r="A431" s="3" t="s">
        <v>482</v>
      </c>
      <c r="B431" s="3" t="s">
        <v>1313</v>
      </c>
      <c r="C431" s="3" t="n">
        <v>1662</v>
      </c>
      <c r="D431" s="3" t="s">
        <v>147</v>
      </c>
      <c r="E431" s="3" t="s">
        <v>1586</v>
      </c>
      <c r="F431" s="3" t="n">
        <v>2</v>
      </c>
      <c r="G431" s="3" t="s">
        <v>18</v>
      </c>
      <c r="H431" s="3" t="s">
        <v>28</v>
      </c>
      <c r="I431" s="3" t="s">
        <v>1830</v>
      </c>
      <c r="J431" s="3" t="s">
        <v>30</v>
      </c>
      <c r="K431" s="3" t="n">
        <v>2600</v>
      </c>
      <c r="L431" s="3" t="n">
        <v>600</v>
      </c>
      <c r="M431" s="3" t="n">
        <v>1200</v>
      </c>
      <c r="N431" s="3" t="s">
        <v>1831</v>
      </c>
    </row>
    <row r="432" customFormat="false" ht="15" hidden="false" customHeight="false" outlineLevel="0" collapsed="false">
      <c r="A432" s="2" t="s">
        <v>1832</v>
      </c>
      <c r="B432" s="2" t="s">
        <v>1789</v>
      </c>
      <c r="C432" s="2" t="n">
        <v>1663</v>
      </c>
      <c r="D432" s="2" t="s">
        <v>49</v>
      </c>
      <c r="E432" s="2" t="s">
        <v>1314</v>
      </c>
      <c r="F432" s="2" t="n">
        <v>2</v>
      </c>
      <c r="G432" s="2" t="s">
        <v>27</v>
      </c>
      <c r="H432" s="2" t="s">
        <v>52</v>
      </c>
      <c r="I432" s="2" t="s">
        <v>1833</v>
      </c>
      <c r="J432" s="2" t="s">
        <v>92</v>
      </c>
      <c r="K432" s="2" t="n">
        <v>4870</v>
      </c>
      <c r="L432" s="2" t="n">
        <v>250</v>
      </c>
      <c r="M432" s="2" t="n">
        <v>500</v>
      </c>
      <c r="N432" s="2" t="s">
        <v>1834</v>
      </c>
    </row>
    <row r="433" customFormat="false" ht="15" hidden="false" customHeight="false" outlineLevel="0" collapsed="false">
      <c r="A433" s="3" t="s">
        <v>1305</v>
      </c>
      <c r="B433" s="3" t="s">
        <v>1835</v>
      </c>
      <c r="C433" s="3" t="n">
        <v>1664</v>
      </c>
      <c r="D433" s="3" t="s">
        <v>34</v>
      </c>
      <c r="E433" s="3" t="s">
        <v>454</v>
      </c>
      <c r="F433" s="3" t="n">
        <v>1</v>
      </c>
      <c r="G433" s="3" t="s">
        <v>18</v>
      </c>
      <c r="H433" s="3" t="s">
        <v>19</v>
      </c>
      <c r="I433" s="3" t="s">
        <v>1836</v>
      </c>
      <c r="J433" s="3" t="s">
        <v>73</v>
      </c>
      <c r="K433" s="3" t="n">
        <v>6160</v>
      </c>
      <c r="L433" s="3" t="n">
        <v>300</v>
      </c>
      <c r="M433" s="3" t="n">
        <v>300</v>
      </c>
      <c r="N433" s="3" t="s">
        <v>1837</v>
      </c>
    </row>
    <row r="434" customFormat="false" ht="15" hidden="false" customHeight="false" outlineLevel="0" collapsed="false">
      <c r="A434" s="2" t="s">
        <v>1838</v>
      </c>
      <c r="B434" s="2" t="s">
        <v>1839</v>
      </c>
      <c r="C434" s="2" t="n">
        <v>1665</v>
      </c>
      <c r="D434" s="2" t="s">
        <v>34</v>
      </c>
      <c r="E434" s="2" t="s">
        <v>1840</v>
      </c>
      <c r="F434" s="2" t="n">
        <v>2</v>
      </c>
      <c r="G434" s="2" t="s">
        <v>18</v>
      </c>
      <c r="H434" s="2" t="s">
        <v>52</v>
      </c>
      <c r="I434" s="2" t="s">
        <v>1841</v>
      </c>
      <c r="J434" s="2" t="s">
        <v>182</v>
      </c>
      <c r="K434" s="2" t="n">
        <v>4000</v>
      </c>
      <c r="L434" s="2" t="n">
        <v>300</v>
      </c>
      <c r="M434" s="2" t="n">
        <v>600</v>
      </c>
      <c r="N434" s="2" t="s">
        <v>1842</v>
      </c>
    </row>
    <row r="435" customFormat="false" ht="15" hidden="false" customHeight="false" outlineLevel="0" collapsed="false">
      <c r="A435" s="3" t="s">
        <v>1843</v>
      </c>
      <c r="B435" s="3" t="s">
        <v>1844</v>
      </c>
      <c r="C435" s="3" t="n">
        <v>1666</v>
      </c>
      <c r="D435" s="3" t="s">
        <v>25</v>
      </c>
      <c r="E435" s="3" t="s">
        <v>892</v>
      </c>
      <c r="F435" s="3" t="n">
        <v>2</v>
      </c>
      <c r="G435" s="3" t="s">
        <v>18</v>
      </c>
      <c r="H435" s="3" t="s">
        <v>121</v>
      </c>
      <c r="I435" s="3" t="s">
        <v>1845</v>
      </c>
      <c r="J435" s="3" t="s">
        <v>317</v>
      </c>
      <c r="K435" s="3" t="n">
        <v>870</v>
      </c>
      <c r="L435" s="3" t="n">
        <v>800</v>
      </c>
      <c r="M435" s="3" t="n">
        <v>1600</v>
      </c>
      <c r="N435" s="3" t="s">
        <v>1846</v>
      </c>
    </row>
    <row r="436" customFormat="false" ht="15" hidden="false" customHeight="false" outlineLevel="0" collapsed="false">
      <c r="A436" s="2" t="s">
        <v>1847</v>
      </c>
      <c r="B436" s="2" t="s">
        <v>1848</v>
      </c>
      <c r="C436" s="2" t="n">
        <v>1667</v>
      </c>
      <c r="D436" s="2" t="s">
        <v>25</v>
      </c>
      <c r="E436" s="2" t="s">
        <v>571</v>
      </c>
      <c r="F436" s="2" t="n">
        <v>3</v>
      </c>
      <c r="G436" s="2" t="s">
        <v>18</v>
      </c>
      <c r="H436" s="2" t="s">
        <v>36</v>
      </c>
      <c r="I436" s="2" t="s">
        <v>1849</v>
      </c>
      <c r="J436" s="2" t="s">
        <v>38</v>
      </c>
      <c r="K436" s="2" t="n">
        <v>2300</v>
      </c>
      <c r="L436" s="2" t="n">
        <v>800</v>
      </c>
      <c r="M436" s="2" t="n">
        <v>2400</v>
      </c>
      <c r="N436" s="2" t="s">
        <v>1850</v>
      </c>
    </row>
    <row r="437" customFormat="false" ht="15" hidden="false" customHeight="false" outlineLevel="0" collapsed="false">
      <c r="A437" s="3" t="s">
        <v>1851</v>
      </c>
      <c r="B437" s="3" t="s">
        <v>1198</v>
      </c>
      <c r="C437" s="3" t="n">
        <v>1668</v>
      </c>
      <c r="D437" s="3" t="s">
        <v>49</v>
      </c>
      <c r="E437" s="3" t="s">
        <v>256</v>
      </c>
      <c r="F437" s="3" t="n">
        <v>1</v>
      </c>
      <c r="G437" s="3" t="s">
        <v>51</v>
      </c>
      <c r="H437" s="3" t="s">
        <v>19</v>
      </c>
      <c r="I437" s="3" t="s">
        <v>1852</v>
      </c>
      <c r="J437" s="3" t="s">
        <v>21</v>
      </c>
      <c r="K437" s="3" t="n">
        <v>6725</v>
      </c>
      <c r="L437" s="3" t="n">
        <v>250</v>
      </c>
      <c r="M437" s="3" t="n">
        <v>250</v>
      </c>
      <c r="N437" s="3" t="s">
        <v>1853</v>
      </c>
    </row>
    <row r="438" customFormat="false" ht="15" hidden="false" customHeight="false" outlineLevel="0" collapsed="false">
      <c r="A438" s="2" t="s">
        <v>723</v>
      </c>
      <c r="B438" s="2" t="s">
        <v>391</v>
      </c>
      <c r="C438" s="2" t="n">
        <v>1669</v>
      </c>
      <c r="D438" s="2" t="s">
        <v>49</v>
      </c>
      <c r="E438" s="2" t="s">
        <v>1530</v>
      </c>
      <c r="F438" s="2" t="n">
        <v>1</v>
      </c>
      <c r="G438" s="2" t="s">
        <v>51</v>
      </c>
      <c r="H438" s="2" t="s">
        <v>52</v>
      </c>
      <c r="I438" s="2" t="s">
        <v>1854</v>
      </c>
      <c r="J438" s="2" t="s">
        <v>182</v>
      </c>
      <c r="K438" s="2" t="n">
        <v>4000</v>
      </c>
      <c r="L438" s="2" t="n">
        <v>250</v>
      </c>
      <c r="M438" s="2" t="n">
        <v>250</v>
      </c>
      <c r="N438" s="2" t="s">
        <v>1855</v>
      </c>
    </row>
    <row r="439" customFormat="false" ht="15" hidden="false" customHeight="false" outlineLevel="0" collapsed="false">
      <c r="A439" s="3" t="s">
        <v>1856</v>
      </c>
      <c r="B439" s="3" t="s">
        <v>946</v>
      </c>
      <c r="C439" s="3" t="n">
        <v>1670</v>
      </c>
      <c r="D439" s="3" t="s">
        <v>49</v>
      </c>
      <c r="E439" s="3" t="s">
        <v>372</v>
      </c>
      <c r="F439" s="3" t="n">
        <v>2</v>
      </c>
      <c r="G439" s="3" t="s">
        <v>27</v>
      </c>
      <c r="H439" s="3" t="s">
        <v>19</v>
      </c>
      <c r="I439" s="3" t="s">
        <v>1857</v>
      </c>
      <c r="J439" s="3" t="s">
        <v>21</v>
      </c>
      <c r="K439" s="3" t="n">
        <v>6725</v>
      </c>
      <c r="L439" s="3" t="n">
        <v>250</v>
      </c>
      <c r="M439" s="3" t="n">
        <v>500</v>
      </c>
      <c r="N439" s="3" t="s">
        <v>1858</v>
      </c>
    </row>
    <row r="440" customFormat="false" ht="15" hidden="false" customHeight="false" outlineLevel="0" collapsed="false">
      <c r="A440" s="2" t="s">
        <v>1859</v>
      </c>
      <c r="B440" s="2" t="s">
        <v>1860</v>
      </c>
      <c r="C440" s="2" t="n">
        <v>1671</v>
      </c>
      <c r="D440" s="2" t="s">
        <v>16</v>
      </c>
      <c r="E440" s="2" t="s">
        <v>1861</v>
      </c>
      <c r="F440" s="2" t="n">
        <v>1</v>
      </c>
      <c r="G440" s="2" t="s">
        <v>51</v>
      </c>
      <c r="H440" s="2" t="s">
        <v>52</v>
      </c>
      <c r="I440" s="2" t="s">
        <v>1862</v>
      </c>
      <c r="J440" s="2" t="s">
        <v>182</v>
      </c>
      <c r="K440" s="2" t="n">
        <v>4000</v>
      </c>
      <c r="L440" s="2" t="n">
        <v>250</v>
      </c>
      <c r="M440" s="2" t="n">
        <v>250</v>
      </c>
      <c r="N440" s="2" t="s">
        <v>1863</v>
      </c>
    </row>
    <row r="441" customFormat="false" ht="15" hidden="false" customHeight="false" outlineLevel="0" collapsed="false">
      <c r="A441" s="3" t="s">
        <v>204</v>
      </c>
      <c r="B441" s="3" t="s">
        <v>1864</v>
      </c>
      <c r="C441" s="3" t="n">
        <v>1672</v>
      </c>
      <c r="D441" s="3" t="s">
        <v>34</v>
      </c>
      <c r="E441" s="3" t="s">
        <v>430</v>
      </c>
      <c r="F441" s="3" t="n">
        <v>3</v>
      </c>
      <c r="G441" s="3" t="s">
        <v>51</v>
      </c>
      <c r="H441" s="3" t="s">
        <v>28</v>
      </c>
      <c r="I441" s="3" t="s">
        <v>1865</v>
      </c>
      <c r="J441" s="3" t="s">
        <v>30</v>
      </c>
      <c r="K441" s="3" t="n">
        <v>2600</v>
      </c>
      <c r="L441" s="3" t="n">
        <v>300</v>
      </c>
      <c r="M441" s="3" t="n">
        <v>900</v>
      </c>
      <c r="N441" s="3" t="s">
        <v>1866</v>
      </c>
    </row>
    <row r="442" customFormat="false" ht="15" hidden="false" customHeight="false" outlineLevel="0" collapsed="false">
      <c r="A442" s="2" t="s">
        <v>1867</v>
      </c>
      <c r="B442" s="2" t="s">
        <v>1659</v>
      </c>
      <c r="C442" s="2" t="n">
        <v>1673</v>
      </c>
      <c r="D442" s="2" t="s">
        <v>108</v>
      </c>
      <c r="E442" s="2" t="s">
        <v>1402</v>
      </c>
      <c r="F442" s="2" t="n">
        <v>3</v>
      </c>
      <c r="G442" s="2" t="s">
        <v>18</v>
      </c>
      <c r="H442" s="2" t="s">
        <v>52</v>
      </c>
      <c r="I442" s="2" t="s">
        <v>1868</v>
      </c>
      <c r="J442" s="2" t="s">
        <v>92</v>
      </c>
      <c r="K442" s="2" t="n">
        <v>4870</v>
      </c>
      <c r="L442" s="2" t="n">
        <v>1200</v>
      </c>
      <c r="M442" s="2" t="n">
        <v>3600</v>
      </c>
      <c r="N442" s="2" t="s">
        <v>1869</v>
      </c>
    </row>
    <row r="443" customFormat="false" ht="15" hidden="false" customHeight="false" outlineLevel="0" collapsed="false">
      <c r="A443" s="3" t="s">
        <v>1870</v>
      </c>
      <c r="B443" s="3" t="s">
        <v>1871</v>
      </c>
      <c r="C443" s="3" t="n">
        <v>1674</v>
      </c>
      <c r="D443" s="3" t="s">
        <v>16</v>
      </c>
      <c r="E443" s="3" t="s">
        <v>1107</v>
      </c>
      <c r="F443" s="3" t="n">
        <v>1</v>
      </c>
      <c r="G443" s="3" t="s">
        <v>51</v>
      </c>
      <c r="H443" s="3" t="s">
        <v>43</v>
      </c>
      <c r="I443" s="3" t="s">
        <v>1872</v>
      </c>
      <c r="J443" s="3" t="s">
        <v>45</v>
      </c>
      <c r="K443" s="3" t="n">
        <v>3350</v>
      </c>
      <c r="L443" s="3" t="n">
        <v>250</v>
      </c>
      <c r="M443" s="3" t="n">
        <v>250</v>
      </c>
      <c r="N443" s="3" t="s">
        <v>1873</v>
      </c>
    </row>
    <row r="444" customFormat="false" ht="15" hidden="false" customHeight="false" outlineLevel="0" collapsed="false">
      <c r="A444" s="2" t="s">
        <v>1874</v>
      </c>
      <c r="B444" s="2" t="s">
        <v>1875</v>
      </c>
      <c r="C444" s="2" t="n">
        <v>1675</v>
      </c>
      <c r="D444" s="2" t="s">
        <v>108</v>
      </c>
      <c r="E444" s="2" t="s">
        <v>1039</v>
      </c>
      <c r="F444" s="2" t="n">
        <v>2</v>
      </c>
      <c r="G444" s="2" t="s">
        <v>18</v>
      </c>
      <c r="H444" s="2" t="s">
        <v>43</v>
      </c>
      <c r="I444" s="2" t="s">
        <v>1876</v>
      </c>
      <c r="J444" s="2" t="s">
        <v>45</v>
      </c>
      <c r="K444" s="2" t="n">
        <v>3350</v>
      </c>
      <c r="L444" s="2" t="n">
        <v>1200</v>
      </c>
      <c r="M444" s="2" t="n">
        <v>2400</v>
      </c>
      <c r="N444" s="2" t="s">
        <v>1877</v>
      </c>
    </row>
    <row r="445" customFormat="false" ht="15" hidden="false" customHeight="false" outlineLevel="0" collapsed="false">
      <c r="A445" s="3" t="s">
        <v>1878</v>
      </c>
      <c r="B445" s="3" t="s">
        <v>1879</v>
      </c>
      <c r="C445" s="3" t="n">
        <v>1676</v>
      </c>
      <c r="D445" s="3" t="s">
        <v>25</v>
      </c>
      <c r="E445" s="3" t="s">
        <v>42</v>
      </c>
      <c r="F445" s="3" t="n">
        <v>2</v>
      </c>
      <c r="G445" s="3" t="s">
        <v>51</v>
      </c>
      <c r="H445" s="3" t="s">
        <v>43</v>
      </c>
      <c r="I445" s="3" t="s">
        <v>1880</v>
      </c>
      <c r="J445" s="3" t="s">
        <v>45</v>
      </c>
      <c r="K445" s="3" t="n">
        <v>3350</v>
      </c>
      <c r="L445" s="3" t="n">
        <v>800</v>
      </c>
      <c r="M445" s="3" t="n">
        <v>1600</v>
      </c>
      <c r="N445" s="3" t="s">
        <v>1881</v>
      </c>
    </row>
    <row r="446" customFormat="false" ht="15" hidden="false" customHeight="false" outlineLevel="0" collapsed="false">
      <c r="A446" s="2" t="s">
        <v>1882</v>
      </c>
      <c r="B446" s="2" t="s">
        <v>1401</v>
      </c>
      <c r="C446" s="2" t="n">
        <v>1677</v>
      </c>
      <c r="D446" s="2" t="s">
        <v>108</v>
      </c>
      <c r="E446" s="2" t="s">
        <v>464</v>
      </c>
      <c r="F446" s="2" t="n">
        <v>1</v>
      </c>
      <c r="G446" s="2" t="s">
        <v>51</v>
      </c>
      <c r="H446" s="2" t="s">
        <v>36</v>
      </c>
      <c r="I446" s="2" t="s">
        <v>1883</v>
      </c>
      <c r="J446" s="2" t="s">
        <v>38</v>
      </c>
      <c r="K446" s="2" t="n">
        <v>2300</v>
      </c>
      <c r="L446" s="2" t="n">
        <v>1200</v>
      </c>
      <c r="M446" s="2" t="n">
        <v>1200</v>
      </c>
      <c r="N446" s="2" t="s">
        <v>1884</v>
      </c>
    </row>
    <row r="447" customFormat="false" ht="15" hidden="false" customHeight="false" outlineLevel="0" collapsed="false">
      <c r="A447" s="3" t="s">
        <v>1187</v>
      </c>
      <c r="B447" s="3" t="s">
        <v>1885</v>
      </c>
      <c r="C447" s="3" t="n">
        <v>1678</v>
      </c>
      <c r="D447" s="3" t="s">
        <v>16</v>
      </c>
      <c r="E447" s="3" t="s">
        <v>168</v>
      </c>
      <c r="F447" s="3" t="n">
        <v>1</v>
      </c>
      <c r="G447" s="3" t="s">
        <v>51</v>
      </c>
      <c r="H447" s="3" t="s">
        <v>59</v>
      </c>
      <c r="I447" s="3" t="s">
        <v>1886</v>
      </c>
      <c r="J447" s="3" t="s">
        <v>99</v>
      </c>
      <c r="K447" s="3" t="n">
        <v>5000</v>
      </c>
      <c r="L447" s="3" t="n">
        <v>250</v>
      </c>
      <c r="M447" s="3" t="n">
        <v>250</v>
      </c>
      <c r="N447" s="3" t="s">
        <v>1887</v>
      </c>
    </row>
    <row r="448" customFormat="false" ht="15" hidden="false" customHeight="false" outlineLevel="0" collapsed="false">
      <c r="A448" s="2" t="s">
        <v>1888</v>
      </c>
      <c r="B448" s="2" t="s">
        <v>448</v>
      </c>
      <c r="C448" s="2" t="n">
        <v>1679</v>
      </c>
      <c r="D448" s="2" t="s">
        <v>147</v>
      </c>
      <c r="E448" s="2" t="s">
        <v>216</v>
      </c>
      <c r="F448" s="2" t="n">
        <v>1</v>
      </c>
      <c r="G448" s="2" t="s">
        <v>18</v>
      </c>
      <c r="H448" s="2" t="s">
        <v>121</v>
      </c>
      <c r="I448" s="2" t="s">
        <v>1889</v>
      </c>
      <c r="J448" s="2" t="s">
        <v>317</v>
      </c>
      <c r="K448" s="2" t="n">
        <v>870</v>
      </c>
      <c r="L448" s="2" t="n">
        <v>600</v>
      </c>
      <c r="M448" s="2" t="n">
        <v>600</v>
      </c>
      <c r="N448" s="2" t="s">
        <v>1890</v>
      </c>
    </row>
    <row r="449" customFormat="false" ht="15" hidden="false" customHeight="false" outlineLevel="0" collapsed="false">
      <c r="A449" s="3" t="s">
        <v>380</v>
      </c>
      <c r="B449" s="3" t="s">
        <v>1891</v>
      </c>
      <c r="C449" s="3" t="n">
        <v>1680</v>
      </c>
      <c r="D449" s="3" t="s">
        <v>16</v>
      </c>
      <c r="E449" s="3" t="s">
        <v>77</v>
      </c>
      <c r="F449" s="3" t="n">
        <v>3</v>
      </c>
      <c r="G449" s="3" t="s">
        <v>27</v>
      </c>
      <c r="H449" s="3" t="s">
        <v>36</v>
      </c>
      <c r="I449" s="3" t="s">
        <v>1892</v>
      </c>
      <c r="J449" s="3" t="s">
        <v>38</v>
      </c>
      <c r="K449" s="3" t="n">
        <v>2300</v>
      </c>
      <c r="L449" s="3" t="n">
        <v>250</v>
      </c>
      <c r="M449" s="3" t="n">
        <v>750</v>
      </c>
      <c r="N449" s="3" t="s">
        <v>1893</v>
      </c>
    </row>
    <row r="450" customFormat="false" ht="15" hidden="false" customHeight="false" outlineLevel="0" collapsed="false">
      <c r="A450" s="2" t="s">
        <v>1894</v>
      </c>
      <c r="B450" s="2" t="s">
        <v>1895</v>
      </c>
      <c r="C450" s="2" t="n">
        <v>1681</v>
      </c>
      <c r="D450" s="2" t="s">
        <v>34</v>
      </c>
      <c r="E450" s="2" t="s">
        <v>1107</v>
      </c>
      <c r="F450" s="2" t="n">
        <v>2</v>
      </c>
      <c r="G450" s="2" t="s">
        <v>97</v>
      </c>
      <c r="H450" s="2" t="s">
        <v>52</v>
      </c>
      <c r="I450" s="2" t="s">
        <v>1896</v>
      </c>
      <c r="J450" s="2" t="s">
        <v>182</v>
      </c>
      <c r="K450" s="2" t="n">
        <v>4000</v>
      </c>
      <c r="L450" s="2" t="n">
        <v>300</v>
      </c>
      <c r="M450" s="2" t="n">
        <v>600</v>
      </c>
      <c r="N450" s="2" t="s">
        <v>1897</v>
      </c>
    </row>
    <row r="451" customFormat="false" ht="15" hidden="false" customHeight="false" outlineLevel="0" collapsed="false">
      <c r="A451" s="3" t="s">
        <v>240</v>
      </c>
      <c r="B451" s="3" t="s">
        <v>1898</v>
      </c>
      <c r="C451" s="3" t="n">
        <v>1682</v>
      </c>
      <c r="D451" s="3" t="s">
        <v>25</v>
      </c>
      <c r="E451" s="3" t="s">
        <v>153</v>
      </c>
      <c r="F451" s="3" t="n">
        <v>2</v>
      </c>
      <c r="G451" s="3" t="s">
        <v>97</v>
      </c>
      <c r="H451" s="3" t="s">
        <v>78</v>
      </c>
      <c r="I451" s="3" t="s">
        <v>1899</v>
      </c>
      <c r="J451" s="3" t="s">
        <v>408</v>
      </c>
      <c r="K451" s="3" t="n">
        <v>7310</v>
      </c>
      <c r="L451" s="3" t="n">
        <v>800</v>
      </c>
      <c r="M451" s="3" t="n">
        <v>1600</v>
      </c>
      <c r="N451" s="3" t="s">
        <v>1900</v>
      </c>
    </row>
    <row r="452" customFormat="false" ht="15" hidden="false" customHeight="false" outlineLevel="0" collapsed="false">
      <c r="A452" s="2" t="s">
        <v>1901</v>
      </c>
      <c r="B452" s="2" t="s">
        <v>1902</v>
      </c>
      <c r="C452" s="2" t="n">
        <v>1683</v>
      </c>
      <c r="D452" s="2" t="s">
        <v>49</v>
      </c>
      <c r="E452" s="2" t="s">
        <v>1287</v>
      </c>
      <c r="F452" s="2" t="n">
        <v>3</v>
      </c>
      <c r="G452" s="2" t="s">
        <v>18</v>
      </c>
      <c r="H452" s="2" t="s">
        <v>52</v>
      </c>
      <c r="I452" s="2" t="s">
        <v>1903</v>
      </c>
      <c r="J452" s="2" t="s">
        <v>54</v>
      </c>
      <c r="K452" s="2" t="n">
        <v>4217</v>
      </c>
      <c r="L452" s="2" t="n">
        <v>250</v>
      </c>
      <c r="M452" s="2" t="n">
        <v>750</v>
      </c>
      <c r="N452" s="2" t="s">
        <v>1904</v>
      </c>
    </row>
    <row r="453" customFormat="false" ht="15" hidden="false" customHeight="false" outlineLevel="0" collapsed="false">
      <c r="A453" s="3" t="s">
        <v>1905</v>
      </c>
      <c r="B453" s="3" t="s">
        <v>1506</v>
      </c>
      <c r="C453" s="3" t="n">
        <v>1684</v>
      </c>
      <c r="D453" s="3" t="s">
        <v>16</v>
      </c>
      <c r="E453" s="3" t="s">
        <v>1906</v>
      </c>
      <c r="F453" s="3" t="n">
        <v>3</v>
      </c>
      <c r="G453" s="3" t="s">
        <v>27</v>
      </c>
      <c r="H453" s="3" t="s">
        <v>43</v>
      </c>
      <c r="I453" s="3" t="s">
        <v>1907</v>
      </c>
      <c r="J453" s="3" t="s">
        <v>67</v>
      </c>
      <c r="K453" s="3" t="n">
        <v>3220</v>
      </c>
      <c r="L453" s="3" t="n">
        <v>250</v>
      </c>
      <c r="M453" s="3" t="n">
        <v>750</v>
      </c>
      <c r="N453" s="3" t="s">
        <v>1908</v>
      </c>
    </row>
    <row r="454" customFormat="false" ht="15" hidden="false" customHeight="false" outlineLevel="0" collapsed="false">
      <c r="A454" s="2" t="s">
        <v>1909</v>
      </c>
      <c r="B454" s="2" t="s">
        <v>400</v>
      </c>
      <c r="C454" s="2" t="n">
        <v>1685</v>
      </c>
      <c r="D454" s="2" t="s">
        <v>16</v>
      </c>
      <c r="E454" s="2" t="s">
        <v>1718</v>
      </c>
      <c r="F454" s="2" t="n">
        <v>1</v>
      </c>
      <c r="G454" s="2" t="s">
        <v>18</v>
      </c>
      <c r="H454" s="2" t="s">
        <v>121</v>
      </c>
      <c r="I454" s="2" t="s">
        <v>1910</v>
      </c>
      <c r="J454" s="2" t="s">
        <v>123</v>
      </c>
      <c r="K454" s="2" t="n">
        <v>800</v>
      </c>
      <c r="L454" s="2" t="n">
        <v>250</v>
      </c>
      <c r="M454" s="2" t="n">
        <v>250</v>
      </c>
      <c r="N454" s="2" t="s">
        <v>1911</v>
      </c>
    </row>
    <row r="455" customFormat="false" ht="15" hidden="false" customHeight="false" outlineLevel="0" collapsed="false">
      <c r="A455" s="3" t="s">
        <v>477</v>
      </c>
      <c r="B455" s="3" t="s">
        <v>1912</v>
      </c>
      <c r="C455" s="3" t="n">
        <v>1686</v>
      </c>
      <c r="D455" s="3" t="s">
        <v>108</v>
      </c>
      <c r="E455" s="3" t="s">
        <v>71</v>
      </c>
      <c r="F455" s="3" t="n">
        <v>2</v>
      </c>
      <c r="G455" s="3" t="s">
        <v>18</v>
      </c>
      <c r="H455" s="3" t="s">
        <v>121</v>
      </c>
      <c r="I455" s="3" t="s">
        <v>1913</v>
      </c>
      <c r="J455" s="3" t="s">
        <v>123</v>
      </c>
      <c r="K455" s="3" t="n">
        <v>800</v>
      </c>
      <c r="L455" s="3" t="n">
        <v>1200</v>
      </c>
      <c r="M455" s="3" t="n">
        <v>2400</v>
      </c>
      <c r="N455" s="3" t="s">
        <v>1914</v>
      </c>
    </row>
    <row r="456" customFormat="false" ht="15" hidden="false" customHeight="false" outlineLevel="0" collapsed="false">
      <c r="A456" s="2" t="s">
        <v>1915</v>
      </c>
      <c r="B456" s="2" t="s">
        <v>1302</v>
      </c>
      <c r="C456" s="2" t="n">
        <v>1687</v>
      </c>
      <c r="D456" s="2" t="s">
        <v>49</v>
      </c>
      <c r="E456" s="2" t="s">
        <v>1916</v>
      </c>
      <c r="F456" s="2" t="n">
        <v>1</v>
      </c>
      <c r="G456" s="2" t="s">
        <v>51</v>
      </c>
      <c r="H456" s="2" t="s">
        <v>52</v>
      </c>
      <c r="I456" s="2" t="s">
        <v>1917</v>
      </c>
      <c r="J456" s="2" t="s">
        <v>92</v>
      </c>
      <c r="K456" s="2" t="n">
        <v>4870</v>
      </c>
      <c r="L456" s="2" t="n">
        <v>250</v>
      </c>
      <c r="M456" s="2" t="n">
        <v>250</v>
      </c>
      <c r="N456" s="2" t="s">
        <v>1918</v>
      </c>
    </row>
    <row r="457" customFormat="false" ht="15" hidden="false" customHeight="false" outlineLevel="0" collapsed="false">
      <c r="A457" s="3" t="s">
        <v>1919</v>
      </c>
      <c r="B457" s="3" t="s">
        <v>975</v>
      </c>
      <c r="C457" s="3" t="n">
        <v>1688</v>
      </c>
      <c r="D457" s="3" t="s">
        <v>49</v>
      </c>
      <c r="E457" s="3" t="s">
        <v>778</v>
      </c>
      <c r="F457" s="3" t="n">
        <v>3</v>
      </c>
      <c r="G457" s="3" t="s">
        <v>18</v>
      </c>
      <c r="H457" s="3" t="s">
        <v>121</v>
      </c>
      <c r="I457" s="3" t="s">
        <v>1920</v>
      </c>
      <c r="J457" s="3" t="s">
        <v>317</v>
      </c>
      <c r="K457" s="3" t="n">
        <v>870</v>
      </c>
      <c r="L457" s="3" t="n">
        <v>250</v>
      </c>
      <c r="M457" s="3" t="n">
        <v>750</v>
      </c>
      <c r="N457" s="3" t="s">
        <v>1921</v>
      </c>
    </row>
    <row r="458" customFormat="false" ht="15" hidden="false" customHeight="false" outlineLevel="0" collapsed="false">
      <c r="A458" s="2" t="s">
        <v>1922</v>
      </c>
      <c r="B458" s="2" t="s">
        <v>1923</v>
      </c>
      <c r="C458" s="2" t="n">
        <v>1689</v>
      </c>
      <c r="D458" s="2" t="s">
        <v>25</v>
      </c>
      <c r="E458" s="2" t="s">
        <v>834</v>
      </c>
      <c r="F458" s="2" t="n">
        <v>3</v>
      </c>
      <c r="G458" s="2" t="s">
        <v>18</v>
      </c>
      <c r="H458" s="2" t="s">
        <v>78</v>
      </c>
      <c r="I458" s="2" t="s">
        <v>1924</v>
      </c>
      <c r="J458" s="2" t="s">
        <v>80</v>
      </c>
      <c r="K458" s="2" t="n">
        <v>7250</v>
      </c>
      <c r="L458" s="2" t="n">
        <v>800</v>
      </c>
      <c r="M458" s="2" t="n">
        <v>2400</v>
      </c>
      <c r="N458" s="2" t="s">
        <v>1925</v>
      </c>
    </row>
    <row r="459" customFormat="false" ht="15" hidden="false" customHeight="false" outlineLevel="0" collapsed="false">
      <c r="A459" s="3" t="s">
        <v>1926</v>
      </c>
      <c r="B459" s="3" t="s">
        <v>1927</v>
      </c>
      <c r="C459" s="3" t="n">
        <v>1690</v>
      </c>
      <c r="D459" s="3" t="s">
        <v>34</v>
      </c>
      <c r="E459" s="3" t="s">
        <v>1928</v>
      </c>
      <c r="F459" s="3" t="n">
        <v>2</v>
      </c>
      <c r="G459" s="3" t="s">
        <v>18</v>
      </c>
      <c r="H459" s="3" t="s">
        <v>121</v>
      </c>
      <c r="I459" s="3" t="s">
        <v>1929</v>
      </c>
      <c r="J459" s="3" t="s">
        <v>123</v>
      </c>
      <c r="K459" s="3" t="n">
        <v>800</v>
      </c>
      <c r="L459" s="3" t="n">
        <v>300</v>
      </c>
      <c r="M459" s="3" t="n">
        <v>600</v>
      </c>
      <c r="N459" s="3" t="s">
        <v>1930</v>
      </c>
    </row>
    <row r="460" customFormat="false" ht="15" hidden="false" customHeight="false" outlineLevel="0" collapsed="false">
      <c r="A460" s="2" t="s">
        <v>1931</v>
      </c>
      <c r="B460" s="2" t="s">
        <v>1932</v>
      </c>
      <c r="C460" s="2" t="n">
        <v>1691</v>
      </c>
      <c r="D460" s="2" t="s">
        <v>34</v>
      </c>
      <c r="E460" s="2" t="s">
        <v>1620</v>
      </c>
      <c r="F460" s="2" t="n">
        <v>1</v>
      </c>
      <c r="G460" s="2" t="s">
        <v>51</v>
      </c>
      <c r="H460" s="2" t="s">
        <v>121</v>
      </c>
      <c r="I460" s="2" t="s">
        <v>1933</v>
      </c>
      <c r="J460" s="2" t="s">
        <v>317</v>
      </c>
      <c r="K460" s="2" t="n">
        <v>870</v>
      </c>
      <c r="L460" s="2" t="n">
        <v>300</v>
      </c>
      <c r="M460" s="2" t="n">
        <v>300</v>
      </c>
      <c r="N460" s="2" t="s">
        <v>1934</v>
      </c>
    </row>
    <row r="461" customFormat="false" ht="15" hidden="false" customHeight="false" outlineLevel="0" collapsed="false">
      <c r="A461" s="3" t="s">
        <v>1935</v>
      </c>
      <c r="B461" s="3" t="s">
        <v>1936</v>
      </c>
      <c r="C461" s="3" t="n">
        <v>1692</v>
      </c>
      <c r="D461" s="3" t="s">
        <v>147</v>
      </c>
      <c r="E461" s="3" t="s">
        <v>1424</v>
      </c>
      <c r="F461" s="3" t="n">
        <v>2</v>
      </c>
      <c r="G461" s="3" t="s">
        <v>51</v>
      </c>
      <c r="H461" s="3" t="s">
        <v>59</v>
      </c>
      <c r="I461" s="3" t="s">
        <v>1937</v>
      </c>
      <c r="J461" s="3" t="s">
        <v>292</v>
      </c>
      <c r="K461" s="3" t="n">
        <v>5600</v>
      </c>
      <c r="L461" s="3" t="n">
        <v>600</v>
      </c>
      <c r="M461" s="3" t="n">
        <v>1200</v>
      </c>
      <c r="N461" s="3" t="s">
        <v>1938</v>
      </c>
    </row>
    <row r="462" customFormat="false" ht="15" hidden="false" customHeight="false" outlineLevel="0" collapsed="false">
      <c r="A462" s="2" t="s">
        <v>1939</v>
      </c>
      <c r="B462" s="2" t="s">
        <v>506</v>
      </c>
      <c r="C462" s="2" t="n">
        <v>1693</v>
      </c>
      <c r="D462" s="2" t="s">
        <v>108</v>
      </c>
      <c r="E462" s="2" t="s">
        <v>858</v>
      </c>
      <c r="F462" s="2" t="n">
        <v>2</v>
      </c>
      <c r="G462" s="2" t="s">
        <v>51</v>
      </c>
      <c r="H462" s="2" t="s">
        <v>59</v>
      </c>
      <c r="I462" s="2" t="s">
        <v>1940</v>
      </c>
      <c r="J462" s="2" t="s">
        <v>292</v>
      </c>
      <c r="K462" s="2" t="n">
        <v>5600</v>
      </c>
      <c r="L462" s="2" t="n">
        <v>1200</v>
      </c>
      <c r="M462" s="2" t="n">
        <v>2400</v>
      </c>
      <c r="N462" s="2" t="s">
        <v>1941</v>
      </c>
    </row>
    <row r="463" customFormat="false" ht="15" hidden="false" customHeight="false" outlineLevel="0" collapsed="false">
      <c r="A463" s="3" t="s">
        <v>1843</v>
      </c>
      <c r="B463" s="3" t="s">
        <v>1100</v>
      </c>
      <c r="C463" s="3" t="n">
        <v>1694</v>
      </c>
      <c r="D463" s="3" t="s">
        <v>108</v>
      </c>
      <c r="E463" s="3" t="s">
        <v>1624</v>
      </c>
      <c r="F463" s="3" t="n">
        <v>1</v>
      </c>
      <c r="G463" s="3" t="s">
        <v>27</v>
      </c>
      <c r="H463" s="3" t="s">
        <v>78</v>
      </c>
      <c r="I463" s="3" t="s">
        <v>1942</v>
      </c>
      <c r="J463" s="3" t="s">
        <v>80</v>
      </c>
      <c r="K463" s="3" t="n">
        <v>7250</v>
      </c>
      <c r="L463" s="3" t="n">
        <v>1200</v>
      </c>
      <c r="M463" s="3" t="n">
        <v>1200</v>
      </c>
      <c r="N463" s="3" t="s">
        <v>1943</v>
      </c>
    </row>
    <row r="464" customFormat="false" ht="15" hidden="false" customHeight="false" outlineLevel="0" collapsed="false">
      <c r="A464" s="2" t="s">
        <v>1231</v>
      </c>
      <c r="B464" s="2" t="s">
        <v>1944</v>
      </c>
      <c r="C464" s="2" t="n">
        <v>1695</v>
      </c>
      <c r="D464" s="2" t="s">
        <v>34</v>
      </c>
      <c r="E464" s="2" t="s">
        <v>1945</v>
      </c>
      <c r="F464" s="2" t="n">
        <v>1</v>
      </c>
      <c r="G464" s="2" t="s">
        <v>18</v>
      </c>
      <c r="H464" s="2" t="s">
        <v>19</v>
      </c>
      <c r="I464" s="2" t="s">
        <v>1946</v>
      </c>
      <c r="J464" s="2" t="s">
        <v>73</v>
      </c>
      <c r="K464" s="2" t="n">
        <v>6160</v>
      </c>
      <c r="L464" s="2" t="n">
        <v>300</v>
      </c>
      <c r="M464" s="2" t="n">
        <v>300</v>
      </c>
      <c r="N464" s="2" t="s">
        <v>1947</v>
      </c>
    </row>
    <row r="465" customFormat="false" ht="15" hidden="false" customHeight="false" outlineLevel="0" collapsed="false">
      <c r="A465" s="3" t="s">
        <v>1948</v>
      </c>
      <c r="B465" s="3" t="s">
        <v>1949</v>
      </c>
      <c r="C465" s="3" t="n">
        <v>1696</v>
      </c>
      <c r="D465" s="3" t="s">
        <v>25</v>
      </c>
      <c r="E465" s="3" t="s">
        <v>96</v>
      </c>
      <c r="F465" s="3" t="n">
        <v>2</v>
      </c>
      <c r="G465" s="3" t="s">
        <v>51</v>
      </c>
      <c r="H465" s="3" t="s">
        <v>59</v>
      </c>
      <c r="I465" s="3" t="s">
        <v>1950</v>
      </c>
      <c r="J465" s="3" t="s">
        <v>61</v>
      </c>
      <c r="K465" s="3" t="n">
        <v>5290</v>
      </c>
      <c r="L465" s="3" t="n">
        <v>800</v>
      </c>
      <c r="M465" s="3" t="n">
        <v>1600</v>
      </c>
      <c r="N465" s="3" t="s">
        <v>1951</v>
      </c>
    </row>
    <row r="466" customFormat="false" ht="15" hidden="false" customHeight="false" outlineLevel="0" collapsed="false">
      <c r="A466" s="2" t="s">
        <v>1874</v>
      </c>
      <c r="B466" s="2" t="s">
        <v>1952</v>
      </c>
      <c r="C466" s="2" t="n">
        <v>1697</v>
      </c>
      <c r="D466" s="2" t="s">
        <v>49</v>
      </c>
      <c r="E466" s="2" t="s">
        <v>712</v>
      </c>
      <c r="F466" s="2" t="n">
        <v>1</v>
      </c>
      <c r="G466" s="2" t="s">
        <v>51</v>
      </c>
      <c r="H466" s="2" t="s">
        <v>36</v>
      </c>
      <c r="I466" s="2" t="s">
        <v>1953</v>
      </c>
      <c r="J466" s="2" t="s">
        <v>170</v>
      </c>
      <c r="K466" s="2" t="n">
        <v>2500</v>
      </c>
      <c r="L466" s="2" t="n">
        <v>250</v>
      </c>
      <c r="M466" s="2" t="n">
        <v>250</v>
      </c>
      <c r="N466" s="2" t="s">
        <v>1954</v>
      </c>
    </row>
    <row r="467" customFormat="false" ht="15" hidden="false" customHeight="false" outlineLevel="0" collapsed="false">
      <c r="A467" s="3" t="s">
        <v>1955</v>
      </c>
      <c r="B467" s="3" t="s">
        <v>1956</v>
      </c>
      <c r="C467" s="3" t="n">
        <v>1698</v>
      </c>
      <c r="D467" s="3" t="s">
        <v>49</v>
      </c>
      <c r="E467" s="3" t="s">
        <v>65</v>
      </c>
      <c r="F467" s="3" t="n">
        <v>3</v>
      </c>
      <c r="G467" s="3" t="s">
        <v>51</v>
      </c>
      <c r="H467" s="3" t="s">
        <v>43</v>
      </c>
      <c r="I467" s="3" t="s">
        <v>1957</v>
      </c>
      <c r="J467" s="3" t="s">
        <v>67</v>
      </c>
      <c r="K467" s="3" t="n">
        <v>3220</v>
      </c>
      <c r="L467" s="3" t="n">
        <v>250</v>
      </c>
      <c r="M467" s="3" t="n">
        <v>750</v>
      </c>
      <c r="N467" s="3" t="s">
        <v>1958</v>
      </c>
    </row>
    <row r="468" customFormat="false" ht="15" hidden="false" customHeight="false" outlineLevel="0" collapsed="false">
      <c r="A468" s="2" t="s">
        <v>1959</v>
      </c>
      <c r="B468" s="2" t="s">
        <v>1960</v>
      </c>
      <c r="C468" s="2" t="n">
        <v>1699</v>
      </c>
      <c r="D468" s="2" t="s">
        <v>34</v>
      </c>
      <c r="E468" s="2" t="s">
        <v>829</v>
      </c>
      <c r="F468" s="2" t="n">
        <v>3</v>
      </c>
      <c r="G468" s="2" t="s">
        <v>18</v>
      </c>
      <c r="H468" s="2" t="s">
        <v>28</v>
      </c>
      <c r="I468" s="2" t="s">
        <v>1961</v>
      </c>
      <c r="J468" s="2" t="s">
        <v>30</v>
      </c>
      <c r="K468" s="2" t="n">
        <v>2600</v>
      </c>
      <c r="L468" s="2" t="n">
        <v>300</v>
      </c>
      <c r="M468" s="2" t="n">
        <v>900</v>
      </c>
      <c r="N468" s="2" t="s">
        <v>1962</v>
      </c>
    </row>
    <row r="469" customFormat="false" ht="15" hidden="false" customHeight="false" outlineLevel="0" collapsed="false">
      <c r="A469" s="3" t="s">
        <v>1363</v>
      </c>
      <c r="B469" s="3" t="s">
        <v>743</v>
      </c>
      <c r="C469" s="3" t="n">
        <v>1700</v>
      </c>
      <c r="D469" s="3" t="s">
        <v>49</v>
      </c>
      <c r="E469" s="3" t="s">
        <v>971</v>
      </c>
      <c r="F469" s="3" t="n">
        <v>3</v>
      </c>
      <c r="G469" s="3" t="s">
        <v>51</v>
      </c>
      <c r="H469" s="3" t="s">
        <v>59</v>
      </c>
      <c r="I469" s="3" t="s">
        <v>1963</v>
      </c>
      <c r="J469" s="3" t="s">
        <v>61</v>
      </c>
      <c r="K469" s="3" t="n">
        <v>5290</v>
      </c>
      <c r="L469" s="3" t="n">
        <v>250</v>
      </c>
      <c r="M469" s="3" t="n">
        <v>750</v>
      </c>
      <c r="N469" s="3" t="s">
        <v>1964</v>
      </c>
    </row>
    <row r="470" customFormat="false" ht="15" hidden="false" customHeight="false" outlineLevel="0" collapsed="false">
      <c r="A470" s="2" t="s">
        <v>1965</v>
      </c>
      <c r="B470" s="2" t="s">
        <v>381</v>
      </c>
      <c r="C470" s="2" t="n">
        <v>1701</v>
      </c>
      <c r="D470" s="2" t="s">
        <v>49</v>
      </c>
      <c r="E470" s="2" t="s">
        <v>1282</v>
      </c>
      <c r="F470" s="2" t="n">
        <v>2</v>
      </c>
      <c r="G470" s="2" t="s">
        <v>27</v>
      </c>
      <c r="H470" s="2" t="s">
        <v>52</v>
      </c>
      <c r="I470" s="2" t="s">
        <v>1966</v>
      </c>
      <c r="J470" s="2" t="s">
        <v>54</v>
      </c>
      <c r="K470" s="2" t="n">
        <v>4217</v>
      </c>
      <c r="L470" s="2" t="n">
        <v>250</v>
      </c>
      <c r="M470" s="2" t="n">
        <v>500</v>
      </c>
      <c r="N470" s="2" t="s">
        <v>1967</v>
      </c>
    </row>
    <row r="471" customFormat="false" ht="15" hidden="false" customHeight="false" outlineLevel="0" collapsed="false">
      <c r="A471" s="3" t="s">
        <v>1968</v>
      </c>
      <c r="B471" s="3" t="s">
        <v>1969</v>
      </c>
      <c r="C471" s="3" t="n">
        <v>1702</v>
      </c>
      <c r="D471" s="3" t="s">
        <v>25</v>
      </c>
      <c r="E471" s="3" t="s">
        <v>1644</v>
      </c>
      <c r="F471" s="3" t="n">
        <v>3</v>
      </c>
      <c r="G471" s="3" t="s">
        <v>18</v>
      </c>
      <c r="H471" s="3" t="s">
        <v>28</v>
      </c>
      <c r="I471" s="3" t="s">
        <v>1970</v>
      </c>
      <c r="J471" s="3" t="s">
        <v>30</v>
      </c>
      <c r="K471" s="3" t="n">
        <v>2600</v>
      </c>
      <c r="L471" s="3" t="n">
        <v>800</v>
      </c>
      <c r="M471" s="3" t="n">
        <v>2400</v>
      </c>
      <c r="N471" s="3" t="s">
        <v>1971</v>
      </c>
    </row>
    <row r="472" customFormat="false" ht="15" hidden="false" customHeight="false" outlineLevel="0" collapsed="false">
      <c r="A472" s="2" t="s">
        <v>1972</v>
      </c>
      <c r="B472" s="2" t="s">
        <v>1612</v>
      </c>
      <c r="C472" s="2" t="n">
        <v>1703</v>
      </c>
      <c r="D472" s="2" t="s">
        <v>34</v>
      </c>
      <c r="E472" s="2" t="s">
        <v>1534</v>
      </c>
      <c r="F472" s="2" t="n">
        <v>2</v>
      </c>
      <c r="G472" s="2" t="s">
        <v>51</v>
      </c>
      <c r="H472" s="2" t="s">
        <v>121</v>
      </c>
      <c r="I472" s="2" t="s">
        <v>1973</v>
      </c>
      <c r="J472" s="2" t="s">
        <v>123</v>
      </c>
      <c r="K472" s="2" t="n">
        <v>800</v>
      </c>
      <c r="L472" s="2" t="n">
        <v>300</v>
      </c>
      <c r="M472" s="2" t="n">
        <v>600</v>
      </c>
      <c r="N472" s="2" t="s">
        <v>1974</v>
      </c>
    </row>
    <row r="473" customFormat="false" ht="15" hidden="false" customHeight="false" outlineLevel="0" collapsed="false">
      <c r="A473" s="3" t="s">
        <v>1975</v>
      </c>
      <c r="B473" s="3" t="s">
        <v>1936</v>
      </c>
      <c r="C473" s="3" t="n">
        <v>1704</v>
      </c>
      <c r="D473" s="3" t="s">
        <v>49</v>
      </c>
      <c r="E473" s="3" t="s">
        <v>1976</v>
      </c>
      <c r="F473" s="3" t="n">
        <v>1</v>
      </c>
      <c r="G473" s="3" t="s">
        <v>97</v>
      </c>
      <c r="H473" s="3" t="s">
        <v>36</v>
      </c>
      <c r="I473" s="3" t="s">
        <v>1977</v>
      </c>
      <c r="J473" s="3" t="s">
        <v>170</v>
      </c>
      <c r="K473" s="3" t="n">
        <v>2500</v>
      </c>
      <c r="L473" s="3" t="n">
        <v>250</v>
      </c>
      <c r="M473" s="3" t="n">
        <v>250</v>
      </c>
      <c r="N473" s="3" t="s">
        <v>1978</v>
      </c>
    </row>
    <row r="474" customFormat="false" ht="15" hidden="false" customHeight="false" outlineLevel="0" collapsed="false">
      <c r="A474" s="2" t="s">
        <v>1979</v>
      </c>
      <c r="B474" s="2" t="s">
        <v>618</v>
      </c>
      <c r="C474" s="2" t="n">
        <v>1705</v>
      </c>
      <c r="D474" s="2" t="s">
        <v>108</v>
      </c>
      <c r="E474" s="2" t="s">
        <v>196</v>
      </c>
      <c r="F474" s="2" t="n">
        <v>2</v>
      </c>
      <c r="G474" s="2" t="s">
        <v>51</v>
      </c>
      <c r="H474" s="2" t="s">
        <v>36</v>
      </c>
      <c r="I474" s="2" t="s">
        <v>1980</v>
      </c>
      <c r="J474" s="2" t="s">
        <v>38</v>
      </c>
      <c r="K474" s="2" t="n">
        <v>2300</v>
      </c>
      <c r="L474" s="2" t="n">
        <v>1200</v>
      </c>
      <c r="M474" s="2" t="n">
        <v>2400</v>
      </c>
      <c r="N474" s="2" t="s">
        <v>1981</v>
      </c>
    </row>
    <row r="475" customFormat="false" ht="15" hidden="false" customHeight="false" outlineLevel="0" collapsed="false">
      <c r="A475" s="3" t="s">
        <v>1982</v>
      </c>
      <c r="B475" s="3" t="s">
        <v>1983</v>
      </c>
      <c r="C475" s="3" t="n">
        <v>1706</v>
      </c>
      <c r="D475" s="3" t="s">
        <v>34</v>
      </c>
      <c r="E475" s="3" t="s">
        <v>502</v>
      </c>
      <c r="F475" s="3" t="n">
        <v>3</v>
      </c>
      <c r="G475" s="3" t="s">
        <v>51</v>
      </c>
      <c r="H475" s="3" t="s">
        <v>28</v>
      </c>
      <c r="I475" s="3" t="s">
        <v>1984</v>
      </c>
      <c r="J475" s="3" t="s">
        <v>30</v>
      </c>
      <c r="K475" s="3" t="n">
        <v>2600</v>
      </c>
      <c r="L475" s="3" t="n">
        <v>300</v>
      </c>
      <c r="M475" s="3" t="n">
        <v>900</v>
      </c>
      <c r="N475" s="3" t="s">
        <v>1985</v>
      </c>
    </row>
    <row r="476" customFormat="false" ht="15" hidden="false" customHeight="false" outlineLevel="0" collapsed="false">
      <c r="A476" s="2" t="s">
        <v>1986</v>
      </c>
      <c r="B476" s="2" t="s">
        <v>1987</v>
      </c>
      <c r="C476" s="2" t="n">
        <v>1707</v>
      </c>
      <c r="D476" s="2" t="s">
        <v>16</v>
      </c>
      <c r="E476" s="2" t="s">
        <v>1321</v>
      </c>
      <c r="F476" s="2" t="n">
        <v>3</v>
      </c>
      <c r="G476" s="2" t="s">
        <v>18</v>
      </c>
      <c r="H476" s="2" t="s">
        <v>121</v>
      </c>
      <c r="I476" s="2" t="s">
        <v>1988</v>
      </c>
      <c r="J476" s="2" t="s">
        <v>123</v>
      </c>
      <c r="K476" s="2" t="n">
        <v>800</v>
      </c>
      <c r="L476" s="2" t="n">
        <v>250</v>
      </c>
      <c r="M476" s="2" t="n">
        <v>750</v>
      </c>
      <c r="N476" s="2" t="s">
        <v>1989</v>
      </c>
    </row>
    <row r="477" customFormat="false" ht="15" hidden="false" customHeight="false" outlineLevel="0" collapsed="false">
      <c r="A477" s="3" t="s">
        <v>1788</v>
      </c>
      <c r="B477" s="3" t="s">
        <v>544</v>
      </c>
      <c r="C477" s="3" t="n">
        <v>1708</v>
      </c>
      <c r="D477" s="3" t="s">
        <v>34</v>
      </c>
      <c r="E477" s="3" t="s">
        <v>1990</v>
      </c>
      <c r="F477" s="3" t="n">
        <v>1</v>
      </c>
      <c r="G477" s="3" t="s">
        <v>18</v>
      </c>
      <c r="H477" s="3" t="s">
        <v>36</v>
      </c>
      <c r="I477" s="3" t="s">
        <v>1991</v>
      </c>
      <c r="J477" s="3" t="s">
        <v>170</v>
      </c>
      <c r="K477" s="3" t="n">
        <v>2500</v>
      </c>
      <c r="L477" s="3" t="n">
        <v>300</v>
      </c>
      <c r="M477" s="3" t="n">
        <v>300</v>
      </c>
      <c r="N477" s="3" t="s">
        <v>1992</v>
      </c>
    </row>
    <row r="478" customFormat="false" ht="15" hidden="false" customHeight="false" outlineLevel="0" collapsed="false">
      <c r="A478" s="2" t="s">
        <v>1993</v>
      </c>
      <c r="B478" s="2" t="s">
        <v>434</v>
      </c>
      <c r="C478" s="2" t="n">
        <v>1709</v>
      </c>
      <c r="D478" s="2" t="s">
        <v>16</v>
      </c>
      <c r="E478" s="2" t="s">
        <v>372</v>
      </c>
      <c r="F478" s="2" t="n">
        <v>1</v>
      </c>
      <c r="G478" s="2" t="s">
        <v>18</v>
      </c>
      <c r="H478" s="2" t="s">
        <v>52</v>
      </c>
      <c r="I478" s="2" t="s">
        <v>1994</v>
      </c>
      <c r="J478" s="2" t="s">
        <v>92</v>
      </c>
      <c r="K478" s="2" t="n">
        <v>4870</v>
      </c>
      <c r="L478" s="2" t="n">
        <v>250</v>
      </c>
      <c r="M478" s="2" t="n">
        <v>250</v>
      </c>
      <c r="N478" s="2" t="s">
        <v>1995</v>
      </c>
    </row>
    <row r="479" customFormat="false" ht="15" hidden="false" customHeight="false" outlineLevel="0" collapsed="false">
      <c r="A479" s="3" t="s">
        <v>982</v>
      </c>
      <c r="B479" s="3" t="s">
        <v>1895</v>
      </c>
      <c r="C479" s="3" t="n">
        <v>1710</v>
      </c>
      <c r="D479" s="3" t="s">
        <v>49</v>
      </c>
      <c r="E479" s="3" t="s">
        <v>1916</v>
      </c>
      <c r="F479" s="3" t="n">
        <v>2</v>
      </c>
      <c r="G479" s="3" t="s">
        <v>18</v>
      </c>
      <c r="H479" s="3" t="s">
        <v>43</v>
      </c>
      <c r="I479" s="3" t="s">
        <v>1996</v>
      </c>
      <c r="J479" s="3" t="s">
        <v>111</v>
      </c>
      <c r="K479" s="3" t="n">
        <v>3000</v>
      </c>
      <c r="L479" s="3" t="n">
        <v>250</v>
      </c>
      <c r="M479" s="3" t="n">
        <v>500</v>
      </c>
      <c r="N479" s="3" t="s">
        <v>1997</v>
      </c>
    </row>
    <row r="480" customFormat="false" ht="15" hidden="false" customHeight="false" outlineLevel="0" collapsed="false">
      <c r="A480" s="2" t="s">
        <v>1417</v>
      </c>
      <c r="B480" s="2" t="s">
        <v>1998</v>
      </c>
      <c r="C480" s="2" t="n">
        <v>1711</v>
      </c>
      <c r="D480" s="2" t="s">
        <v>25</v>
      </c>
      <c r="E480" s="2" t="s">
        <v>430</v>
      </c>
      <c r="F480" s="2" t="n">
        <v>2</v>
      </c>
      <c r="G480" s="2" t="s">
        <v>51</v>
      </c>
      <c r="H480" s="2" t="s">
        <v>52</v>
      </c>
      <c r="I480" s="2" t="s">
        <v>1999</v>
      </c>
      <c r="J480" s="2" t="s">
        <v>92</v>
      </c>
      <c r="K480" s="2" t="n">
        <v>4870</v>
      </c>
      <c r="L480" s="2" t="n">
        <v>800</v>
      </c>
      <c r="M480" s="2" t="n">
        <v>1600</v>
      </c>
      <c r="N480" s="2" t="s">
        <v>2000</v>
      </c>
    </row>
    <row r="481" customFormat="false" ht="15" hidden="false" customHeight="false" outlineLevel="0" collapsed="false">
      <c r="A481" s="3" t="s">
        <v>1159</v>
      </c>
      <c r="B481" s="3" t="s">
        <v>1286</v>
      </c>
      <c r="C481" s="3" t="n">
        <v>1712</v>
      </c>
      <c r="D481" s="3" t="s">
        <v>49</v>
      </c>
      <c r="E481" s="3" t="s">
        <v>1566</v>
      </c>
      <c r="F481" s="3" t="n">
        <v>2</v>
      </c>
      <c r="G481" s="3" t="s">
        <v>18</v>
      </c>
      <c r="H481" s="3" t="s">
        <v>28</v>
      </c>
      <c r="I481" s="3" t="s">
        <v>2001</v>
      </c>
      <c r="J481" s="3" t="s">
        <v>30</v>
      </c>
      <c r="K481" s="3" t="n">
        <v>2600</v>
      </c>
      <c r="L481" s="3" t="n">
        <v>250</v>
      </c>
      <c r="M481" s="3" t="n">
        <v>500</v>
      </c>
      <c r="N481" s="3" t="s">
        <v>2002</v>
      </c>
    </row>
    <row r="482" customFormat="false" ht="15" hidden="false" customHeight="false" outlineLevel="0" collapsed="false">
      <c r="A482" s="2" t="s">
        <v>2003</v>
      </c>
      <c r="B482" s="2" t="s">
        <v>2004</v>
      </c>
      <c r="C482" s="2" t="n">
        <v>1713</v>
      </c>
      <c r="D482" s="2" t="s">
        <v>147</v>
      </c>
      <c r="E482" s="2" t="s">
        <v>211</v>
      </c>
      <c r="F482" s="2" t="n">
        <v>3</v>
      </c>
      <c r="G482" s="2" t="s">
        <v>51</v>
      </c>
      <c r="H482" s="2" t="s">
        <v>59</v>
      </c>
      <c r="I482" s="2" t="s">
        <v>2005</v>
      </c>
      <c r="J482" s="2" t="s">
        <v>61</v>
      </c>
      <c r="K482" s="2" t="n">
        <v>5290</v>
      </c>
      <c r="L482" s="2" t="n">
        <v>600</v>
      </c>
      <c r="M482" s="2" t="n">
        <v>1800</v>
      </c>
      <c r="N482" s="2" t="s">
        <v>2006</v>
      </c>
    </row>
    <row r="483" customFormat="false" ht="15" hidden="false" customHeight="false" outlineLevel="0" collapsed="false">
      <c r="A483" s="3" t="s">
        <v>2007</v>
      </c>
      <c r="B483" s="3" t="s">
        <v>1188</v>
      </c>
      <c r="C483" s="3" t="n">
        <v>1714</v>
      </c>
      <c r="D483" s="3" t="s">
        <v>49</v>
      </c>
      <c r="E483" s="3" t="s">
        <v>720</v>
      </c>
      <c r="F483" s="3" t="n">
        <v>2</v>
      </c>
      <c r="G483" s="3" t="s">
        <v>51</v>
      </c>
      <c r="H483" s="3" t="s">
        <v>19</v>
      </c>
      <c r="I483" s="3" t="s">
        <v>2008</v>
      </c>
      <c r="J483" s="3" t="s">
        <v>176</v>
      </c>
      <c r="K483" s="3" t="n">
        <v>6000</v>
      </c>
      <c r="L483" s="3" t="n">
        <v>250</v>
      </c>
      <c r="M483" s="3" t="n">
        <v>500</v>
      </c>
      <c r="N483" s="3" t="s">
        <v>2009</v>
      </c>
    </row>
    <row r="484" customFormat="false" ht="15" hidden="false" customHeight="false" outlineLevel="0" collapsed="false">
      <c r="A484" s="2" t="s">
        <v>2010</v>
      </c>
      <c r="B484" s="2" t="s">
        <v>2011</v>
      </c>
      <c r="C484" s="2" t="n">
        <v>1715</v>
      </c>
      <c r="D484" s="2" t="s">
        <v>34</v>
      </c>
      <c r="E484" s="2" t="s">
        <v>1718</v>
      </c>
      <c r="F484" s="2" t="n">
        <v>3</v>
      </c>
      <c r="G484" s="2" t="s">
        <v>51</v>
      </c>
      <c r="H484" s="2" t="s">
        <v>19</v>
      </c>
      <c r="I484" s="2" t="s">
        <v>2012</v>
      </c>
      <c r="J484" s="2" t="s">
        <v>73</v>
      </c>
      <c r="K484" s="2" t="n">
        <v>6160</v>
      </c>
      <c r="L484" s="2" t="n">
        <v>300</v>
      </c>
      <c r="M484" s="2" t="n">
        <v>900</v>
      </c>
      <c r="N484" s="2" t="s">
        <v>2013</v>
      </c>
    </row>
    <row r="485" customFormat="false" ht="15" hidden="false" customHeight="false" outlineLevel="0" collapsed="false">
      <c r="A485" s="3" t="s">
        <v>1089</v>
      </c>
      <c r="B485" s="3" t="s">
        <v>680</v>
      </c>
      <c r="C485" s="3" t="n">
        <v>1716</v>
      </c>
      <c r="D485" s="3" t="s">
        <v>34</v>
      </c>
      <c r="E485" s="3" t="s">
        <v>2014</v>
      </c>
      <c r="F485" s="3" t="n">
        <v>2</v>
      </c>
      <c r="G485" s="3" t="s">
        <v>51</v>
      </c>
      <c r="H485" s="3" t="s">
        <v>52</v>
      </c>
      <c r="I485" s="3" t="s">
        <v>2015</v>
      </c>
      <c r="J485" s="3" t="s">
        <v>182</v>
      </c>
      <c r="K485" s="3" t="n">
        <v>4000</v>
      </c>
      <c r="L485" s="3" t="n">
        <v>300</v>
      </c>
      <c r="M485" s="3" t="n">
        <v>600</v>
      </c>
      <c r="N485" s="3" t="s">
        <v>2016</v>
      </c>
    </row>
    <row r="486" customFormat="false" ht="15" hidden="false" customHeight="false" outlineLevel="0" collapsed="false">
      <c r="A486" s="2" t="s">
        <v>2017</v>
      </c>
      <c r="B486" s="2" t="s">
        <v>1703</v>
      </c>
      <c r="C486" s="2" t="n">
        <v>1717</v>
      </c>
      <c r="D486" s="2" t="s">
        <v>147</v>
      </c>
      <c r="E486" s="2" t="s">
        <v>2018</v>
      </c>
      <c r="F486" s="2" t="n">
        <v>1</v>
      </c>
      <c r="G486" s="2" t="s">
        <v>51</v>
      </c>
      <c r="H486" s="2" t="s">
        <v>121</v>
      </c>
      <c r="I486" s="2" t="s">
        <v>2019</v>
      </c>
      <c r="J486" s="2" t="s">
        <v>317</v>
      </c>
      <c r="K486" s="2" t="n">
        <v>870</v>
      </c>
      <c r="L486" s="2" t="n">
        <v>600</v>
      </c>
      <c r="M486" s="2" t="n">
        <v>600</v>
      </c>
      <c r="N486" s="2" t="s">
        <v>2020</v>
      </c>
    </row>
    <row r="487" customFormat="false" ht="15" hidden="false" customHeight="false" outlineLevel="0" collapsed="false">
      <c r="A487" s="3" t="s">
        <v>1882</v>
      </c>
      <c r="B487" s="3" t="s">
        <v>701</v>
      </c>
      <c r="C487" s="3" t="n">
        <v>1718</v>
      </c>
      <c r="D487" s="3" t="s">
        <v>16</v>
      </c>
      <c r="E487" s="3" t="s">
        <v>336</v>
      </c>
      <c r="F487" s="3" t="n">
        <v>2</v>
      </c>
      <c r="G487" s="3" t="s">
        <v>51</v>
      </c>
      <c r="H487" s="3" t="s">
        <v>19</v>
      </c>
      <c r="I487" s="3" t="s">
        <v>2021</v>
      </c>
      <c r="J487" s="3" t="s">
        <v>73</v>
      </c>
      <c r="K487" s="3" t="n">
        <v>6160</v>
      </c>
      <c r="L487" s="3" t="n">
        <v>250</v>
      </c>
      <c r="M487" s="3" t="n">
        <v>500</v>
      </c>
      <c r="N487" s="3" t="s">
        <v>2022</v>
      </c>
    </row>
    <row r="488" customFormat="false" ht="15" hidden="false" customHeight="false" outlineLevel="0" collapsed="false">
      <c r="A488" s="2" t="s">
        <v>2023</v>
      </c>
      <c r="B488" s="2" t="s">
        <v>1221</v>
      </c>
      <c r="C488" s="2" t="n">
        <v>1719</v>
      </c>
      <c r="D488" s="2" t="s">
        <v>16</v>
      </c>
      <c r="E488" s="2" t="s">
        <v>2024</v>
      </c>
      <c r="F488" s="2" t="n">
        <v>2</v>
      </c>
      <c r="G488" s="2" t="s">
        <v>51</v>
      </c>
      <c r="H488" s="2" t="s">
        <v>28</v>
      </c>
      <c r="I488" s="2" t="s">
        <v>2025</v>
      </c>
      <c r="J488" s="2" t="s">
        <v>30</v>
      </c>
      <c r="K488" s="2" t="n">
        <v>2600</v>
      </c>
      <c r="L488" s="2" t="n">
        <v>250</v>
      </c>
      <c r="M488" s="2" t="n">
        <v>500</v>
      </c>
      <c r="N488" s="2" t="s">
        <v>2026</v>
      </c>
    </row>
    <row r="489" customFormat="false" ht="15" hidden="false" customHeight="false" outlineLevel="0" collapsed="false">
      <c r="A489" s="3" t="s">
        <v>914</v>
      </c>
      <c r="B489" s="3" t="s">
        <v>2027</v>
      </c>
      <c r="C489" s="3" t="n">
        <v>1720</v>
      </c>
      <c r="D489" s="3" t="s">
        <v>34</v>
      </c>
      <c r="E489" s="3" t="s">
        <v>2028</v>
      </c>
      <c r="F489" s="3" t="n">
        <v>1</v>
      </c>
      <c r="G489" s="3" t="s">
        <v>18</v>
      </c>
      <c r="H489" s="3" t="s">
        <v>36</v>
      </c>
      <c r="I489" s="3" t="s">
        <v>2029</v>
      </c>
      <c r="J489" s="3" t="s">
        <v>192</v>
      </c>
      <c r="K489" s="3" t="n">
        <v>2000</v>
      </c>
      <c r="L489" s="3" t="n">
        <v>300</v>
      </c>
      <c r="M489" s="3" t="n">
        <v>300</v>
      </c>
      <c r="N489" s="3" t="s">
        <v>2030</v>
      </c>
    </row>
    <row r="490" customFormat="false" ht="15" hidden="false" customHeight="false" outlineLevel="0" collapsed="false">
      <c r="A490" s="2" t="s">
        <v>827</v>
      </c>
      <c r="B490" s="2" t="s">
        <v>789</v>
      </c>
      <c r="C490" s="2" t="n">
        <v>1721</v>
      </c>
      <c r="D490" s="2" t="s">
        <v>49</v>
      </c>
      <c r="E490" s="2" t="s">
        <v>2031</v>
      </c>
      <c r="F490" s="2" t="n">
        <v>3</v>
      </c>
      <c r="G490" s="2" t="s">
        <v>18</v>
      </c>
      <c r="H490" s="2" t="s">
        <v>19</v>
      </c>
      <c r="I490" s="2" t="s">
        <v>2032</v>
      </c>
      <c r="J490" s="2" t="s">
        <v>21</v>
      </c>
      <c r="K490" s="2" t="n">
        <v>6725</v>
      </c>
      <c r="L490" s="2" t="n">
        <v>250</v>
      </c>
      <c r="M490" s="2" t="n">
        <v>750</v>
      </c>
      <c r="N490" s="2" t="s">
        <v>2033</v>
      </c>
    </row>
    <row r="491" customFormat="false" ht="15" hidden="false" customHeight="false" outlineLevel="0" collapsed="false">
      <c r="A491" s="3" t="s">
        <v>2034</v>
      </c>
      <c r="B491" s="3" t="s">
        <v>102</v>
      </c>
      <c r="C491" s="3" t="n">
        <v>1722</v>
      </c>
      <c r="D491" s="3" t="s">
        <v>108</v>
      </c>
      <c r="E491" s="3" t="s">
        <v>2035</v>
      </c>
      <c r="F491" s="3" t="n">
        <v>1</v>
      </c>
      <c r="G491" s="3" t="s">
        <v>51</v>
      </c>
      <c r="H491" s="3" t="s">
        <v>121</v>
      </c>
      <c r="I491" s="3" t="s">
        <v>2036</v>
      </c>
      <c r="J491" s="3" t="s">
        <v>317</v>
      </c>
      <c r="K491" s="3" t="n">
        <v>870</v>
      </c>
      <c r="L491" s="3" t="n">
        <v>1200</v>
      </c>
      <c r="M491" s="3" t="n">
        <v>1200</v>
      </c>
      <c r="N491" s="3" t="s">
        <v>2037</v>
      </c>
    </row>
    <row r="492" customFormat="false" ht="15" hidden="false" customHeight="false" outlineLevel="0" collapsed="false">
      <c r="A492" s="2" t="s">
        <v>2038</v>
      </c>
      <c r="B492" s="2" t="s">
        <v>2039</v>
      </c>
      <c r="C492" s="2" t="n">
        <v>1723</v>
      </c>
      <c r="D492" s="2" t="s">
        <v>34</v>
      </c>
      <c r="E492" s="2" t="s">
        <v>2031</v>
      </c>
      <c r="F492" s="2" t="n">
        <v>3</v>
      </c>
      <c r="G492" s="2" t="s">
        <v>18</v>
      </c>
      <c r="H492" s="2" t="s">
        <v>19</v>
      </c>
      <c r="I492" s="2" t="s">
        <v>2040</v>
      </c>
      <c r="J492" s="2" t="s">
        <v>176</v>
      </c>
      <c r="K492" s="2" t="n">
        <v>6000</v>
      </c>
      <c r="L492" s="2" t="n">
        <v>300</v>
      </c>
      <c r="M492" s="2" t="n">
        <v>900</v>
      </c>
      <c r="N492" s="2" t="s">
        <v>2041</v>
      </c>
    </row>
    <row r="493" customFormat="false" ht="15" hidden="false" customHeight="false" outlineLevel="0" collapsed="false">
      <c r="A493" s="3" t="s">
        <v>823</v>
      </c>
      <c r="B493" s="3" t="s">
        <v>2042</v>
      </c>
      <c r="C493" s="3" t="n">
        <v>1724</v>
      </c>
      <c r="D493" s="3" t="s">
        <v>25</v>
      </c>
      <c r="E493" s="3" t="s">
        <v>2043</v>
      </c>
      <c r="F493" s="3" t="n">
        <v>1</v>
      </c>
      <c r="G493" s="3" t="s">
        <v>97</v>
      </c>
      <c r="H493" s="3" t="s">
        <v>59</v>
      </c>
      <c r="I493" s="3" t="s">
        <v>2044</v>
      </c>
      <c r="J493" s="3" t="s">
        <v>292</v>
      </c>
      <c r="K493" s="3" t="n">
        <v>5600</v>
      </c>
      <c r="L493" s="3" t="n">
        <v>800</v>
      </c>
      <c r="M493" s="3" t="n">
        <v>800</v>
      </c>
      <c r="N493" s="3" t="s">
        <v>2045</v>
      </c>
    </row>
    <row r="494" customFormat="false" ht="15" hidden="false" customHeight="false" outlineLevel="0" collapsed="false">
      <c r="A494" s="2" t="s">
        <v>691</v>
      </c>
      <c r="B494" s="2" t="s">
        <v>2046</v>
      </c>
      <c r="C494" s="2" t="n">
        <v>1725</v>
      </c>
      <c r="D494" s="2" t="s">
        <v>49</v>
      </c>
      <c r="E494" s="2" t="s">
        <v>326</v>
      </c>
      <c r="F494" s="2" t="n">
        <v>2</v>
      </c>
      <c r="G494" s="2" t="s">
        <v>97</v>
      </c>
      <c r="H494" s="2" t="s">
        <v>19</v>
      </c>
      <c r="I494" s="2" t="s">
        <v>2047</v>
      </c>
      <c r="J494" s="2" t="s">
        <v>21</v>
      </c>
      <c r="K494" s="2" t="n">
        <v>6725</v>
      </c>
      <c r="L494" s="2" t="n">
        <v>250</v>
      </c>
      <c r="M494" s="2" t="n">
        <v>500</v>
      </c>
      <c r="N494" s="2" t="s">
        <v>2048</v>
      </c>
    </row>
    <row r="495" customFormat="false" ht="15" hidden="false" customHeight="false" outlineLevel="0" collapsed="false">
      <c r="A495" s="3" t="s">
        <v>2049</v>
      </c>
      <c r="B495" s="3" t="s">
        <v>2050</v>
      </c>
      <c r="C495" s="3" t="n">
        <v>1726</v>
      </c>
      <c r="D495" s="3" t="s">
        <v>25</v>
      </c>
      <c r="E495" s="3" t="s">
        <v>2051</v>
      </c>
      <c r="F495" s="3" t="n">
        <v>3</v>
      </c>
      <c r="G495" s="3" t="s">
        <v>97</v>
      </c>
      <c r="H495" s="3" t="s">
        <v>121</v>
      </c>
      <c r="I495" s="3" t="s">
        <v>2052</v>
      </c>
      <c r="J495" s="3" t="s">
        <v>317</v>
      </c>
      <c r="K495" s="3" t="n">
        <v>870</v>
      </c>
      <c r="L495" s="3" t="n">
        <v>800</v>
      </c>
      <c r="M495" s="3" t="n">
        <v>2400</v>
      </c>
      <c r="N495" s="3" t="s">
        <v>2053</v>
      </c>
    </row>
    <row r="496" customFormat="false" ht="15" hidden="false" customHeight="false" outlineLevel="0" collapsed="false">
      <c r="A496" s="2" t="s">
        <v>2054</v>
      </c>
      <c r="B496" s="2" t="s">
        <v>2055</v>
      </c>
      <c r="C496" s="2" t="n">
        <v>1727</v>
      </c>
      <c r="D496" s="2" t="s">
        <v>147</v>
      </c>
      <c r="E496" s="2" t="s">
        <v>336</v>
      </c>
      <c r="F496" s="2" t="n">
        <v>2</v>
      </c>
      <c r="G496" s="2" t="s">
        <v>51</v>
      </c>
      <c r="H496" s="2" t="s">
        <v>43</v>
      </c>
      <c r="I496" s="2" t="s">
        <v>2056</v>
      </c>
      <c r="J496" s="2" t="s">
        <v>67</v>
      </c>
      <c r="K496" s="2" t="n">
        <v>3220</v>
      </c>
      <c r="L496" s="2" t="n">
        <v>600</v>
      </c>
      <c r="M496" s="2" t="n">
        <v>1200</v>
      </c>
      <c r="N496" s="2" t="s">
        <v>2057</v>
      </c>
    </row>
    <row r="497" customFormat="false" ht="15" hidden="false" customHeight="false" outlineLevel="0" collapsed="false">
      <c r="A497" s="3" t="s">
        <v>2058</v>
      </c>
      <c r="B497" s="3" t="s">
        <v>2059</v>
      </c>
      <c r="C497" s="3" t="n">
        <v>1728</v>
      </c>
      <c r="D497" s="3" t="s">
        <v>147</v>
      </c>
      <c r="E497" s="3" t="s">
        <v>1270</v>
      </c>
      <c r="F497" s="3" t="n">
        <v>2</v>
      </c>
      <c r="G497" s="3" t="s">
        <v>18</v>
      </c>
      <c r="H497" s="3" t="s">
        <v>43</v>
      </c>
      <c r="I497" s="3" t="s">
        <v>2060</v>
      </c>
      <c r="J497" s="3" t="s">
        <v>45</v>
      </c>
      <c r="K497" s="3" t="n">
        <v>3350</v>
      </c>
      <c r="L497" s="3" t="n">
        <v>600</v>
      </c>
      <c r="M497" s="3" t="n">
        <v>1200</v>
      </c>
      <c r="N497" s="3" t="s">
        <v>2061</v>
      </c>
    </row>
    <row r="498" customFormat="false" ht="15" hidden="false" customHeight="false" outlineLevel="0" collapsed="false">
      <c r="A498" s="2" t="s">
        <v>1020</v>
      </c>
      <c r="B498" s="2" t="s">
        <v>1885</v>
      </c>
      <c r="C498" s="2" t="n">
        <v>1729</v>
      </c>
      <c r="D498" s="2" t="s">
        <v>108</v>
      </c>
      <c r="E498" s="2" t="s">
        <v>488</v>
      </c>
      <c r="F498" s="2" t="n">
        <v>2</v>
      </c>
      <c r="G498" s="2" t="s">
        <v>51</v>
      </c>
      <c r="H498" s="2" t="s">
        <v>28</v>
      </c>
      <c r="I498" s="2" t="s">
        <v>2062</v>
      </c>
      <c r="J498" s="2" t="s">
        <v>30</v>
      </c>
      <c r="K498" s="2" t="n">
        <v>2600</v>
      </c>
      <c r="L498" s="2" t="n">
        <v>1200</v>
      </c>
      <c r="M498" s="2" t="n">
        <v>2400</v>
      </c>
      <c r="N498" s="2" t="s">
        <v>2063</v>
      </c>
    </row>
    <row r="499" customFormat="false" ht="15" hidden="false" customHeight="false" outlineLevel="0" collapsed="false">
      <c r="A499" s="3" t="s">
        <v>519</v>
      </c>
      <c r="B499" s="3" t="s">
        <v>2064</v>
      </c>
      <c r="C499" s="3" t="n">
        <v>1730</v>
      </c>
      <c r="D499" s="3" t="s">
        <v>108</v>
      </c>
      <c r="E499" s="3" t="s">
        <v>1176</v>
      </c>
      <c r="F499" s="3" t="n">
        <v>2</v>
      </c>
      <c r="G499" s="3" t="s">
        <v>51</v>
      </c>
      <c r="H499" s="3" t="s">
        <v>43</v>
      </c>
      <c r="I499" s="3" t="s">
        <v>2065</v>
      </c>
      <c r="J499" s="3" t="s">
        <v>111</v>
      </c>
      <c r="K499" s="3" t="n">
        <v>3000</v>
      </c>
      <c r="L499" s="3" t="n">
        <v>1200</v>
      </c>
      <c r="M499" s="3" t="n">
        <v>2400</v>
      </c>
      <c r="N499" s="3" t="s">
        <v>2066</v>
      </c>
    </row>
    <row r="500" customFormat="false" ht="15" hidden="false" customHeight="false" outlineLevel="0" collapsed="false">
      <c r="A500" s="2" t="s">
        <v>1691</v>
      </c>
      <c r="B500" s="2" t="s">
        <v>2067</v>
      </c>
      <c r="C500" s="2" t="n">
        <v>1731</v>
      </c>
      <c r="D500" s="2" t="s">
        <v>108</v>
      </c>
      <c r="E500" s="2" t="s">
        <v>1976</v>
      </c>
      <c r="F500" s="2" t="n">
        <v>1</v>
      </c>
      <c r="G500" s="2" t="s">
        <v>18</v>
      </c>
      <c r="H500" s="2" t="s">
        <v>78</v>
      </c>
      <c r="I500" s="2" t="s">
        <v>2068</v>
      </c>
      <c r="J500" s="2" t="s">
        <v>80</v>
      </c>
      <c r="K500" s="2" t="n">
        <v>7250</v>
      </c>
      <c r="L500" s="2" t="n">
        <v>1200</v>
      </c>
      <c r="M500" s="2" t="n">
        <v>1200</v>
      </c>
      <c r="N500" s="2" t="s">
        <v>2069</v>
      </c>
    </row>
    <row r="501" customFormat="false" ht="15" hidden="false" customHeight="false" outlineLevel="0" collapsed="false">
      <c r="A501" s="3" t="s">
        <v>873</v>
      </c>
      <c r="B501" s="3" t="s">
        <v>2070</v>
      </c>
      <c r="C501" s="3" t="n">
        <v>1732</v>
      </c>
      <c r="D501" s="3" t="s">
        <v>25</v>
      </c>
      <c r="E501" s="3" t="s">
        <v>1337</v>
      </c>
      <c r="F501" s="3" t="n">
        <v>3</v>
      </c>
      <c r="G501" s="3" t="s">
        <v>97</v>
      </c>
      <c r="H501" s="3" t="s">
        <v>19</v>
      </c>
      <c r="I501" s="3" t="s">
        <v>2071</v>
      </c>
      <c r="J501" s="3" t="s">
        <v>176</v>
      </c>
      <c r="K501" s="3" t="n">
        <v>6000</v>
      </c>
      <c r="L501" s="3" t="n">
        <v>800</v>
      </c>
      <c r="M501" s="3" t="n">
        <v>2400</v>
      </c>
      <c r="N501" s="3" t="s">
        <v>2072</v>
      </c>
    </row>
    <row r="502" customFormat="false" ht="15" hidden="false" customHeight="false" outlineLevel="0" collapsed="false">
      <c r="A502" s="2" t="s">
        <v>2073</v>
      </c>
      <c r="B502" s="2" t="s">
        <v>106</v>
      </c>
      <c r="C502" s="2" t="n">
        <v>1733</v>
      </c>
      <c r="D502" s="2" t="s">
        <v>147</v>
      </c>
      <c r="E502" s="2" t="s">
        <v>296</v>
      </c>
      <c r="F502" s="2" t="n">
        <v>3</v>
      </c>
      <c r="G502" s="2" t="s">
        <v>18</v>
      </c>
      <c r="H502" s="2" t="s">
        <v>19</v>
      </c>
      <c r="I502" s="2" t="s">
        <v>2074</v>
      </c>
      <c r="J502" s="2" t="s">
        <v>73</v>
      </c>
      <c r="K502" s="2" t="n">
        <v>6160</v>
      </c>
      <c r="L502" s="2" t="n">
        <v>600</v>
      </c>
      <c r="M502" s="2" t="n">
        <v>1800</v>
      </c>
      <c r="N502" s="2" t="s">
        <v>2075</v>
      </c>
    </row>
    <row r="503" customFormat="false" ht="15" hidden="false" customHeight="false" outlineLevel="0" collapsed="false">
      <c r="A503" s="3" t="s">
        <v>2076</v>
      </c>
      <c r="B503" s="3" t="s">
        <v>2077</v>
      </c>
      <c r="C503" s="3" t="n">
        <v>1734</v>
      </c>
      <c r="D503" s="3" t="s">
        <v>25</v>
      </c>
      <c r="E503" s="3" t="s">
        <v>226</v>
      </c>
      <c r="F503" s="3" t="n">
        <v>3</v>
      </c>
      <c r="G503" s="3" t="s">
        <v>27</v>
      </c>
      <c r="H503" s="3" t="s">
        <v>43</v>
      </c>
      <c r="I503" s="3" t="s">
        <v>2078</v>
      </c>
      <c r="J503" s="3" t="s">
        <v>111</v>
      </c>
      <c r="K503" s="3" t="n">
        <v>3000</v>
      </c>
      <c r="L503" s="3" t="n">
        <v>800</v>
      </c>
      <c r="M503" s="3" t="n">
        <v>2400</v>
      </c>
      <c r="N503" s="3" t="s">
        <v>2079</v>
      </c>
    </row>
    <row r="504" customFormat="false" ht="15" hidden="false" customHeight="false" outlineLevel="0" collapsed="false">
      <c r="A504" s="2" t="s">
        <v>643</v>
      </c>
      <c r="B504" s="2" t="s">
        <v>955</v>
      </c>
      <c r="C504" s="2" t="n">
        <v>1735</v>
      </c>
      <c r="D504" s="2" t="s">
        <v>34</v>
      </c>
      <c r="E504" s="2" t="s">
        <v>2080</v>
      </c>
      <c r="F504" s="2" t="n">
        <v>1</v>
      </c>
      <c r="G504" s="2" t="s">
        <v>51</v>
      </c>
      <c r="H504" s="2" t="s">
        <v>36</v>
      </c>
      <c r="I504" s="2" t="s">
        <v>2081</v>
      </c>
      <c r="J504" s="2" t="s">
        <v>170</v>
      </c>
      <c r="K504" s="2" t="n">
        <v>2500</v>
      </c>
      <c r="L504" s="2" t="n">
        <v>300</v>
      </c>
      <c r="M504" s="2" t="n">
        <v>300</v>
      </c>
      <c r="N504" s="2" t="s">
        <v>2082</v>
      </c>
    </row>
    <row r="505" customFormat="false" ht="15" hidden="false" customHeight="false" outlineLevel="0" collapsed="false">
      <c r="A505" s="3" t="s">
        <v>414</v>
      </c>
      <c r="B505" s="3" t="s">
        <v>2083</v>
      </c>
      <c r="C505" s="3" t="n">
        <v>1736</v>
      </c>
      <c r="D505" s="3" t="s">
        <v>34</v>
      </c>
      <c r="E505" s="3" t="s">
        <v>137</v>
      </c>
      <c r="F505" s="3" t="n">
        <v>3</v>
      </c>
      <c r="G505" s="3" t="s">
        <v>97</v>
      </c>
      <c r="H505" s="3" t="s">
        <v>36</v>
      </c>
      <c r="I505" s="3" t="s">
        <v>2084</v>
      </c>
      <c r="J505" s="3" t="s">
        <v>170</v>
      </c>
      <c r="K505" s="3" t="n">
        <v>2500</v>
      </c>
      <c r="L505" s="3" t="n">
        <v>300</v>
      </c>
      <c r="M505" s="3" t="n">
        <v>900</v>
      </c>
      <c r="N505" s="3" t="s">
        <v>2085</v>
      </c>
    </row>
    <row r="506" customFormat="false" ht="15" hidden="false" customHeight="false" outlineLevel="0" collapsed="false">
      <c r="A506" s="2" t="s">
        <v>348</v>
      </c>
      <c r="B506" s="2" t="s">
        <v>2086</v>
      </c>
      <c r="C506" s="2" t="n">
        <v>1737</v>
      </c>
      <c r="D506" s="2" t="s">
        <v>34</v>
      </c>
      <c r="E506" s="2" t="s">
        <v>2087</v>
      </c>
      <c r="F506" s="2" t="n">
        <v>3</v>
      </c>
      <c r="G506" s="2" t="s">
        <v>18</v>
      </c>
      <c r="H506" s="2" t="s">
        <v>59</v>
      </c>
      <c r="I506" s="2" t="s">
        <v>2088</v>
      </c>
      <c r="J506" s="2" t="s">
        <v>292</v>
      </c>
      <c r="K506" s="2" t="n">
        <v>5600</v>
      </c>
      <c r="L506" s="2" t="n">
        <v>300</v>
      </c>
      <c r="M506" s="2" t="n">
        <v>900</v>
      </c>
      <c r="N506" s="2" t="s">
        <v>2089</v>
      </c>
    </row>
    <row r="507" customFormat="false" ht="15" hidden="false" customHeight="false" outlineLevel="0" collapsed="false">
      <c r="A507" s="3" t="s">
        <v>2090</v>
      </c>
      <c r="B507" s="3" t="s">
        <v>1090</v>
      </c>
      <c r="C507" s="3" t="n">
        <v>1738</v>
      </c>
      <c r="D507" s="3" t="s">
        <v>16</v>
      </c>
      <c r="E507" s="3" t="s">
        <v>153</v>
      </c>
      <c r="F507" s="3" t="n">
        <v>3</v>
      </c>
      <c r="G507" s="3" t="s">
        <v>51</v>
      </c>
      <c r="H507" s="3" t="s">
        <v>52</v>
      </c>
      <c r="I507" s="3" t="s">
        <v>2091</v>
      </c>
      <c r="J507" s="3" t="s">
        <v>182</v>
      </c>
      <c r="K507" s="3" t="n">
        <v>4000</v>
      </c>
      <c r="L507" s="3" t="n">
        <v>250</v>
      </c>
      <c r="M507" s="3" t="n">
        <v>750</v>
      </c>
      <c r="N507" s="3" t="s">
        <v>2092</v>
      </c>
    </row>
    <row r="508" customFormat="false" ht="15" hidden="false" customHeight="false" outlineLevel="0" collapsed="false">
      <c r="A508" s="2" t="s">
        <v>2093</v>
      </c>
      <c r="B508" s="2" t="s">
        <v>1741</v>
      </c>
      <c r="C508" s="2" t="n">
        <v>1739</v>
      </c>
      <c r="D508" s="2" t="s">
        <v>16</v>
      </c>
      <c r="E508" s="2" t="s">
        <v>285</v>
      </c>
      <c r="F508" s="2" t="n">
        <v>3</v>
      </c>
      <c r="G508" s="2" t="s">
        <v>51</v>
      </c>
      <c r="H508" s="2" t="s">
        <v>19</v>
      </c>
      <c r="I508" s="2" t="s">
        <v>2094</v>
      </c>
      <c r="J508" s="2" t="s">
        <v>176</v>
      </c>
      <c r="K508" s="2" t="n">
        <v>6000</v>
      </c>
      <c r="L508" s="2" t="n">
        <v>250</v>
      </c>
      <c r="M508" s="2" t="n">
        <v>750</v>
      </c>
      <c r="N508" s="2" t="s">
        <v>2095</v>
      </c>
    </row>
    <row r="509" customFormat="false" ht="15" hidden="false" customHeight="false" outlineLevel="0" collapsed="false">
      <c r="A509" s="3" t="s">
        <v>2010</v>
      </c>
      <c r="B509" s="3" t="s">
        <v>2096</v>
      </c>
      <c r="C509" s="3" t="n">
        <v>1740</v>
      </c>
      <c r="D509" s="3" t="s">
        <v>34</v>
      </c>
      <c r="E509" s="3" t="s">
        <v>2097</v>
      </c>
      <c r="F509" s="3" t="n">
        <v>3</v>
      </c>
      <c r="G509" s="3" t="s">
        <v>27</v>
      </c>
      <c r="H509" s="3" t="s">
        <v>19</v>
      </c>
      <c r="I509" s="3" t="s">
        <v>2098</v>
      </c>
      <c r="J509" s="3" t="s">
        <v>21</v>
      </c>
      <c r="K509" s="3" t="n">
        <v>6725</v>
      </c>
      <c r="L509" s="3" t="n">
        <v>300</v>
      </c>
      <c r="M509" s="3" t="n">
        <v>900</v>
      </c>
      <c r="N509" s="3" t="s">
        <v>2099</v>
      </c>
    </row>
    <row r="510" customFormat="false" ht="15" hidden="false" customHeight="false" outlineLevel="0" collapsed="false">
      <c r="A510" s="2" t="s">
        <v>1806</v>
      </c>
      <c r="B510" s="2" t="s">
        <v>935</v>
      </c>
      <c r="C510" s="2" t="n">
        <v>1741</v>
      </c>
      <c r="D510" s="2" t="s">
        <v>49</v>
      </c>
      <c r="E510" s="2" t="s">
        <v>897</v>
      </c>
      <c r="F510" s="2" t="n">
        <v>3</v>
      </c>
      <c r="G510" s="2" t="s">
        <v>18</v>
      </c>
      <c r="H510" s="2" t="s">
        <v>28</v>
      </c>
      <c r="I510" s="2" t="s">
        <v>2100</v>
      </c>
      <c r="J510" s="2" t="s">
        <v>30</v>
      </c>
      <c r="K510" s="2" t="n">
        <v>2600</v>
      </c>
      <c r="L510" s="2" t="n">
        <v>250</v>
      </c>
      <c r="M510" s="2" t="n">
        <v>750</v>
      </c>
      <c r="N510" s="2" t="s">
        <v>2101</v>
      </c>
    </row>
    <row r="511" customFormat="false" ht="15" hidden="false" customHeight="false" outlineLevel="0" collapsed="false">
      <c r="A511" s="3" t="s">
        <v>157</v>
      </c>
      <c r="B511" s="3" t="s">
        <v>2102</v>
      </c>
      <c r="C511" s="3" t="n">
        <v>1742</v>
      </c>
      <c r="D511" s="3" t="s">
        <v>147</v>
      </c>
      <c r="E511" s="3" t="s">
        <v>435</v>
      </c>
      <c r="F511" s="3" t="n">
        <v>2</v>
      </c>
      <c r="G511" s="3" t="s">
        <v>51</v>
      </c>
      <c r="H511" s="3" t="s">
        <v>28</v>
      </c>
      <c r="I511" s="3" t="s">
        <v>2103</v>
      </c>
      <c r="J511" s="3" t="s">
        <v>30</v>
      </c>
      <c r="K511" s="3" t="n">
        <v>2600</v>
      </c>
      <c r="L511" s="3" t="n">
        <v>600</v>
      </c>
      <c r="M511" s="3" t="n">
        <v>1200</v>
      </c>
      <c r="N511" s="3" t="s">
        <v>2104</v>
      </c>
    </row>
    <row r="512" customFormat="false" ht="15" hidden="false" customHeight="false" outlineLevel="0" collapsed="false">
      <c r="A512" s="2" t="s">
        <v>414</v>
      </c>
      <c r="B512" s="2" t="s">
        <v>2105</v>
      </c>
      <c r="C512" s="2" t="n">
        <v>1743</v>
      </c>
      <c r="D512" s="2" t="s">
        <v>16</v>
      </c>
      <c r="E512" s="2" t="s">
        <v>2106</v>
      </c>
      <c r="F512" s="2" t="n">
        <v>2</v>
      </c>
      <c r="G512" s="2" t="s">
        <v>51</v>
      </c>
      <c r="H512" s="2" t="s">
        <v>59</v>
      </c>
      <c r="I512" s="2" t="s">
        <v>2107</v>
      </c>
      <c r="J512" s="2" t="s">
        <v>61</v>
      </c>
      <c r="K512" s="2" t="n">
        <v>5290</v>
      </c>
      <c r="L512" s="2" t="n">
        <v>250</v>
      </c>
      <c r="M512" s="2" t="n">
        <v>500</v>
      </c>
      <c r="N512" s="2" t="s">
        <v>2108</v>
      </c>
    </row>
    <row r="513" customFormat="false" ht="15" hidden="false" customHeight="false" outlineLevel="0" collapsed="false">
      <c r="A513" s="3" t="s">
        <v>2109</v>
      </c>
      <c r="B513" s="3" t="s">
        <v>2110</v>
      </c>
      <c r="C513" s="3" t="n">
        <v>1744</v>
      </c>
      <c r="D513" s="3" t="s">
        <v>16</v>
      </c>
      <c r="E513" s="3" t="s">
        <v>2111</v>
      </c>
      <c r="F513" s="3" t="n">
        <v>2</v>
      </c>
      <c r="G513" s="3" t="s">
        <v>18</v>
      </c>
      <c r="H513" s="3" t="s">
        <v>28</v>
      </c>
      <c r="I513" s="3" t="s">
        <v>2112</v>
      </c>
      <c r="J513" s="3" t="s">
        <v>30</v>
      </c>
      <c r="K513" s="3" t="n">
        <v>2600</v>
      </c>
      <c r="L513" s="3" t="n">
        <v>250</v>
      </c>
      <c r="M513" s="3" t="n">
        <v>500</v>
      </c>
      <c r="N513" s="3" t="s">
        <v>2113</v>
      </c>
    </row>
    <row r="514" customFormat="false" ht="15" hidden="false" customHeight="false" outlineLevel="0" collapsed="false">
      <c r="A514" s="2" t="s">
        <v>2114</v>
      </c>
      <c r="B514" s="2" t="s">
        <v>2115</v>
      </c>
      <c r="C514" s="2" t="n">
        <v>1745</v>
      </c>
      <c r="D514" s="2" t="s">
        <v>34</v>
      </c>
      <c r="E514" s="2" t="s">
        <v>1530</v>
      </c>
      <c r="F514" s="2" t="n">
        <v>3</v>
      </c>
      <c r="G514" s="2" t="s">
        <v>51</v>
      </c>
      <c r="H514" s="2" t="s">
        <v>19</v>
      </c>
      <c r="I514" s="2" t="s">
        <v>2116</v>
      </c>
      <c r="J514" s="2" t="s">
        <v>176</v>
      </c>
      <c r="K514" s="2" t="n">
        <v>6000</v>
      </c>
      <c r="L514" s="2" t="n">
        <v>300</v>
      </c>
      <c r="M514" s="2" t="n">
        <v>900</v>
      </c>
      <c r="N514" s="2" t="s">
        <v>2117</v>
      </c>
    </row>
    <row r="515" customFormat="false" ht="15" hidden="false" customHeight="false" outlineLevel="0" collapsed="false">
      <c r="A515" s="3" t="s">
        <v>414</v>
      </c>
      <c r="B515" s="3" t="s">
        <v>2118</v>
      </c>
      <c r="C515" s="3" t="n">
        <v>1746</v>
      </c>
      <c r="D515" s="3" t="s">
        <v>34</v>
      </c>
      <c r="E515" s="3" t="s">
        <v>2119</v>
      </c>
      <c r="F515" s="3" t="n">
        <v>2</v>
      </c>
      <c r="G515" s="3" t="s">
        <v>18</v>
      </c>
      <c r="H515" s="3" t="s">
        <v>36</v>
      </c>
      <c r="I515" s="3" t="s">
        <v>2120</v>
      </c>
      <c r="J515" s="3" t="s">
        <v>38</v>
      </c>
      <c r="K515" s="3" t="n">
        <v>2300</v>
      </c>
      <c r="L515" s="3" t="n">
        <v>300</v>
      </c>
      <c r="M515" s="3" t="n">
        <v>600</v>
      </c>
      <c r="N515" s="3" t="s">
        <v>2121</v>
      </c>
    </row>
    <row r="516" customFormat="false" ht="15" hidden="false" customHeight="false" outlineLevel="0" collapsed="false">
      <c r="A516" s="2" t="s">
        <v>2122</v>
      </c>
      <c r="B516" s="2" t="s">
        <v>724</v>
      </c>
      <c r="C516" s="2" t="n">
        <v>1747</v>
      </c>
      <c r="D516" s="2" t="s">
        <v>16</v>
      </c>
      <c r="E516" s="2" t="s">
        <v>1337</v>
      </c>
      <c r="F516" s="2" t="n">
        <v>3</v>
      </c>
      <c r="G516" s="2" t="s">
        <v>51</v>
      </c>
      <c r="H516" s="2" t="s">
        <v>121</v>
      </c>
      <c r="I516" s="2" t="s">
        <v>2123</v>
      </c>
      <c r="J516" s="2" t="s">
        <v>123</v>
      </c>
      <c r="K516" s="2" t="n">
        <v>800</v>
      </c>
      <c r="L516" s="2" t="n">
        <v>250</v>
      </c>
      <c r="M516" s="2" t="n">
        <v>750</v>
      </c>
      <c r="N516" s="2" t="s">
        <v>2124</v>
      </c>
    </row>
    <row r="517" customFormat="false" ht="15" hidden="false" customHeight="false" outlineLevel="0" collapsed="false">
      <c r="A517" s="3" t="s">
        <v>1327</v>
      </c>
      <c r="B517" s="3" t="s">
        <v>515</v>
      </c>
      <c r="C517" s="3" t="n">
        <v>1748</v>
      </c>
      <c r="D517" s="3" t="s">
        <v>16</v>
      </c>
      <c r="E517" s="3" t="s">
        <v>363</v>
      </c>
      <c r="F517" s="3" t="n">
        <v>2</v>
      </c>
      <c r="G517" s="3" t="s">
        <v>27</v>
      </c>
      <c r="H517" s="3" t="s">
        <v>59</v>
      </c>
      <c r="I517" s="3" t="s">
        <v>2125</v>
      </c>
      <c r="J517" s="3" t="s">
        <v>292</v>
      </c>
      <c r="K517" s="3" t="n">
        <v>5600</v>
      </c>
      <c r="L517" s="3" t="n">
        <v>250</v>
      </c>
      <c r="M517" s="3" t="n">
        <v>500</v>
      </c>
      <c r="N517" s="3" t="s">
        <v>2126</v>
      </c>
    </row>
    <row r="518" customFormat="false" ht="15" hidden="false" customHeight="false" outlineLevel="0" collapsed="false">
      <c r="A518" s="2" t="s">
        <v>2127</v>
      </c>
      <c r="B518" s="2" t="s">
        <v>1558</v>
      </c>
      <c r="C518" s="2" t="n">
        <v>1749</v>
      </c>
      <c r="D518" s="2" t="s">
        <v>147</v>
      </c>
      <c r="E518" s="2" t="s">
        <v>26</v>
      </c>
      <c r="F518" s="2" t="n">
        <v>1</v>
      </c>
      <c r="G518" s="2" t="s">
        <v>51</v>
      </c>
      <c r="H518" s="2" t="s">
        <v>52</v>
      </c>
      <c r="I518" s="2" t="s">
        <v>2128</v>
      </c>
      <c r="J518" s="2" t="s">
        <v>92</v>
      </c>
      <c r="K518" s="2" t="n">
        <v>4870</v>
      </c>
      <c r="L518" s="2" t="n">
        <v>600</v>
      </c>
      <c r="M518" s="2" t="n">
        <v>600</v>
      </c>
      <c r="N518" s="2" t="s">
        <v>2129</v>
      </c>
    </row>
    <row r="519" customFormat="false" ht="15" hidden="false" customHeight="false" outlineLevel="0" collapsed="false">
      <c r="A519" s="3" t="s">
        <v>269</v>
      </c>
      <c r="B519" s="3" t="s">
        <v>2130</v>
      </c>
      <c r="C519" s="3" t="n">
        <v>1750</v>
      </c>
      <c r="D519" s="3" t="s">
        <v>49</v>
      </c>
      <c r="E519" s="3" t="s">
        <v>430</v>
      </c>
      <c r="F519" s="3" t="n">
        <v>1</v>
      </c>
      <c r="G519" s="3" t="s">
        <v>18</v>
      </c>
      <c r="H519" s="3" t="s">
        <v>36</v>
      </c>
      <c r="I519" s="3" t="s">
        <v>2131</v>
      </c>
      <c r="J519" s="3" t="s">
        <v>192</v>
      </c>
      <c r="K519" s="3" t="n">
        <v>2000</v>
      </c>
      <c r="L519" s="3" t="n">
        <v>250</v>
      </c>
      <c r="M519" s="3" t="n">
        <v>250</v>
      </c>
      <c r="N519" s="3" t="s">
        <v>2132</v>
      </c>
    </row>
    <row r="520" customFormat="false" ht="15" hidden="false" customHeight="false" outlineLevel="0" collapsed="false">
      <c r="A520" s="2" t="s">
        <v>1239</v>
      </c>
      <c r="B520" s="2" t="s">
        <v>911</v>
      </c>
      <c r="C520" s="2" t="n">
        <v>1751</v>
      </c>
      <c r="D520" s="2" t="s">
        <v>25</v>
      </c>
      <c r="E520" s="2" t="s">
        <v>1393</v>
      </c>
      <c r="F520" s="2" t="n">
        <v>2</v>
      </c>
      <c r="G520" s="2" t="s">
        <v>51</v>
      </c>
      <c r="H520" s="2" t="s">
        <v>121</v>
      </c>
      <c r="I520" s="2" t="s">
        <v>2133</v>
      </c>
      <c r="J520" s="2" t="s">
        <v>123</v>
      </c>
      <c r="K520" s="2" t="n">
        <v>800</v>
      </c>
      <c r="L520" s="2" t="n">
        <v>800</v>
      </c>
      <c r="M520" s="2" t="n">
        <v>1600</v>
      </c>
      <c r="N520" s="2" t="s">
        <v>2134</v>
      </c>
    </row>
    <row r="521" customFormat="false" ht="15" hidden="false" customHeight="false" outlineLevel="0" collapsed="false">
      <c r="A521" s="3" t="s">
        <v>1843</v>
      </c>
      <c r="B521" s="3" t="s">
        <v>2135</v>
      </c>
      <c r="C521" s="3" t="n">
        <v>1752</v>
      </c>
      <c r="D521" s="3" t="s">
        <v>108</v>
      </c>
      <c r="E521" s="3" t="s">
        <v>1123</v>
      </c>
      <c r="F521" s="3" t="n">
        <v>2</v>
      </c>
      <c r="G521" s="3" t="s">
        <v>51</v>
      </c>
      <c r="H521" s="3" t="s">
        <v>121</v>
      </c>
      <c r="I521" s="3" t="s">
        <v>2136</v>
      </c>
      <c r="J521" s="3" t="s">
        <v>123</v>
      </c>
      <c r="K521" s="3" t="n">
        <v>800</v>
      </c>
      <c r="L521" s="3" t="n">
        <v>1200</v>
      </c>
      <c r="M521" s="3" t="n">
        <v>2400</v>
      </c>
      <c r="N521" s="3" t="s">
        <v>2137</v>
      </c>
    </row>
    <row r="522" customFormat="false" ht="15" hidden="false" customHeight="false" outlineLevel="0" collapsed="false">
      <c r="A522" s="2" t="s">
        <v>2138</v>
      </c>
      <c r="B522" s="2" t="s">
        <v>152</v>
      </c>
      <c r="C522" s="2" t="n">
        <v>1753</v>
      </c>
      <c r="D522" s="2" t="s">
        <v>108</v>
      </c>
      <c r="E522" s="2" t="s">
        <v>967</v>
      </c>
      <c r="F522" s="2" t="n">
        <v>1</v>
      </c>
      <c r="G522" s="2" t="s">
        <v>51</v>
      </c>
      <c r="H522" s="2" t="s">
        <v>36</v>
      </c>
      <c r="I522" s="2" t="s">
        <v>2139</v>
      </c>
      <c r="J522" s="2" t="s">
        <v>192</v>
      </c>
      <c r="K522" s="2" t="n">
        <v>2000</v>
      </c>
      <c r="L522" s="2" t="n">
        <v>1200</v>
      </c>
      <c r="M522" s="2" t="n">
        <v>1200</v>
      </c>
      <c r="N522" s="2" t="s">
        <v>2140</v>
      </c>
    </row>
    <row r="523" customFormat="false" ht="15" hidden="false" customHeight="false" outlineLevel="0" collapsed="false">
      <c r="A523" s="3" t="s">
        <v>1401</v>
      </c>
      <c r="B523" s="3" t="s">
        <v>2141</v>
      </c>
      <c r="C523" s="3" t="n">
        <v>1754</v>
      </c>
      <c r="D523" s="3" t="s">
        <v>25</v>
      </c>
      <c r="E523" s="3" t="s">
        <v>1538</v>
      </c>
      <c r="F523" s="3" t="n">
        <v>1</v>
      </c>
      <c r="G523" s="3" t="s">
        <v>27</v>
      </c>
      <c r="H523" s="3" t="s">
        <v>78</v>
      </c>
      <c r="I523" s="3" t="s">
        <v>2142</v>
      </c>
      <c r="J523" s="3" t="s">
        <v>80</v>
      </c>
      <c r="K523" s="3" t="n">
        <v>7250</v>
      </c>
      <c r="L523" s="3" t="n">
        <v>800</v>
      </c>
      <c r="M523" s="3" t="n">
        <v>800</v>
      </c>
      <c r="N523" s="3" t="s">
        <v>2143</v>
      </c>
    </row>
    <row r="524" customFormat="false" ht="15" hidden="false" customHeight="false" outlineLevel="0" collapsed="false">
      <c r="A524" s="2" t="s">
        <v>627</v>
      </c>
      <c r="B524" s="2" t="s">
        <v>2144</v>
      </c>
      <c r="C524" s="2" t="n">
        <v>1755</v>
      </c>
      <c r="D524" s="2" t="s">
        <v>108</v>
      </c>
      <c r="E524" s="2" t="s">
        <v>730</v>
      </c>
      <c r="F524" s="2" t="n">
        <v>3</v>
      </c>
      <c r="G524" s="2" t="s">
        <v>51</v>
      </c>
      <c r="H524" s="2" t="s">
        <v>19</v>
      </c>
      <c r="I524" s="2" t="s">
        <v>2145</v>
      </c>
      <c r="J524" s="2" t="s">
        <v>21</v>
      </c>
      <c r="K524" s="2" t="n">
        <v>6725</v>
      </c>
      <c r="L524" s="2" t="n">
        <v>1200</v>
      </c>
      <c r="M524" s="2" t="n">
        <v>3600</v>
      </c>
      <c r="N524" s="2" t="s">
        <v>2146</v>
      </c>
    </row>
    <row r="525" customFormat="false" ht="15" hidden="false" customHeight="false" outlineLevel="0" collapsed="false">
      <c r="A525" s="3" t="s">
        <v>1231</v>
      </c>
      <c r="B525" s="3" t="s">
        <v>2147</v>
      </c>
      <c r="C525" s="3" t="n">
        <v>1756</v>
      </c>
      <c r="D525" s="3" t="s">
        <v>25</v>
      </c>
      <c r="E525" s="3" t="s">
        <v>531</v>
      </c>
      <c r="F525" s="3" t="n">
        <v>2</v>
      </c>
      <c r="G525" s="3" t="s">
        <v>27</v>
      </c>
      <c r="H525" s="3" t="s">
        <v>78</v>
      </c>
      <c r="I525" s="3" t="s">
        <v>2148</v>
      </c>
      <c r="J525" s="3" t="s">
        <v>86</v>
      </c>
      <c r="K525" s="3" t="n">
        <v>7000</v>
      </c>
      <c r="L525" s="3" t="n">
        <v>800</v>
      </c>
      <c r="M525" s="3" t="n">
        <v>1600</v>
      </c>
      <c r="N525" s="3" t="s">
        <v>2149</v>
      </c>
    </row>
    <row r="526" customFormat="false" ht="15" hidden="false" customHeight="false" outlineLevel="0" collapsed="false">
      <c r="A526" s="2" t="s">
        <v>2150</v>
      </c>
      <c r="B526" s="2" t="s">
        <v>1969</v>
      </c>
      <c r="C526" s="2" t="n">
        <v>1757</v>
      </c>
      <c r="D526" s="2" t="s">
        <v>34</v>
      </c>
      <c r="E526" s="2" t="s">
        <v>1039</v>
      </c>
      <c r="F526" s="2" t="n">
        <v>2</v>
      </c>
      <c r="G526" s="2" t="s">
        <v>18</v>
      </c>
      <c r="H526" s="2" t="s">
        <v>19</v>
      </c>
      <c r="I526" s="2" t="s">
        <v>2151</v>
      </c>
      <c r="J526" s="2" t="s">
        <v>21</v>
      </c>
      <c r="K526" s="2" t="n">
        <v>6725</v>
      </c>
      <c r="L526" s="2" t="n">
        <v>300</v>
      </c>
      <c r="M526" s="2" t="n">
        <v>600</v>
      </c>
      <c r="N526" s="2" t="s">
        <v>2152</v>
      </c>
    </row>
    <row r="527" customFormat="false" ht="15" hidden="false" customHeight="false" outlineLevel="0" collapsed="false">
      <c r="A527" s="3" t="s">
        <v>2153</v>
      </c>
      <c r="B527" s="3" t="s">
        <v>2154</v>
      </c>
      <c r="C527" s="3" t="n">
        <v>1758</v>
      </c>
      <c r="D527" s="3" t="s">
        <v>25</v>
      </c>
      <c r="E527" s="3" t="s">
        <v>1402</v>
      </c>
      <c r="F527" s="3" t="n">
        <v>2</v>
      </c>
      <c r="G527" s="3" t="s">
        <v>51</v>
      </c>
      <c r="H527" s="3" t="s">
        <v>19</v>
      </c>
      <c r="I527" s="3" t="s">
        <v>2155</v>
      </c>
      <c r="J527" s="3" t="s">
        <v>176</v>
      </c>
      <c r="K527" s="3" t="n">
        <v>6000</v>
      </c>
      <c r="L527" s="3" t="n">
        <v>800</v>
      </c>
      <c r="M527" s="3" t="n">
        <v>1600</v>
      </c>
      <c r="N527" s="3" t="s">
        <v>2156</v>
      </c>
    </row>
    <row r="528" customFormat="false" ht="15" hidden="false" customHeight="false" outlineLevel="0" collapsed="false">
      <c r="A528" s="2" t="s">
        <v>2157</v>
      </c>
      <c r="B528" s="2" t="s">
        <v>1212</v>
      </c>
      <c r="C528" s="2" t="n">
        <v>1759</v>
      </c>
      <c r="D528" s="2" t="s">
        <v>49</v>
      </c>
      <c r="E528" s="2" t="s">
        <v>315</v>
      </c>
      <c r="F528" s="2" t="n">
        <v>3</v>
      </c>
      <c r="G528" s="2" t="s">
        <v>97</v>
      </c>
      <c r="H528" s="2" t="s">
        <v>52</v>
      </c>
      <c r="I528" s="2" t="s">
        <v>2158</v>
      </c>
      <c r="J528" s="2" t="s">
        <v>182</v>
      </c>
      <c r="K528" s="2" t="n">
        <v>4000</v>
      </c>
      <c r="L528" s="2" t="n">
        <v>250</v>
      </c>
      <c r="M528" s="2" t="n">
        <v>750</v>
      </c>
      <c r="N528" s="2" t="s">
        <v>2159</v>
      </c>
    </row>
    <row r="529" customFormat="false" ht="15" hidden="false" customHeight="false" outlineLevel="0" collapsed="false">
      <c r="A529" s="3" t="s">
        <v>2160</v>
      </c>
      <c r="B529" s="3" t="s">
        <v>806</v>
      </c>
      <c r="C529" s="3" t="n">
        <v>1760</v>
      </c>
      <c r="D529" s="3" t="s">
        <v>49</v>
      </c>
      <c r="E529" s="3" t="s">
        <v>2161</v>
      </c>
      <c r="F529" s="3" t="n">
        <v>2</v>
      </c>
      <c r="G529" s="3" t="s">
        <v>97</v>
      </c>
      <c r="H529" s="3" t="s">
        <v>121</v>
      </c>
      <c r="I529" s="3" t="s">
        <v>2162</v>
      </c>
      <c r="J529" s="3" t="s">
        <v>317</v>
      </c>
      <c r="K529" s="3" t="n">
        <v>870</v>
      </c>
      <c r="L529" s="3" t="n">
        <v>250</v>
      </c>
      <c r="M529" s="3" t="n">
        <v>500</v>
      </c>
      <c r="N529" s="3" t="s">
        <v>2163</v>
      </c>
    </row>
    <row r="530" customFormat="false" ht="15" hidden="false" customHeight="false" outlineLevel="0" collapsed="false">
      <c r="A530" s="2" t="s">
        <v>700</v>
      </c>
      <c r="B530" s="2" t="s">
        <v>1870</v>
      </c>
      <c r="C530" s="2" t="n">
        <v>1761</v>
      </c>
      <c r="D530" s="2" t="s">
        <v>16</v>
      </c>
      <c r="E530" s="2" t="s">
        <v>231</v>
      </c>
      <c r="F530" s="2" t="n">
        <v>3</v>
      </c>
      <c r="G530" s="2" t="s">
        <v>18</v>
      </c>
      <c r="H530" s="2" t="s">
        <v>43</v>
      </c>
      <c r="I530" s="2" t="s">
        <v>2164</v>
      </c>
      <c r="J530" s="2" t="s">
        <v>67</v>
      </c>
      <c r="K530" s="2" t="n">
        <v>3220</v>
      </c>
      <c r="L530" s="2" t="n">
        <v>250</v>
      </c>
      <c r="M530" s="2" t="n">
        <v>750</v>
      </c>
      <c r="N530" s="2" t="s">
        <v>2165</v>
      </c>
    </row>
    <row r="531" customFormat="false" ht="15" hidden="false" customHeight="false" outlineLevel="0" collapsed="false">
      <c r="A531" s="3" t="s">
        <v>357</v>
      </c>
      <c r="B531" s="3" t="s">
        <v>2166</v>
      </c>
      <c r="C531" s="3" t="n">
        <v>1762</v>
      </c>
      <c r="D531" s="3" t="s">
        <v>108</v>
      </c>
      <c r="E531" s="3" t="s">
        <v>2167</v>
      </c>
      <c r="F531" s="3" t="n">
        <v>3</v>
      </c>
      <c r="G531" s="3" t="s">
        <v>18</v>
      </c>
      <c r="H531" s="3" t="s">
        <v>52</v>
      </c>
      <c r="I531" s="3" t="s">
        <v>2168</v>
      </c>
      <c r="J531" s="3" t="s">
        <v>54</v>
      </c>
      <c r="K531" s="3" t="n">
        <v>4217</v>
      </c>
      <c r="L531" s="3" t="n">
        <v>1200</v>
      </c>
      <c r="M531" s="3" t="n">
        <v>3600</v>
      </c>
      <c r="N531" s="3" t="s">
        <v>2169</v>
      </c>
    </row>
    <row r="532" customFormat="false" ht="15" hidden="false" customHeight="false" outlineLevel="0" collapsed="false">
      <c r="A532" s="2" t="s">
        <v>1417</v>
      </c>
      <c r="B532" s="2" t="s">
        <v>1895</v>
      </c>
      <c r="C532" s="2" t="n">
        <v>1763</v>
      </c>
      <c r="D532" s="2" t="s">
        <v>108</v>
      </c>
      <c r="E532" s="2" t="s">
        <v>735</v>
      </c>
      <c r="F532" s="2" t="n">
        <v>3</v>
      </c>
      <c r="G532" s="2" t="s">
        <v>51</v>
      </c>
      <c r="H532" s="2" t="s">
        <v>78</v>
      </c>
      <c r="I532" s="2" t="s">
        <v>2170</v>
      </c>
      <c r="J532" s="2" t="s">
        <v>408</v>
      </c>
      <c r="K532" s="2" t="n">
        <v>7310</v>
      </c>
      <c r="L532" s="2" t="n">
        <v>1200</v>
      </c>
      <c r="M532" s="2" t="n">
        <v>3600</v>
      </c>
      <c r="N532" s="2" t="s">
        <v>2171</v>
      </c>
    </row>
    <row r="533" customFormat="false" ht="15" hidden="false" customHeight="false" outlineLevel="0" collapsed="false">
      <c r="A533" s="3" t="s">
        <v>1721</v>
      </c>
      <c r="B533" s="3" t="s">
        <v>1860</v>
      </c>
      <c r="C533" s="3" t="n">
        <v>1764</v>
      </c>
      <c r="D533" s="3" t="s">
        <v>34</v>
      </c>
      <c r="E533" s="3" t="s">
        <v>845</v>
      </c>
      <c r="F533" s="3" t="n">
        <v>1</v>
      </c>
      <c r="G533" s="3" t="s">
        <v>51</v>
      </c>
      <c r="H533" s="3" t="s">
        <v>52</v>
      </c>
      <c r="I533" s="3" t="s">
        <v>2172</v>
      </c>
      <c r="J533" s="3" t="s">
        <v>182</v>
      </c>
      <c r="K533" s="3" t="n">
        <v>4000</v>
      </c>
      <c r="L533" s="3" t="n">
        <v>300</v>
      </c>
      <c r="M533" s="3" t="n">
        <v>300</v>
      </c>
      <c r="N533" s="3" t="s">
        <v>2173</v>
      </c>
    </row>
    <row r="534" customFormat="false" ht="15" hidden="false" customHeight="false" outlineLevel="0" collapsed="false">
      <c r="A534" s="2" t="s">
        <v>2174</v>
      </c>
      <c r="B534" s="2" t="s">
        <v>439</v>
      </c>
      <c r="C534" s="2" t="n">
        <v>1765</v>
      </c>
      <c r="D534" s="2" t="s">
        <v>34</v>
      </c>
      <c r="E534" s="2" t="s">
        <v>1796</v>
      </c>
      <c r="F534" s="2" t="n">
        <v>1</v>
      </c>
      <c r="G534" s="2" t="s">
        <v>51</v>
      </c>
      <c r="H534" s="2" t="s">
        <v>52</v>
      </c>
      <c r="I534" s="2" t="s">
        <v>2175</v>
      </c>
      <c r="J534" s="2" t="s">
        <v>92</v>
      </c>
      <c r="K534" s="2" t="n">
        <v>4870</v>
      </c>
      <c r="L534" s="2" t="n">
        <v>300</v>
      </c>
      <c r="M534" s="2" t="n">
        <v>300</v>
      </c>
      <c r="N534" s="2" t="s">
        <v>2176</v>
      </c>
    </row>
    <row r="535" customFormat="false" ht="15" hidden="false" customHeight="false" outlineLevel="0" collapsed="false">
      <c r="A535" s="3" t="s">
        <v>2177</v>
      </c>
      <c r="B535" s="3" t="s">
        <v>2178</v>
      </c>
      <c r="C535" s="3" t="n">
        <v>1766</v>
      </c>
      <c r="D535" s="3" t="s">
        <v>16</v>
      </c>
      <c r="E535" s="3" t="s">
        <v>2179</v>
      </c>
      <c r="F535" s="3" t="n">
        <v>3</v>
      </c>
      <c r="G535" s="3" t="s">
        <v>51</v>
      </c>
      <c r="H535" s="3" t="s">
        <v>28</v>
      </c>
      <c r="I535" s="3" t="s">
        <v>2180</v>
      </c>
      <c r="J535" s="3" t="s">
        <v>30</v>
      </c>
      <c r="K535" s="3" t="n">
        <v>2600</v>
      </c>
      <c r="L535" s="3" t="n">
        <v>250</v>
      </c>
      <c r="M535" s="3" t="n">
        <v>750</v>
      </c>
      <c r="N535" s="3" t="s">
        <v>2181</v>
      </c>
    </row>
    <row r="536" customFormat="false" ht="15" hidden="false" customHeight="false" outlineLevel="0" collapsed="false">
      <c r="A536" s="2" t="s">
        <v>1135</v>
      </c>
      <c r="B536" s="2" t="s">
        <v>2182</v>
      </c>
      <c r="C536" s="2" t="n">
        <v>1767</v>
      </c>
      <c r="D536" s="2" t="s">
        <v>108</v>
      </c>
      <c r="E536" s="2" t="s">
        <v>301</v>
      </c>
      <c r="F536" s="2" t="n">
        <v>2</v>
      </c>
      <c r="G536" s="2" t="s">
        <v>51</v>
      </c>
      <c r="H536" s="2" t="s">
        <v>121</v>
      </c>
      <c r="I536" s="2" t="s">
        <v>2183</v>
      </c>
      <c r="J536" s="2" t="s">
        <v>123</v>
      </c>
      <c r="K536" s="2" t="n">
        <v>800</v>
      </c>
      <c r="L536" s="2" t="n">
        <v>1200</v>
      </c>
      <c r="M536" s="2" t="n">
        <v>2400</v>
      </c>
      <c r="N536" s="2" t="s">
        <v>2184</v>
      </c>
    </row>
    <row r="537" customFormat="false" ht="15" hidden="false" customHeight="false" outlineLevel="0" collapsed="false">
      <c r="A537" s="3" t="s">
        <v>539</v>
      </c>
      <c r="B537" s="3" t="s">
        <v>2004</v>
      </c>
      <c r="C537" s="3" t="n">
        <v>1768</v>
      </c>
      <c r="D537" s="3" t="s">
        <v>108</v>
      </c>
      <c r="E537" s="3" t="s">
        <v>1774</v>
      </c>
      <c r="F537" s="3" t="n">
        <v>2</v>
      </c>
      <c r="G537" s="3" t="s">
        <v>18</v>
      </c>
      <c r="H537" s="3" t="s">
        <v>19</v>
      </c>
      <c r="I537" s="3" t="s">
        <v>2185</v>
      </c>
      <c r="J537" s="3" t="s">
        <v>73</v>
      </c>
      <c r="K537" s="3" t="n">
        <v>6160</v>
      </c>
      <c r="L537" s="3" t="n">
        <v>1200</v>
      </c>
      <c r="M537" s="3" t="n">
        <v>2400</v>
      </c>
      <c r="N537" s="3" t="s">
        <v>2186</v>
      </c>
    </row>
    <row r="538" customFormat="false" ht="15" hidden="false" customHeight="false" outlineLevel="0" collapsed="false">
      <c r="A538" s="2" t="s">
        <v>2187</v>
      </c>
      <c r="B538" s="2" t="s">
        <v>2188</v>
      </c>
      <c r="C538" s="2" t="n">
        <v>1769</v>
      </c>
      <c r="D538" s="2" t="s">
        <v>147</v>
      </c>
      <c r="E538" s="2" t="s">
        <v>607</v>
      </c>
      <c r="F538" s="2" t="n">
        <v>3</v>
      </c>
      <c r="G538" s="2" t="s">
        <v>18</v>
      </c>
      <c r="H538" s="2" t="s">
        <v>121</v>
      </c>
      <c r="I538" s="2" t="s">
        <v>2189</v>
      </c>
      <c r="J538" s="2" t="s">
        <v>317</v>
      </c>
      <c r="K538" s="2" t="n">
        <v>870</v>
      </c>
      <c r="L538" s="2" t="n">
        <v>600</v>
      </c>
      <c r="M538" s="2" t="n">
        <v>1800</v>
      </c>
      <c r="N538" s="2" t="s">
        <v>2190</v>
      </c>
    </row>
    <row r="539" customFormat="false" ht="15" hidden="false" customHeight="false" outlineLevel="0" collapsed="false">
      <c r="A539" s="3" t="s">
        <v>2191</v>
      </c>
      <c r="B539" s="3" t="s">
        <v>2192</v>
      </c>
      <c r="C539" s="3" t="n">
        <v>1770</v>
      </c>
      <c r="D539" s="3" t="s">
        <v>147</v>
      </c>
      <c r="E539" s="3" t="s">
        <v>2018</v>
      </c>
      <c r="F539" s="3" t="n">
        <v>2</v>
      </c>
      <c r="G539" s="3" t="s">
        <v>51</v>
      </c>
      <c r="H539" s="3" t="s">
        <v>28</v>
      </c>
      <c r="I539" s="3" t="s">
        <v>2193</v>
      </c>
      <c r="J539" s="3" t="s">
        <v>30</v>
      </c>
      <c r="K539" s="3" t="n">
        <v>2600</v>
      </c>
      <c r="L539" s="3" t="n">
        <v>600</v>
      </c>
      <c r="M539" s="3" t="n">
        <v>1200</v>
      </c>
      <c r="N539" s="3" t="s">
        <v>2194</v>
      </c>
    </row>
    <row r="540" customFormat="false" ht="15" hidden="false" customHeight="false" outlineLevel="0" collapsed="false">
      <c r="A540" s="2" t="s">
        <v>1243</v>
      </c>
      <c r="B540" s="2" t="s">
        <v>2195</v>
      </c>
      <c r="C540" s="2" t="n">
        <v>1771</v>
      </c>
      <c r="D540" s="2" t="s">
        <v>25</v>
      </c>
      <c r="E540" s="2" t="s">
        <v>231</v>
      </c>
      <c r="F540" s="2" t="n">
        <v>1</v>
      </c>
      <c r="G540" s="2" t="s">
        <v>51</v>
      </c>
      <c r="H540" s="2" t="s">
        <v>43</v>
      </c>
      <c r="I540" s="2" t="s">
        <v>2196</v>
      </c>
      <c r="J540" s="2" t="s">
        <v>67</v>
      </c>
      <c r="K540" s="2" t="n">
        <v>3220</v>
      </c>
      <c r="L540" s="2" t="n">
        <v>800</v>
      </c>
      <c r="M540" s="2" t="n">
        <v>800</v>
      </c>
      <c r="N540" s="2" t="s">
        <v>2197</v>
      </c>
    </row>
    <row r="541" customFormat="false" ht="15" hidden="false" customHeight="false" outlineLevel="0" collapsed="false">
      <c r="A541" s="3" t="s">
        <v>161</v>
      </c>
      <c r="B541" s="3" t="s">
        <v>240</v>
      </c>
      <c r="C541" s="3" t="n">
        <v>1772</v>
      </c>
      <c r="D541" s="3" t="s">
        <v>16</v>
      </c>
      <c r="E541" s="3" t="s">
        <v>42</v>
      </c>
      <c r="F541" s="3" t="n">
        <v>2</v>
      </c>
      <c r="G541" s="3" t="s">
        <v>51</v>
      </c>
      <c r="H541" s="3" t="s">
        <v>121</v>
      </c>
      <c r="I541" s="3" t="s">
        <v>2198</v>
      </c>
      <c r="J541" s="3" t="s">
        <v>123</v>
      </c>
      <c r="K541" s="3" t="n">
        <v>800</v>
      </c>
      <c r="L541" s="3" t="n">
        <v>250</v>
      </c>
      <c r="M541" s="3" t="n">
        <v>500</v>
      </c>
      <c r="N541" s="3" t="s">
        <v>2199</v>
      </c>
    </row>
    <row r="542" customFormat="false" ht="15" hidden="false" customHeight="false" outlineLevel="0" collapsed="false">
      <c r="A542" s="2" t="s">
        <v>1081</v>
      </c>
      <c r="B542" s="2" t="s">
        <v>1699</v>
      </c>
      <c r="C542" s="2" t="n">
        <v>1773</v>
      </c>
      <c r="D542" s="2" t="s">
        <v>34</v>
      </c>
      <c r="E542" s="2" t="s">
        <v>1296</v>
      </c>
      <c r="F542" s="2" t="n">
        <v>2</v>
      </c>
      <c r="G542" s="2" t="s">
        <v>97</v>
      </c>
      <c r="H542" s="2" t="s">
        <v>36</v>
      </c>
      <c r="I542" s="2" t="s">
        <v>2200</v>
      </c>
      <c r="J542" s="2" t="s">
        <v>170</v>
      </c>
      <c r="K542" s="2" t="n">
        <v>2500</v>
      </c>
      <c r="L542" s="2" t="n">
        <v>300</v>
      </c>
      <c r="M542" s="2" t="n">
        <v>600</v>
      </c>
      <c r="N542" s="2" t="s">
        <v>2201</v>
      </c>
    </row>
    <row r="543" customFormat="false" ht="15" hidden="false" customHeight="false" outlineLevel="0" collapsed="false">
      <c r="A543" s="3" t="s">
        <v>1748</v>
      </c>
      <c r="B543" s="3" t="s">
        <v>2188</v>
      </c>
      <c r="C543" s="3" t="n">
        <v>1774</v>
      </c>
      <c r="D543" s="3" t="s">
        <v>49</v>
      </c>
      <c r="E543" s="3" t="s">
        <v>2202</v>
      </c>
      <c r="F543" s="3" t="n">
        <v>3</v>
      </c>
      <c r="G543" s="3" t="s">
        <v>51</v>
      </c>
      <c r="H543" s="3" t="s">
        <v>78</v>
      </c>
      <c r="I543" s="3" t="s">
        <v>2203</v>
      </c>
      <c r="J543" s="3" t="s">
        <v>80</v>
      </c>
      <c r="K543" s="3" t="n">
        <v>7250</v>
      </c>
      <c r="L543" s="3" t="n">
        <v>250</v>
      </c>
      <c r="M543" s="3" t="n">
        <v>750</v>
      </c>
      <c r="N543" s="3" t="s">
        <v>2204</v>
      </c>
    </row>
    <row r="544" customFormat="false" ht="15" hidden="false" customHeight="false" outlineLevel="0" collapsed="false">
      <c r="A544" s="2" t="s">
        <v>1728</v>
      </c>
      <c r="B544" s="2" t="s">
        <v>2205</v>
      </c>
      <c r="C544" s="2" t="n">
        <v>1775</v>
      </c>
      <c r="D544" s="2" t="s">
        <v>108</v>
      </c>
      <c r="E544" s="2" t="s">
        <v>1928</v>
      </c>
      <c r="F544" s="2" t="n">
        <v>3</v>
      </c>
      <c r="G544" s="2" t="s">
        <v>18</v>
      </c>
      <c r="H544" s="2" t="s">
        <v>28</v>
      </c>
      <c r="I544" s="2" t="s">
        <v>2206</v>
      </c>
      <c r="J544" s="2" t="s">
        <v>30</v>
      </c>
      <c r="K544" s="2" t="n">
        <v>2600</v>
      </c>
      <c r="L544" s="2" t="n">
        <v>1200</v>
      </c>
      <c r="M544" s="2" t="n">
        <v>3600</v>
      </c>
      <c r="N544" s="2" t="s">
        <v>2207</v>
      </c>
    </row>
    <row r="545" customFormat="false" ht="15" hidden="false" customHeight="false" outlineLevel="0" collapsed="false">
      <c r="A545" s="3" t="s">
        <v>2208</v>
      </c>
      <c r="B545" s="3" t="s">
        <v>2209</v>
      </c>
      <c r="C545" s="3" t="n">
        <v>1776</v>
      </c>
      <c r="D545" s="3" t="s">
        <v>25</v>
      </c>
      <c r="E545" s="3" t="s">
        <v>321</v>
      </c>
      <c r="F545" s="3" t="n">
        <v>3</v>
      </c>
      <c r="G545" s="3" t="s">
        <v>27</v>
      </c>
      <c r="H545" s="3" t="s">
        <v>28</v>
      </c>
      <c r="I545" s="3" t="s">
        <v>2210</v>
      </c>
      <c r="J545" s="3" t="s">
        <v>30</v>
      </c>
      <c r="K545" s="3" t="n">
        <v>2600</v>
      </c>
      <c r="L545" s="3" t="n">
        <v>800</v>
      </c>
      <c r="M545" s="3" t="n">
        <v>2400</v>
      </c>
      <c r="N545" s="3" t="s">
        <v>2211</v>
      </c>
    </row>
    <row r="546" customFormat="false" ht="15" hidden="false" customHeight="false" outlineLevel="0" collapsed="false">
      <c r="A546" s="2" t="s">
        <v>1396</v>
      </c>
      <c r="B546" s="2" t="s">
        <v>928</v>
      </c>
      <c r="C546" s="2" t="n">
        <v>1777</v>
      </c>
      <c r="D546" s="2" t="s">
        <v>147</v>
      </c>
      <c r="E546" s="2" t="s">
        <v>2212</v>
      </c>
      <c r="F546" s="2" t="n">
        <v>1</v>
      </c>
      <c r="G546" s="2" t="s">
        <v>27</v>
      </c>
      <c r="H546" s="2" t="s">
        <v>36</v>
      </c>
      <c r="I546" s="2" t="s">
        <v>2213</v>
      </c>
      <c r="J546" s="2" t="s">
        <v>170</v>
      </c>
      <c r="K546" s="2" t="n">
        <v>2500</v>
      </c>
      <c r="L546" s="2" t="n">
        <v>600</v>
      </c>
      <c r="M546" s="2" t="n">
        <v>600</v>
      </c>
      <c r="N546" s="2" t="s">
        <v>2214</v>
      </c>
    </row>
    <row r="547" customFormat="false" ht="15" hidden="false" customHeight="false" outlineLevel="0" collapsed="false">
      <c r="A547" s="3" t="s">
        <v>2215</v>
      </c>
      <c r="B547" s="3" t="s">
        <v>2216</v>
      </c>
      <c r="C547" s="3" t="n">
        <v>1778</v>
      </c>
      <c r="D547" s="3" t="s">
        <v>25</v>
      </c>
      <c r="E547" s="3" t="s">
        <v>671</v>
      </c>
      <c r="F547" s="3" t="n">
        <v>3</v>
      </c>
      <c r="G547" s="3" t="s">
        <v>18</v>
      </c>
      <c r="H547" s="3" t="s">
        <v>52</v>
      </c>
      <c r="I547" s="3" t="s">
        <v>2217</v>
      </c>
      <c r="J547" s="3" t="s">
        <v>182</v>
      </c>
      <c r="K547" s="3" t="n">
        <v>4000</v>
      </c>
      <c r="L547" s="3" t="n">
        <v>800</v>
      </c>
      <c r="M547" s="3" t="n">
        <v>2400</v>
      </c>
      <c r="N547" s="3" t="s">
        <v>2218</v>
      </c>
    </row>
    <row r="548" customFormat="false" ht="15" hidden="false" customHeight="false" outlineLevel="0" collapsed="false">
      <c r="A548" s="2" t="s">
        <v>2219</v>
      </c>
      <c r="B548" s="2" t="s">
        <v>2220</v>
      </c>
      <c r="C548" s="2" t="n">
        <v>1779</v>
      </c>
      <c r="D548" s="2" t="s">
        <v>108</v>
      </c>
      <c r="E548" s="2" t="s">
        <v>35</v>
      </c>
      <c r="F548" s="2" t="n">
        <v>2</v>
      </c>
      <c r="G548" s="2" t="s">
        <v>18</v>
      </c>
      <c r="H548" s="2" t="s">
        <v>28</v>
      </c>
      <c r="I548" s="2" t="s">
        <v>2221</v>
      </c>
      <c r="J548" s="2" t="s">
        <v>30</v>
      </c>
      <c r="K548" s="2" t="n">
        <v>2600</v>
      </c>
      <c r="L548" s="2" t="n">
        <v>1200</v>
      </c>
      <c r="M548" s="2" t="n">
        <v>2400</v>
      </c>
      <c r="N548" s="2" t="s">
        <v>2222</v>
      </c>
    </row>
    <row r="549" customFormat="false" ht="15" hidden="false" customHeight="false" outlineLevel="0" collapsed="false">
      <c r="A549" s="3" t="s">
        <v>2223</v>
      </c>
      <c r="B549" s="3" t="s">
        <v>2224</v>
      </c>
      <c r="C549" s="3" t="n">
        <v>1780</v>
      </c>
      <c r="D549" s="3" t="s">
        <v>16</v>
      </c>
      <c r="E549" s="3" t="s">
        <v>290</v>
      </c>
      <c r="F549" s="3" t="n">
        <v>2</v>
      </c>
      <c r="G549" s="3" t="s">
        <v>51</v>
      </c>
      <c r="H549" s="3" t="s">
        <v>121</v>
      </c>
      <c r="I549" s="3" t="s">
        <v>2225</v>
      </c>
      <c r="J549" s="3" t="s">
        <v>317</v>
      </c>
      <c r="K549" s="3" t="n">
        <v>870</v>
      </c>
      <c r="L549" s="3" t="n">
        <v>250</v>
      </c>
      <c r="M549" s="3" t="n">
        <v>500</v>
      </c>
      <c r="N549" s="3" t="s">
        <v>2226</v>
      </c>
    </row>
    <row r="550" customFormat="false" ht="15" hidden="false" customHeight="false" outlineLevel="0" collapsed="false">
      <c r="A550" s="2" t="s">
        <v>840</v>
      </c>
      <c r="B550" s="2" t="s">
        <v>2227</v>
      </c>
      <c r="C550" s="2" t="n">
        <v>1781</v>
      </c>
      <c r="D550" s="2" t="s">
        <v>34</v>
      </c>
      <c r="E550" s="2" t="s">
        <v>382</v>
      </c>
      <c r="F550" s="2" t="n">
        <v>1</v>
      </c>
      <c r="G550" s="2" t="s">
        <v>97</v>
      </c>
      <c r="H550" s="2" t="s">
        <v>36</v>
      </c>
      <c r="I550" s="2" t="s">
        <v>2228</v>
      </c>
      <c r="J550" s="2" t="s">
        <v>192</v>
      </c>
      <c r="K550" s="2" t="n">
        <v>2000</v>
      </c>
      <c r="L550" s="2" t="n">
        <v>300</v>
      </c>
      <c r="M550" s="2" t="n">
        <v>300</v>
      </c>
      <c r="N550" s="2" t="s">
        <v>2229</v>
      </c>
    </row>
    <row r="551" customFormat="false" ht="15" hidden="false" customHeight="false" outlineLevel="0" collapsed="false">
      <c r="A551" s="3" t="s">
        <v>566</v>
      </c>
      <c r="B551" s="3" t="s">
        <v>657</v>
      </c>
      <c r="C551" s="3" t="n">
        <v>1782</v>
      </c>
      <c r="D551" s="3" t="s">
        <v>49</v>
      </c>
      <c r="E551" s="3" t="s">
        <v>1722</v>
      </c>
      <c r="F551" s="3" t="n">
        <v>2</v>
      </c>
      <c r="G551" s="3" t="s">
        <v>51</v>
      </c>
      <c r="H551" s="3" t="s">
        <v>59</v>
      </c>
      <c r="I551" s="3" t="s">
        <v>2230</v>
      </c>
      <c r="J551" s="3" t="s">
        <v>61</v>
      </c>
      <c r="K551" s="3" t="n">
        <v>5290</v>
      </c>
      <c r="L551" s="3" t="n">
        <v>250</v>
      </c>
      <c r="M551" s="3" t="n">
        <v>500</v>
      </c>
      <c r="N551" s="3" t="s">
        <v>2231</v>
      </c>
    </row>
    <row r="552" customFormat="false" ht="15" hidden="false" customHeight="false" outlineLevel="0" collapsed="false">
      <c r="A552" s="2" t="s">
        <v>535</v>
      </c>
      <c r="B552" s="2" t="s">
        <v>2232</v>
      </c>
      <c r="C552" s="2" t="n">
        <v>1783</v>
      </c>
      <c r="D552" s="2" t="s">
        <v>34</v>
      </c>
      <c r="E552" s="2" t="s">
        <v>553</v>
      </c>
      <c r="F552" s="2" t="n">
        <v>3</v>
      </c>
      <c r="G552" s="2" t="s">
        <v>51</v>
      </c>
      <c r="H552" s="2" t="s">
        <v>52</v>
      </c>
      <c r="I552" s="2" t="s">
        <v>2233</v>
      </c>
      <c r="J552" s="2" t="s">
        <v>92</v>
      </c>
      <c r="K552" s="2" t="n">
        <v>4870</v>
      </c>
      <c r="L552" s="2" t="n">
        <v>300</v>
      </c>
      <c r="M552" s="2" t="n">
        <v>900</v>
      </c>
      <c r="N552" s="2" t="s">
        <v>2234</v>
      </c>
    </row>
    <row r="553" customFormat="false" ht="15" hidden="false" customHeight="false" outlineLevel="0" collapsed="false">
      <c r="A553" s="3" t="s">
        <v>2235</v>
      </c>
      <c r="B553" s="3" t="s">
        <v>1192</v>
      </c>
      <c r="C553" s="3" t="n">
        <v>1784</v>
      </c>
      <c r="D553" s="3" t="s">
        <v>49</v>
      </c>
      <c r="E553" s="3" t="s">
        <v>563</v>
      </c>
      <c r="F553" s="3" t="n">
        <v>2</v>
      </c>
      <c r="G553" s="3" t="s">
        <v>51</v>
      </c>
      <c r="H553" s="3" t="s">
        <v>59</v>
      </c>
      <c r="I553" s="3" t="s">
        <v>2236</v>
      </c>
      <c r="J553" s="3" t="s">
        <v>292</v>
      </c>
      <c r="K553" s="3" t="n">
        <v>5600</v>
      </c>
      <c r="L553" s="3" t="n">
        <v>250</v>
      </c>
      <c r="M553" s="3" t="n">
        <v>500</v>
      </c>
      <c r="N553" s="3" t="s">
        <v>2237</v>
      </c>
    </row>
    <row r="554" customFormat="false" ht="15" hidden="false" customHeight="false" outlineLevel="0" collapsed="false">
      <c r="A554" s="2" t="s">
        <v>613</v>
      </c>
      <c r="B554" s="2" t="s">
        <v>1046</v>
      </c>
      <c r="C554" s="2" t="n">
        <v>1785</v>
      </c>
      <c r="D554" s="2" t="s">
        <v>147</v>
      </c>
      <c r="E554" s="2" t="s">
        <v>2238</v>
      </c>
      <c r="F554" s="2" t="n">
        <v>1</v>
      </c>
      <c r="G554" s="2" t="s">
        <v>97</v>
      </c>
      <c r="H554" s="2" t="s">
        <v>36</v>
      </c>
      <c r="I554" s="2" t="s">
        <v>2239</v>
      </c>
      <c r="J554" s="2" t="s">
        <v>38</v>
      </c>
      <c r="K554" s="2" t="n">
        <v>2300</v>
      </c>
      <c r="L554" s="2" t="n">
        <v>600</v>
      </c>
      <c r="M554" s="2" t="n">
        <v>600</v>
      </c>
      <c r="N554" s="2" t="s">
        <v>2240</v>
      </c>
    </row>
    <row r="555" customFormat="false" ht="15" hidden="false" customHeight="false" outlineLevel="0" collapsed="false">
      <c r="A555" s="3" t="s">
        <v>2241</v>
      </c>
      <c r="B555" s="3" t="s">
        <v>2242</v>
      </c>
      <c r="C555" s="3" t="n">
        <v>1786</v>
      </c>
      <c r="D555" s="3" t="s">
        <v>25</v>
      </c>
      <c r="E555" s="3" t="s">
        <v>1043</v>
      </c>
      <c r="F555" s="3" t="n">
        <v>3</v>
      </c>
      <c r="G555" s="3" t="s">
        <v>51</v>
      </c>
      <c r="H555" s="3" t="s">
        <v>78</v>
      </c>
      <c r="I555" s="3" t="s">
        <v>2243</v>
      </c>
      <c r="J555" s="3" t="s">
        <v>86</v>
      </c>
      <c r="K555" s="3" t="n">
        <v>7000</v>
      </c>
      <c r="L555" s="3" t="n">
        <v>800</v>
      </c>
      <c r="M555" s="3" t="n">
        <v>2400</v>
      </c>
      <c r="N555" s="3" t="s">
        <v>2244</v>
      </c>
    </row>
    <row r="556" customFormat="false" ht="15" hidden="false" customHeight="false" outlineLevel="0" collapsed="false">
      <c r="A556" s="2" t="s">
        <v>1159</v>
      </c>
      <c r="B556" s="2" t="s">
        <v>2245</v>
      </c>
      <c r="C556" s="2" t="n">
        <v>1787</v>
      </c>
      <c r="D556" s="2" t="s">
        <v>34</v>
      </c>
      <c r="E556" s="2" t="s">
        <v>1990</v>
      </c>
      <c r="F556" s="2" t="n">
        <v>1</v>
      </c>
      <c r="G556" s="2" t="s">
        <v>18</v>
      </c>
      <c r="H556" s="2" t="s">
        <v>36</v>
      </c>
      <c r="I556" s="2" t="s">
        <v>2246</v>
      </c>
      <c r="J556" s="2" t="s">
        <v>38</v>
      </c>
      <c r="K556" s="2" t="n">
        <v>2300</v>
      </c>
      <c r="L556" s="2" t="n">
        <v>300</v>
      </c>
      <c r="M556" s="2" t="n">
        <v>300</v>
      </c>
      <c r="N556" s="2" t="s">
        <v>2247</v>
      </c>
    </row>
    <row r="557" customFormat="false" ht="15" hidden="false" customHeight="false" outlineLevel="0" collapsed="false">
      <c r="A557" s="3" t="s">
        <v>2248</v>
      </c>
      <c r="B557" s="3" t="s">
        <v>2249</v>
      </c>
      <c r="C557" s="3" t="n">
        <v>1788</v>
      </c>
      <c r="D557" s="3" t="s">
        <v>108</v>
      </c>
      <c r="E557" s="3" t="s">
        <v>1048</v>
      </c>
      <c r="F557" s="3" t="n">
        <v>2</v>
      </c>
      <c r="G557" s="3" t="s">
        <v>18</v>
      </c>
      <c r="H557" s="3" t="s">
        <v>19</v>
      </c>
      <c r="I557" s="3" t="s">
        <v>2250</v>
      </c>
      <c r="J557" s="3" t="s">
        <v>176</v>
      </c>
      <c r="K557" s="3" t="n">
        <v>6000</v>
      </c>
      <c r="L557" s="3" t="n">
        <v>1200</v>
      </c>
      <c r="M557" s="3" t="n">
        <v>2400</v>
      </c>
      <c r="N557" s="3" t="s">
        <v>2251</v>
      </c>
    </row>
    <row r="558" customFormat="false" ht="15" hidden="false" customHeight="false" outlineLevel="0" collapsed="false">
      <c r="A558" s="2" t="s">
        <v>2252</v>
      </c>
      <c r="B558" s="2" t="s">
        <v>2253</v>
      </c>
      <c r="C558" s="2" t="n">
        <v>1789</v>
      </c>
      <c r="D558" s="2" t="s">
        <v>49</v>
      </c>
      <c r="E558" s="2" t="s">
        <v>1813</v>
      </c>
      <c r="F558" s="2" t="n">
        <v>1</v>
      </c>
      <c r="G558" s="2" t="s">
        <v>18</v>
      </c>
      <c r="H558" s="2" t="s">
        <v>59</v>
      </c>
      <c r="I558" s="2" t="s">
        <v>2254</v>
      </c>
      <c r="J558" s="2" t="s">
        <v>61</v>
      </c>
      <c r="K558" s="2" t="n">
        <v>5290</v>
      </c>
      <c r="L558" s="2" t="n">
        <v>250</v>
      </c>
      <c r="M558" s="2" t="n">
        <v>250</v>
      </c>
      <c r="N558" s="2" t="s">
        <v>2255</v>
      </c>
    </row>
    <row r="559" customFormat="false" ht="15" hidden="false" customHeight="false" outlineLevel="0" collapsed="false">
      <c r="A559" s="3" t="s">
        <v>1634</v>
      </c>
      <c r="B559" s="3" t="s">
        <v>2256</v>
      </c>
      <c r="C559" s="3" t="n">
        <v>1790</v>
      </c>
      <c r="D559" s="3" t="s">
        <v>34</v>
      </c>
      <c r="E559" s="3" t="s">
        <v>1132</v>
      </c>
      <c r="F559" s="3" t="n">
        <v>3</v>
      </c>
      <c r="G559" s="3" t="s">
        <v>51</v>
      </c>
      <c r="H559" s="3" t="s">
        <v>43</v>
      </c>
      <c r="I559" s="3" t="s">
        <v>2257</v>
      </c>
      <c r="J559" s="3" t="s">
        <v>45</v>
      </c>
      <c r="K559" s="3" t="n">
        <v>3350</v>
      </c>
      <c r="L559" s="3" t="n">
        <v>300</v>
      </c>
      <c r="M559" s="3" t="n">
        <v>900</v>
      </c>
      <c r="N559" s="3" t="s">
        <v>2258</v>
      </c>
    </row>
    <row r="560" customFormat="false" ht="15" hidden="false" customHeight="false" outlineLevel="0" collapsed="false">
      <c r="A560" s="2" t="s">
        <v>2259</v>
      </c>
      <c r="B560" s="2" t="s">
        <v>983</v>
      </c>
      <c r="C560" s="2" t="n">
        <v>1791</v>
      </c>
      <c r="D560" s="2" t="s">
        <v>49</v>
      </c>
      <c r="E560" s="2" t="s">
        <v>549</v>
      </c>
      <c r="F560" s="2" t="n">
        <v>3</v>
      </c>
      <c r="G560" s="2" t="s">
        <v>51</v>
      </c>
      <c r="H560" s="2" t="s">
        <v>121</v>
      </c>
      <c r="I560" s="2" t="s">
        <v>2260</v>
      </c>
      <c r="J560" s="2" t="s">
        <v>123</v>
      </c>
      <c r="K560" s="2" t="n">
        <v>800</v>
      </c>
      <c r="L560" s="2" t="n">
        <v>250</v>
      </c>
      <c r="M560" s="2" t="n">
        <v>750</v>
      </c>
      <c r="N560" s="2" t="s">
        <v>2261</v>
      </c>
    </row>
    <row r="561" customFormat="false" ht="15" hidden="false" customHeight="false" outlineLevel="0" collapsed="false">
      <c r="A561" s="3" t="s">
        <v>2262</v>
      </c>
      <c r="B561" s="3" t="s">
        <v>2263</v>
      </c>
      <c r="C561" s="3" t="n">
        <v>1792</v>
      </c>
      <c r="D561" s="3" t="s">
        <v>34</v>
      </c>
      <c r="E561" s="3" t="s">
        <v>2264</v>
      </c>
      <c r="F561" s="3" t="n">
        <v>1</v>
      </c>
      <c r="G561" s="3" t="s">
        <v>18</v>
      </c>
      <c r="H561" s="3" t="s">
        <v>28</v>
      </c>
      <c r="I561" s="3" t="s">
        <v>2265</v>
      </c>
      <c r="J561" s="3" t="s">
        <v>30</v>
      </c>
      <c r="K561" s="3" t="n">
        <v>2600</v>
      </c>
      <c r="L561" s="3" t="n">
        <v>300</v>
      </c>
      <c r="M561" s="3" t="n">
        <v>300</v>
      </c>
      <c r="N561" s="3" t="s">
        <v>2266</v>
      </c>
    </row>
    <row r="562" customFormat="false" ht="15" hidden="false" customHeight="false" outlineLevel="0" collapsed="false">
      <c r="A562" s="2" t="s">
        <v>2267</v>
      </c>
      <c r="B562" s="2" t="s">
        <v>500</v>
      </c>
      <c r="C562" s="2" t="n">
        <v>1793</v>
      </c>
      <c r="D562" s="2" t="s">
        <v>147</v>
      </c>
      <c r="E562" s="2" t="s">
        <v>2268</v>
      </c>
      <c r="F562" s="2" t="n">
        <v>3</v>
      </c>
      <c r="G562" s="2" t="s">
        <v>51</v>
      </c>
      <c r="H562" s="2" t="s">
        <v>52</v>
      </c>
      <c r="I562" s="2" t="s">
        <v>2269</v>
      </c>
      <c r="J562" s="2" t="s">
        <v>182</v>
      </c>
      <c r="K562" s="2" t="n">
        <v>4000</v>
      </c>
      <c r="L562" s="2" t="n">
        <v>600</v>
      </c>
      <c r="M562" s="2" t="n">
        <v>1800</v>
      </c>
      <c r="N562" s="2" t="s">
        <v>2270</v>
      </c>
    </row>
    <row r="563" customFormat="false" ht="15" hidden="false" customHeight="false" outlineLevel="0" collapsed="false">
      <c r="A563" s="3" t="s">
        <v>2271</v>
      </c>
      <c r="B563" s="3" t="s">
        <v>1071</v>
      </c>
      <c r="C563" s="3" t="n">
        <v>1794</v>
      </c>
      <c r="D563" s="3" t="s">
        <v>16</v>
      </c>
      <c r="E563" s="3" t="s">
        <v>1397</v>
      </c>
      <c r="F563" s="3" t="n">
        <v>3</v>
      </c>
      <c r="G563" s="3" t="s">
        <v>18</v>
      </c>
      <c r="H563" s="3" t="s">
        <v>43</v>
      </c>
      <c r="I563" s="3" t="s">
        <v>2272</v>
      </c>
      <c r="J563" s="3" t="s">
        <v>45</v>
      </c>
      <c r="K563" s="3" t="n">
        <v>3350</v>
      </c>
      <c r="L563" s="3" t="n">
        <v>250</v>
      </c>
      <c r="M563" s="3" t="n">
        <v>750</v>
      </c>
      <c r="N563" s="3" t="s">
        <v>2273</v>
      </c>
    </row>
    <row r="564" customFormat="false" ht="15" hidden="false" customHeight="false" outlineLevel="0" collapsed="false">
      <c r="A564" s="2" t="s">
        <v>2274</v>
      </c>
      <c r="B564" s="2" t="s">
        <v>2275</v>
      </c>
      <c r="C564" s="2" t="n">
        <v>1795</v>
      </c>
      <c r="D564" s="2" t="s">
        <v>147</v>
      </c>
      <c r="E564" s="2" t="s">
        <v>2276</v>
      </c>
      <c r="F564" s="2" t="n">
        <v>1</v>
      </c>
      <c r="G564" s="2" t="s">
        <v>18</v>
      </c>
      <c r="H564" s="2" t="s">
        <v>36</v>
      </c>
      <c r="I564" s="2" t="s">
        <v>2277</v>
      </c>
      <c r="J564" s="2" t="s">
        <v>192</v>
      </c>
      <c r="K564" s="2" t="n">
        <v>2000</v>
      </c>
      <c r="L564" s="2" t="n">
        <v>600</v>
      </c>
      <c r="M564" s="2" t="n">
        <v>600</v>
      </c>
      <c r="N564" s="2" t="s">
        <v>2278</v>
      </c>
    </row>
    <row r="565" customFormat="false" ht="15" hidden="false" customHeight="false" outlineLevel="0" collapsed="false">
      <c r="A565" s="3" t="s">
        <v>1769</v>
      </c>
      <c r="B565" s="3" t="s">
        <v>2279</v>
      </c>
      <c r="C565" s="3" t="n">
        <v>1796</v>
      </c>
      <c r="D565" s="3" t="s">
        <v>108</v>
      </c>
      <c r="E565" s="3" t="s">
        <v>290</v>
      </c>
      <c r="F565" s="3" t="n">
        <v>3</v>
      </c>
      <c r="G565" s="3" t="s">
        <v>18</v>
      </c>
      <c r="H565" s="3" t="s">
        <v>59</v>
      </c>
      <c r="I565" s="3" t="s">
        <v>2280</v>
      </c>
      <c r="J565" s="3" t="s">
        <v>61</v>
      </c>
      <c r="K565" s="3" t="n">
        <v>5290</v>
      </c>
      <c r="L565" s="3" t="n">
        <v>1200</v>
      </c>
      <c r="M565" s="3" t="n">
        <v>3600</v>
      </c>
      <c r="N565" s="3" t="s">
        <v>2281</v>
      </c>
    </row>
    <row r="566" customFormat="false" ht="15" hidden="false" customHeight="false" outlineLevel="0" collapsed="false">
      <c r="A566" s="2" t="s">
        <v>2282</v>
      </c>
      <c r="B566" s="2" t="s">
        <v>478</v>
      </c>
      <c r="C566" s="2" t="n">
        <v>1797</v>
      </c>
      <c r="D566" s="2" t="s">
        <v>25</v>
      </c>
      <c r="E566" s="2" t="s">
        <v>1256</v>
      </c>
      <c r="F566" s="2" t="n">
        <v>2</v>
      </c>
      <c r="G566" s="2" t="s">
        <v>97</v>
      </c>
      <c r="H566" s="2" t="s">
        <v>43</v>
      </c>
      <c r="I566" s="2" t="s">
        <v>2283</v>
      </c>
      <c r="J566" s="2" t="s">
        <v>111</v>
      </c>
      <c r="K566" s="2" t="n">
        <v>3000</v>
      </c>
      <c r="L566" s="2" t="n">
        <v>800</v>
      </c>
      <c r="M566" s="2" t="n">
        <v>1600</v>
      </c>
      <c r="N566" s="2" t="s">
        <v>2284</v>
      </c>
    </row>
    <row r="567" customFormat="false" ht="15" hidden="false" customHeight="false" outlineLevel="0" collapsed="false">
      <c r="A567" s="3" t="s">
        <v>279</v>
      </c>
      <c r="B567" s="3" t="s">
        <v>2285</v>
      </c>
      <c r="C567" s="3" t="n">
        <v>1798</v>
      </c>
      <c r="D567" s="3" t="s">
        <v>25</v>
      </c>
      <c r="E567" s="3" t="s">
        <v>2035</v>
      </c>
      <c r="F567" s="3" t="n">
        <v>1</v>
      </c>
      <c r="G567" s="3" t="s">
        <v>18</v>
      </c>
      <c r="H567" s="3" t="s">
        <v>19</v>
      </c>
      <c r="I567" s="3" t="s">
        <v>2286</v>
      </c>
      <c r="J567" s="3" t="s">
        <v>21</v>
      </c>
      <c r="K567" s="3" t="n">
        <v>6725</v>
      </c>
      <c r="L567" s="3" t="n">
        <v>800</v>
      </c>
      <c r="M567" s="3" t="n">
        <v>800</v>
      </c>
      <c r="N567" s="3" t="s">
        <v>2287</v>
      </c>
    </row>
    <row r="568" customFormat="false" ht="15" hidden="false" customHeight="false" outlineLevel="0" collapsed="false">
      <c r="A568" s="2" t="s">
        <v>399</v>
      </c>
      <c r="B568" s="2" t="s">
        <v>1386</v>
      </c>
      <c r="C568" s="2" t="n">
        <v>1799</v>
      </c>
      <c r="D568" s="2" t="s">
        <v>49</v>
      </c>
      <c r="E568" s="2" t="s">
        <v>1990</v>
      </c>
      <c r="F568" s="2" t="n">
        <v>1</v>
      </c>
      <c r="G568" s="2" t="s">
        <v>51</v>
      </c>
      <c r="H568" s="2" t="s">
        <v>43</v>
      </c>
      <c r="I568" s="2" t="s">
        <v>2288</v>
      </c>
      <c r="J568" s="2" t="s">
        <v>111</v>
      </c>
      <c r="K568" s="2" t="n">
        <v>3000</v>
      </c>
      <c r="L568" s="2" t="n">
        <v>250</v>
      </c>
      <c r="M568" s="2" t="n">
        <v>250</v>
      </c>
      <c r="N568" s="2" t="s">
        <v>2289</v>
      </c>
    </row>
    <row r="569" customFormat="false" ht="15" hidden="false" customHeight="false" outlineLevel="0" collapsed="false">
      <c r="A569" s="3" t="s">
        <v>945</v>
      </c>
      <c r="B569" s="3" t="s">
        <v>305</v>
      </c>
      <c r="C569" s="3" t="n">
        <v>1800</v>
      </c>
      <c r="D569" s="3" t="s">
        <v>108</v>
      </c>
      <c r="E569" s="3" t="s">
        <v>387</v>
      </c>
      <c r="F569" s="3" t="n">
        <v>2</v>
      </c>
      <c r="G569" s="3" t="s">
        <v>18</v>
      </c>
      <c r="H569" s="3" t="s">
        <v>28</v>
      </c>
      <c r="I569" s="3" t="s">
        <v>2290</v>
      </c>
      <c r="J569" s="3" t="s">
        <v>30</v>
      </c>
      <c r="K569" s="3" t="n">
        <v>2600</v>
      </c>
      <c r="L569" s="3" t="n">
        <v>1200</v>
      </c>
      <c r="M569" s="3" t="n">
        <v>2400</v>
      </c>
      <c r="N569" s="3" t="s">
        <v>2291</v>
      </c>
    </row>
    <row r="570" customFormat="false" ht="15" hidden="false" customHeight="false" outlineLevel="0" collapsed="false">
      <c r="A570" s="2" t="s">
        <v>2292</v>
      </c>
      <c r="B570" s="2" t="s">
        <v>1224</v>
      </c>
      <c r="C570" s="2" t="n">
        <v>1801</v>
      </c>
      <c r="D570" s="2" t="s">
        <v>34</v>
      </c>
      <c r="E570" s="2" t="s">
        <v>820</v>
      </c>
      <c r="F570" s="2" t="n">
        <v>3</v>
      </c>
      <c r="G570" s="2" t="s">
        <v>18</v>
      </c>
      <c r="H570" s="2" t="s">
        <v>43</v>
      </c>
      <c r="I570" s="2" t="s">
        <v>2293</v>
      </c>
      <c r="J570" s="2" t="s">
        <v>67</v>
      </c>
      <c r="K570" s="2" t="n">
        <v>3220</v>
      </c>
      <c r="L570" s="2" t="n">
        <v>300</v>
      </c>
      <c r="M570" s="2" t="n">
        <v>900</v>
      </c>
      <c r="N570" s="2" t="s">
        <v>2294</v>
      </c>
    </row>
    <row r="571" customFormat="false" ht="15" hidden="false" customHeight="false" outlineLevel="0" collapsed="false">
      <c r="A571" s="3" t="s">
        <v>1542</v>
      </c>
      <c r="B571" s="3" t="s">
        <v>1090</v>
      </c>
      <c r="C571" s="3" t="n">
        <v>1802</v>
      </c>
      <c r="D571" s="3" t="s">
        <v>49</v>
      </c>
      <c r="E571" s="3" t="s">
        <v>692</v>
      </c>
      <c r="F571" s="3" t="n">
        <v>2</v>
      </c>
      <c r="G571" s="3" t="s">
        <v>18</v>
      </c>
      <c r="H571" s="3" t="s">
        <v>121</v>
      </c>
      <c r="I571" s="3" t="s">
        <v>2295</v>
      </c>
      <c r="J571" s="3" t="s">
        <v>317</v>
      </c>
      <c r="K571" s="3" t="n">
        <v>870</v>
      </c>
      <c r="L571" s="3" t="n">
        <v>250</v>
      </c>
      <c r="M571" s="3" t="n">
        <v>500</v>
      </c>
      <c r="N571" s="3" t="s">
        <v>2296</v>
      </c>
    </row>
    <row r="572" customFormat="false" ht="15" hidden="false" customHeight="false" outlineLevel="0" collapsed="false">
      <c r="A572" s="2" t="s">
        <v>2297</v>
      </c>
      <c r="B572" s="2" t="s">
        <v>2298</v>
      </c>
      <c r="C572" s="2" t="n">
        <v>1803</v>
      </c>
      <c r="D572" s="2" t="s">
        <v>108</v>
      </c>
      <c r="E572" s="2" t="s">
        <v>1419</v>
      </c>
      <c r="F572" s="2" t="n">
        <v>3</v>
      </c>
      <c r="G572" s="2" t="s">
        <v>51</v>
      </c>
      <c r="H572" s="2" t="s">
        <v>36</v>
      </c>
      <c r="I572" s="2" t="s">
        <v>2299</v>
      </c>
      <c r="J572" s="2" t="s">
        <v>170</v>
      </c>
      <c r="K572" s="2" t="n">
        <v>2500</v>
      </c>
      <c r="L572" s="2" t="n">
        <v>1200</v>
      </c>
      <c r="M572" s="2" t="n">
        <v>3600</v>
      </c>
      <c r="N572" s="2" t="s">
        <v>2300</v>
      </c>
    </row>
    <row r="573" customFormat="false" ht="15" hidden="false" customHeight="false" outlineLevel="0" collapsed="false">
      <c r="A573" s="3" t="s">
        <v>2223</v>
      </c>
      <c r="B573" s="3" t="s">
        <v>2301</v>
      </c>
      <c r="C573" s="3" t="n">
        <v>1804</v>
      </c>
      <c r="D573" s="3" t="s">
        <v>108</v>
      </c>
      <c r="E573" s="3" t="s">
        <v>2028</v>
      </c>
      <c r="F573" s="3" t="n">
        <v>3</v>
      </c>
      <c r="G573" s="3" t="s">
        <v>51</v>
      </c>
      <c r="H573" s="3" t="s">
        <v>19</v>
      </c>
      <c r="I573" s="3" t="s">
        <v>2302</v>
      </c>
      <c r="J573" s="3" t="s">
        <v>73</v>
      </c>
      <c r="K573" s="3" t="n">
        <v>6160</v>
      </c>
      <c r="L573" s="3" t="n">
        <v>1200</v>
      </c>
      <c r="M573" s="3" t="n">
        <v>3600</v>
      </c>
      <c r="N573" s="3" t="s">
        <v>2303</v>
      </c>
    </row>
    <row r="574" customFormat="false" ht="15" hidden="false" customHeight="false" outlineLevel="0" collapsed="false">
      <c r="A574" s="2" t="s">
        <v>1832</v>
      </c>
      <c r="B574" s="2" t="s">
        <v>210</v>
      </c>
      <c r="C574" s="2" t="n">
        <v>1805</v>
      </c>
      <c r="D574" s="2" t="s">
        <v>25</v>
      </c>
      <c r="E574" s="2" t="s">
        <v>2304</v>
      </c>
      <c r="F574" s="2" t="n">
        <v>3</v>
      </c>
      <c r="G574" s="2" t="s">
        <v>97</v>
      </c>
      <c r="H574" s="2" t="s">
        <v>78</v>
      </c>
      <c r="I574" s="2" t="s">
        <v>2305</v>
      </c>
      <c r="J574" s="2" t="s">
        <v>408</v>
      </c>
      <c r="K574" s="2" t="n">
        <v>7310</v>
      </c>
      <c r="L574" s="2" t="n">
        <v>800</v>
      </c>
      <c r="M574" s="2" t="n">
        <v>2400</v>
      </c>
      <c r="N574" s="2" t="s">
        <v>2306</v>
      </c>
    </row>
    <row r="575" customFormat="false" ht="15" hidden="false" customHeight="false" outlineLevel="0" collapsed="false">
      <c r="A575" s="3" t="s">
        <v>2307</v>
      </c>
      <c r="B575" s="3" t="s">
        <v>2308</v>
      </c>
      <c r="C575" s="3" t="n">
        <v>1806</v>
      </c>
      <c r="D575" s="3" t="s">
        <v>34</v>
      </c>
      <c r="E575" s="3" t="s">
        <v>148</v>
      </c>
      <c r="F575" s="3" t="n">
        <v>3</v>
      </c>
      <c r="G575" s="3" t="s">
        <v>51</v>
      </c>
      <c r="H575" s="3" t="s">
        <v>28</v>
      </c>
      <c r="I575" s="3" t="s">
        <v>2309</v>
      </c>
      <c r="J575" s="3" t="s">
        <v>30</v>
      </c>
      <c r="K575" s="3" t="n">
        <v>2600</v>
      </c>
      <c r="L575" s="3" t="n">
        <v>300</v>
      </c>
      <c r="M575" s="3" t="n">
        <v>900</v>
      </c>
      <c r="N575" s="3" t="s">
        <v>2310</v>
      </c>
    </row>
    <row r="576" customFormat="false" ht="15" hidden="false" customHeight="false" outlineLevel="0" collapsed="false">
      <c r="A576" s="2" t="s">
        <v>1139</v>
      </c>
      <c r="B576" s="2" t="s">
        <v>2311</v>
      </c>
      <c r="C576" s="2" t="n">
        <v>1807</v>
      </c>
      <c r="D576" s="2" t="s">
        <v>49</v>
      </c>
      <c r="E576" s="2" t="s">
        <v>2161</v>
      </c>
      <c r="F576" s="2" t="n">
        <v>3</v>
      </c>
      <c r="G576" s="2" t="s">
        <v>27</v>
      </c>
      <c r="H576" s="2" t="s">
        <v>43</v>
      </c>
      <c r="I576" s="2" t="s">
        <v>2312</v>
      </c>
      <c r="J576" s="2" t="s">
        <v>45</v>
      </c>
      <c r="K576" s="2" t="n">
        <v>3350</v>
      </c>
      <c r="L576" s="2" t="n">
        <v>250</v>
      </c>
      <c r="M576" s="2" t="n">
        <v>750</v>
      </c>
      <c r="N576" s="2" t="s">
        <v>2313</v>
      </c>
    </row>
    <row r="577" customFormat="false" ht="15" hidden="false" customHeight="false" outlineLevel="0" collapsed="false">
      <c r="A577" s="3" t="s">
        <v>2314</v>
      </c>
      <c r="B577" s="3" t="s">
        <v>57</v>
      </c>
      <c r="C577" s="3" t="n">
        <v>1808</v>
      </c>
      <c r="D577" s="3" t="s">
        <v>16</v>
      </c>
      <c r="E577" s="3" t="s">
        <v>593</v>
      </c>
      <c r="F577" s="3" t="n">
        <v>3</v>
      </c>
      <c r="G577" s="3" t="s">
        <v>51</v>
      </c>
      <c r="H577" s="3" t="s">
        <v>59</v>
      </c>
      <c r="I577" s="3" t="s">
        <v>2315</v>
      </c>
      <c r="J577" s="3" t="s">
        <v>99</v>
      </c>
      <c r="K577" s="3" t="n">
        <v>5000</v>
      </c>
      <c r="L577" s="3" t="n">
        <v>250</v>
      </c>
      <c r="M577" s="3" t="n">
        <v>750</v>
      </c>
      <c r="N577" s="3" t="s">
        <v>2316</v>
      </c>
    </row>
    <row r="578" customFormat="false" ht="15" hidden="false" customHeight="false" outlineLevel="0" collapsed="false">
      <c r="A578" s="2" t="s">
        <v>566</v>
      </c>
      <c r="B578" s="2" t="s">
        <v>2232</v>
      </c>
      <c r="C578" s="2" t="n">
        <v>1809</v>
      </c>
      <c r="D578" s="2" t="s">
        <v>34</v>
      </c>
      <c r="E578" s="2" t="s">
        <v>190</v>
      </c>
      <c r="F578" s="2" t="n">
        <v>2</v>
      </c>
      <c r="G578" s="2" t="s">
        <v>18</v>
      </c>
      <c r="H578" s="2" t="s">
        <v>121</v>
      </c>
      <c r="I578" s="2" t="s">
        <v>2317</v>
      </c>
      <c r="J578" s="2" t="s">
        <v>123</v>
      </c>
      <c r="K578" s="2" t="n">
        <v>800</v>
      </c>
      <c r="L578" s="2" t="n">
        <v>300</v>
      </c>
      <c r="M578" s="2" t="n">
        <v>600</v>
      </c>
      <c r="N578" s="2" t="s">
        <v>2318</v>
      </c>
    </row>
    <row r="579" customFormat="false" ht="15" hidden="false" customHeight="false" outlineLevel="0" collapsed="false">
      <c r="A579" s="3" t="s">
        <v>1856</v>
      </c>
      <c r="B579" s="3" t="s">
        <v>192</v>
      </c>
      <c r="C579" s="3" t="n">
        <v>1810</v>
      </c>
      <c r="D579" s="3" t="s">
        <v>108</v>
      </c>
      <c r="E579" s="3" t="s">
        <v>246</v>
      </c>
      <c r="F579" s="3" t="n">
        <v>1</v>
      </c>
      <c r="G579" s="3" t="s">
        <v>51</v>
      </c>
      <c r="H579" s="3" t="s">
        <v>36</v>
      </c>
      <c r="I579" s="3" t="s">
        <v>2319</v>
      </c>
      <c r="J579" s="3" t="s">
        <v>170</v>
      </c>
      <c r="K579" s="3" t="n">
        <v>2500</v>
      </c>
      <c r="L579" s="3" t="n">
        <v>1200</v>
      </c>
      <c r="M579" s="3" t="n">
        <v>1200</v>
      </c>
      <c r="N579" s="3" t="s">
        <v>2320</v>
      </c>
    </row>
    <row r="580" customFormat="false" ht="15" hidden="false" customHeight="false" outlineLevel="0" collapsed="false">
      <c r="A580" s="2" t="s">
        <v>2321</v>
      </c>
      <c r="B580" s="2" t="s">
        <v>230</v>
      </c>
      <c r="C580" s="2" t="n">
        <v>1811</v>
      </c>
      <c r="D580" s="2" t="s">
        <v>16</v>
      </c>
      <c r="E580" s="2" t="s">
        <v>951</v>
      </c>
      <c r="F580" s="2" t="n">
        <v>2</v>
      </c>
      <c r="G580" s="2" t="s">
        <v>51</v>
      </c>
      <c r="H580" s="2" t="s">
        <v>52</v>
      </c>
      <c r="I580" s="2" t="s">
        <v>2322</v>
      </c>
      <c r="J580" s="2" t="s">
        <v>182</v>
      </c>
      <c r="K580" s="2" t="n">
        <v>4000</v>
      </c>
      <c r="L580" s="2" t="n">
        <v>250</v>
      </c>
      <c r="M580" s="2" t="n">
        <v>500</v>
      </c>
      <c r="N580" s="2" t="s">
        <v>2323</v>
      </c>
    </row>
    <row r="581" customFormat="false" ht="15" hidden="false" customHeight="false" outlineLevel="0" collapsed="false">
      <c r="A581" s="3" t="s">
        <v>1513</v>
      </c>
      <c r="B581" s="3" t="s">
        <v>2324</v>
      </c>
      <c r="C581" s="3" t="n">
        <v>1812</v>
      </c>
      <c r="D581" s="3" t="s">
        <v>108</v>
      </c>
      <c r="E581" s="3" t="s">
        <v>1132</v>
      </c>
      <c r="F581" s="3" t="n">
        <v>1</v>
      </c>
      <c r="G581" s="3" t="s">
        <v>18</v>
      </c>
      <c r="H581" s="3" t="s">
        <v>78</v>
      </c>
      <c r="I581" s="3" t="s">
        <v>2325</v>
      </c>
      <c r="J581" s="3" t="s">
        <v>86</v>
      </c>
      <c r="K581" s="3" t="n">
        <v>7000</v>
      </c>
      <c r="L581" s="3" t="n">
        <v>1200</v>
      </c>
      <c r="M581" s="3" t="n">
        <v>1200</v>
      </c>
      <c r="N581" s="3" t="s">
        <v>2326</v>
      </c>
    </row>
    <row r="582" customFormat="false" ht="15" hidden="false" customHeight="false" outlineLevel="0" collapsed="false">
      <c r="A582" s="2" t="s">
        <v>2327</v>
      </c>
      <c r="B582" s="2" t="s">
        <v>2328</v>
      </c>
      <c r="C582" s="2" t="n">
        <v>1813</v>
      </c>
      <c r="D582" s="2" t="s">
        <v>34</v>
      </c>
      <c r="E582" s="2" t="s">
        <v>2329</v>
      </c>
      <c r="F582" s="2" t="n">
        <v>3</v>
      </c>
      <c r="G582" s="2" t="s">
        <v>18</v>
      </c>
      <c r="H582" s="2" t="s">
        <v>52</v>
      </c>
      <c r="I582" s="2" t="s">
        <v>2330</v>
      </c>
      <c r="J582" s="2" t="s">
        <v>54</v>
      </c>
      <c r="K582" s="2" t="n">
        <v>4217</v>
      </c>
      <c r="L582" s="2" t="n">
        <v>300</v>
      </c>
      <c r="M582" s="2" t="n">
        <v>900</v>
      </c>
      <c r="N582" s="2" t="s">
        <v>2331</v>
      </c>
    </row>
    <row r="583" customFormat="false" ht="15" hidden="false" customHeight="false" outlineLevel="0" collapsed="false">
      <c r="A583" s="3" t="s">
        <v>47</v>
      </c>
      <c r="B583" s="3" t="s">
        <v>265</v>
      </c>
      <c r="C583" s="3" t="n">
        <v>1814</v>
      </c>
      <c r="D583" s="3" t="s">
        <v>49</v>
      </c>
      <c r="E583" s="3" t="s">
        <v>803</v>
      </c>
      <c r="F583" s="3" t="n">
        <v>3</v>
      </c>
      <c r="G583" s="3" t="s">
        <v>51</v>
      </c>
      <c r="H583" s="3" t="s">
        <v>28</v>
      </c>
      <c r="I583" s="3" t="s">
        <v>2332</v>
      </c>
      <c r="J583" s="3" t="s">
        <v>30</v>
      </c>
      <c r="K583" s="3" t="n">
        <v>2600</v>
      </c>
      <c r="L583" s="3" t="n">
        <v>250</v>
      </c>
      <c r="M583" s="3" t="n">
        <v>750</v>
      </c>
      <c r="N583" s="3" t="s">
        <v>2333</v>
      </c>
    </row>
    <row r="584" customFormat="false" ht="15" hidden="false" customHeight="false" outlineLevel="0" collapsed="false">
      <c r="A584" s="2" t="s">
        <v>2334</v>
      </c>
      <c r="B584" s="2" t="s">
        <v>2335</v>
      </c>
      <c r="C584" s="2" t="n">
        <v>1815</v>
      </c>
      <c r="D584" s="2" t="s">
        <v>16</v>
      </c>
      <c r="E584" s="2" t="s">
        <v>1321</v>
      </c>
      <c r="F584" s="2" t="n">
        <v>3</v>
      </c>
      <c r="G584" s="2" t="s">
        <v>51</v>
      </c>
      <c r="H584" s="2" t="s">
        <v>28</v>
      </c>
      <c r="I584" s="2" t="s">
        <v>2336</v>
      </c>
      <c r="J584" s="2" t="s">
        <v>30</v>
      </c>
      <c r="K584" s="2" t="n">
        <v>2600</v>
      </c>
      <c r="L584" s="2" t="n">
        <v>250</v>
      </c>
      <c r="M584" s="2" t="n">
        <v>750</v>
      </c>
      <c r="N584" s="2" t="s">
        <v>2337</v>
      </c>
    </row>
    <row r="585" customFormat="false" ht="15" hidden="false" customHeight="false" outlineLevel="0" collapsed="false">
      <c r="A585" s="3" t="s">
        <v>2338</v>
      </c>
      <c r="B585" s="3" t="s">
        <v>2339</v>
      </c>
      <c r="C585" s="3" t="n">
        <v>1816</v>
      </c>
      <c r="D585" s="3" t="s">
        <v>16</v>
      </c>
      <c r="E585" s="3" t="s">
        <v>1397</v>
      </c>
      <c r="F585" s="3" t="n">
        <v>1</v>
      </c>
      <c r="G585" s="3" t="s">
        <v>51</v>
      </c>
      <c r="H585" s="3" t="s">
        <v>78</v>
      </c>
      <c r="I585" s="3" t="s">
        <v>2340</v>
      </c>
      <c r="J585" s="3" t="s">
        <v>408</v>
      </c>
      <c r="K585" s="3" t="n">
        <v>7310</v>
      </c>
      <c r="L585" s="3" t="n">
        <v>250</v>
      </c>
      <c r="M585" s="3" t="n">
        <v>250</v>
      </c>
      <c r="N585" s="3" t="s">
        <v>2341</v>
      </c>
    </row>
    <row r="586" customFormat="false" ht="15" hidden="false" customHeight="false" outlineLevel="0" collapsed="false">
      <c r="A586" s="2" t="s">
        <v>2342</v>
      </c>
      <c r="B586" s="2" t="s">
        <v>2343</v>
      </c>
      <c r="C586" s="2" t="n">
        <v>1817</v>
      </c>
      <c r="D586" s="2" t="s">
        <v>108</v>
      </c>
      <c r="E586" s="2" t="s">
        <v>563</v>
      </c>
      <c r="F586" s="2" t="n">
        <v>1</v>
      </c>
      <c r="G586" s="2" t="s">
        <v>97</v>
      </c>
      <c r="H586" s="2" t="s">
        <v>121</v>
      </c>
      <c r="I586" s="2" t="s">
        <v>2344</v>
      </c>
      <c r="J586" s="2" t="s">
        <v>317</v>
      </c>
      <c r="K586" s="2" t="n">
        <v>870</v>
      </c>
      <c r="L586" s="2" t="n">
        <v>1200</v>
      </c>
      <c r="M586" s="2" t="n">
        <v>1200</v>
      </c>
      <c r="N586" s="2" t="s">
        <v>2345</v>
      </c>
    </row>
    <row r="587" customFormat="false" ht="15" hidden="false" customHeight="false" outlineLevel="0" collapsed="false">
      <c r="A587" s="3" t="s">
        <v>2346</v>
      </c>
      <c r="B587" s="3" t="s">
        <v>1823</v>
      </c>
      <c r="C587" s="3" t="n">
        <v>1818</v>
      </c>
      <c r="D587" s="3" t="s">
        <v>25</v>
      </c>
      <c r="E587" s="3" t="s">
        <v>2347</v>
      </c>
      <c r="F587" s="3" t="n">
        <v>1</v>
      </c>
      <c r="G587" s="3" t="s">
        <v>18</v>
      </c>
      <c r="H587" s="3" t="s">
        <v>59</v>
      </c>
      <c r="I587" s="3" t="s">
        <v>2348</v>
      </c>
      <c r="J587" s="3" t="s">
        <v>292</v>
      </c>
      <c r="K587" s="3" t="n">
        <v>5600</v>
      </c>
      <c r="L587" s="3" t="n">
        <v>800</v>
      </c>
      <c r="M587" s="3" t="n">
        <v>800</v>
      </c>
      <c r="N587" s="3" t="s">
        <v>2349</v>
      </c>
    </row>
    <row r="588" customFormat="false" ht="15" hidden="false" customHeight="false" outlineLevel="0" collapsed="false">
      <c r="A588" s="2" t="s">
        <v>1666</v>
      </c>
      <c r="B588" s="2" t="s">
        <v>24</v>
      </c>
      <c r="C588" s="2" t="n">
        <v>1819</v>
      </c>
      <c r="D588" s="2" t="s">
        <v>147</v>
      </c>
      <c r="E588" s="2" t="s">
        <v>2347</v>
      </c>
      <c r="F588" s="2" t="n">
        <v>3</v>
      </c>
      <c r="G588" s="2" t="s">
        <v>97</v>
      </c>
      <c r="H588" s="2" t="s">
        <v>52</v>
      </c>
      <c r="I588" s="2" t="s">
        <v>2350</v>
      </c>
      <c r="J588" s="2" t="s">
        <v>54</v>
      </c>
      <c r="K588" s="2" t="n">
        <v>4217</v>
      </c>
      <c r="L588" s="2" t="n">
        <v>600</v>
      </c>
      <c r="M588" s="2" t="n">
        <v>1800</v>
      </c>
      <c r="N588" s="2" t="s">
        <v>2351</v>
      </c>
    </row>
    <row r="589" customFormat="false" ht="15" hidden="false" customHeight="false" outlineLevel="0" collapsed="false">
      <c r="A589" s="3" t="s">
        <v>2352</v>
      </c>
      <c r="B589" s="3" t="s">
        <v>136</v>
      </c>
      <c r="C589" s="3" t="n">
        <v>1820</v>
      </c>
      <c r="D589" s="3" t="s">
        <v>108</v>
      </c>
      <c r="E589" s="3" t="s">
        <v>834</v>
      </c>
      <c r="F589" s="3" t="n">
        <v>3</v>
      </c>
      <c r="G589" s="3" t="s">
        <v>18</v>
      </c>
      <c r="H589" s="3" t="s">
        <v>43</v>
      </c>
      <c r="I589" s="3" t="s">
        <v>2353</v>
      </c>
      <c r="J589" s="3" t="s">
        <v>111</v>
      </c>
      <c r="K589" s="3" t="n">
        <v>3000</v>
      </c>
      <c r="L589" s="3" t="n">
        <v>1200</v>
      </c>
      <c r="M589" s="3" t="n">
        <v>3600</v>
      </c>
      <c r="N589" s="3" t="s">
        <v>2354</v>
      </c>
    </row>
    <row r="590" customFormat="false" ht="15" hidden="false" customHeight="false" outlineLevel="0" collapsed="false">
      <c r="A590" s="2" t="s">
        <v>279</v>
      </c>
      <c r="B590" s="2" t="s">
        <v>2118</v>
      </c>
      <c r="C590" s="2" t="n">
        <v>1821</v>
      </c>
      <c r="D590" s="2" t="s">
        <v>16</v>
      </c>
      <c r="E590" s="2" t="s">
        <v>1118</v>
      </c>
      <c r="F590" s="2" t="n">
        <v>3</v>
      </c>
      <c r="G590" s="2" t="s">
        <v>51</v>
      </c>
      <c r="H590" s="2" t="s">
        <v>59</v>
      </c>
      <c r="I590" s="2" t="s">
        <v>2355</v>
      </c>
      <c r="J590" s="2" t="s">
        <v>99</v>
      </c>
      <c r="K590" s="2" t="n">
        <v>5000</v>
      </c>
      <c r="L590" s="2" t="n">
        <v>250</v>
      </c>
      <c r="M590" s="2" t="n">
        <v>750</v>
      </c>
      <c r="N590" s="2" t="s">
        <v>2356</v>
      </c>
    </row>
    <row r="591" customFormat="false" ht="15" hidden="false" customHeight="false" outlineLevel="0" collapsed="false">
      <c r="A591" s="3" t="s">
        <v>934</v>
      </c>
      <c r="B591" s="3" t="s">
        <v>1708</v>
      </c>
      <c r="C591" s="3" t="n">
        <v>1822</v>
      </c>
      <c r="D591" s="3" t="s">
        <v>108</v>
      </c>
      <c r="E591" s="3" t="s">
        <v>174</v>
      </c>
      <c r="F591" s="3" t="n">
        <v>2</v>
      </c>
      <c r="G591" s="3" t="s">
        <v>18</v>
      </c>
      <c r="H591" s="3" t="s">
        <v>28</v>
      </c>
      <c r="I591" s="3" t="s">
        <v>2357</v>
      </c>
      <c r="J591" s="3" t="s">
        <v>30</v>
      </c>
      <c r="K591" s="3" t="n">
        <v>2600</v>
      </c>
      <c r="L591" s="3" t="n">
        <v>1200</v>
      </c>
      <c r="M591" s="3" t="n">
        <v>2400</v>
      </c>
      <c r="N591" s="3" t="s">
        <v>2358</v>
      </c>
    </row>
    <row r="592" customFormat="false" ht="15" hidden="false" customHeight="false" outlineLevel="0" collapsed="false">
      <c r="A592" s="2" t="s">
        <v>2359</v>
      </c>
      <c r="B592" s="2" t="s">
        <v>2360</v>
      </c>
      <c r="C592" s="2" t="n">
        <v>1823</v>
      </c>
      <c r="D592" s="2" t="s">
        <v>108</v>
      </c>
      <c r="E592" s="2" t="s">
        <v>558</v>
      </c>
      <c r="F592" s="2" t="n">
        <v>1</v>
      </c>
      <c r="G592" s="2" t="s">
        <v>18</v>
      </c>
      <c r="H592" s="2" t="s">
        <v>121</v>
      </c>
      <c r="I592" s="2" t="s">
        <v>2361</v>
      </c>
      <c r="J592" s="2" t="s">
        <v>317</v>
      </c>
      <c r="K592" s="2" t="n">
        <v>870</v>
      </c>
      <c r="L592" s="2" t="n">
        <v>1200</v>
      </c>
      <c r="M592" s="2" t="n">
        <v>1200</v>
      </c>
      <c r="N592" s="2" t="s">
        <v>2362</v>
      </c>
    </row>
    <row r="593" customFormat="false" ht="15" hidden="false" customHeight="false" outlineLevel="0" collapsed="false">
      <c r="A593" s="3" t="s">
        <v>2363</v>
      </c>
      <c r="B593" s="3" t="s">
        <v>1699</v>
      </c>
      <c r="C593" s="3" t="n">
        <v>1824</v>
      </c>
      <c r="D593" s="3" t="s">
        <v>108</v>
      </c>
      <c r="E593" s="3" t="s">
        <v>349</v>
      </c>
      <c r="F593" s="3" t="n">
        <v>2</v>
      </c>
      <c r="G593" s="3" t="s">
        <v>18</v>
      </c>
      <c r="H593" s="3" t="s">
        <v>19</v>
      </c>
      <c r="I593" s="3" t="s">
        <v>2364</v>
      </c>
      <c r="J593" s="3" t="s">
        <v>73</v>
      </c>
      <c r="K593" s="3" t="n">
        <v>6160</v>
      </c>
      <c r="L593" s="3" t="n">
        <v>1200</v>
      </c>
      <c r="M593" s="3" t="n">
        <v>2400</v>
      </c>
      <c r="N593" s="3" t="s">
        <v>2365</v>
      </c>
    </row>
    <row r="594" customFormat="false" ht="15" hidden="false" customHeight="false" outlineLevel="0" collapsed="false">
      <c r="A594" s="2" t="s">
        <v>1623</v>
      </c>
      <c r="B594" s="2" t="s">
        <v>2366</v>
      </c>
      <c r="C594" s="2" t="n">
        <v>1825</v>
      </c>
      <c r="D594" s="2" t="s">
        <v>49</v>
      </c>
      <c r="E594" s="2" t="s">
        <v>2367</v>
      </c>
      <c r="F594" s="2" t="n">
        <v>2</v>
      </c>
      <c r="G594" s="2" t="s">
        <v>97</v>
      </c>
      <c r="H594" s="2" t="s">
        <v>36</v>
      </c>
      <c r="I594" s="2" t="s">
        <v>2368</v>
      </c>
      <c r="J594" s="2" t="s">
        <v>192</v>
      </c>
      <c r="K594" s="2" t="n">
        <v>2000</v>
      </c>
      <c r="L594" s="2" t="n">
        <v>250</v>
      </c>
      <c r="M594" s="2" t="n">
        <v>500</v>
      </c>
      <c r="N594" s="2" t="s">
        <v>2369</v>
      </c>
    </row>
    <row r="595" customFormat="false" ht="15" hidden="false" customHeight="false" outlineLevel="0" collapsed="false">
      <c r="A595" s="3" t="s">
        <v>2370</v>
      </c>
      <c r="B595" s="3" t="s">
        <v>2371</v>
      </c>
      <c r="C595" s="3" t="n">
        <v>1826</v>
      </c>
      <c r="D595" s="3" t="s">
        <v>108</v>
      </c>
      <c r="E595" s="3" t="s">
        <v>653</v>
      </c>
      <c r="F595" s="3" t="n">
        <v>2</v>
      </c>
      <c r="G595" s="3" t="s">
        <v>97</v>
      </c>
      <c r="H595" s="3" t="s">
        <v>19</v>
      </c>
      <c r="I595" s="3" t="s">
        <v>2372</v>
      </c>
      <c r="J595" s="3" t="s">
        <v>176</v>
      </c>
      <c r="K595" s="3" t="n">
        <v>6000</v>
      </c>
      <c r="L595" s="3" t="n">
        <v>1200</v>
      </c>
      <c r="M595" s="3" t="n">
        <v>2400</v>
      </c>
      <c r="N595" s="3" t="s">
        <v>2373</v>
      </c>
    </row>
    <row r="596" customFormat="false" ht="15" hidden="false" customHeight="false" outlineLevel="0" collapsed="false">
      <c r="A596" s="2" t="s">
        <v>2374</v>
      </c>
      <c r="B596" s="2" t="s">
        <v>2375</v>
      </c>
      <c r="C596" s="2" t="n">
        <v>1827</v>
      </c>
      <c r="D596" s="2" t="s">
        <v>34</v>
      </c>
      <c r="E596" s="2" t="s">
        <v>1620</v>
      </c>
      <c r="F596" s="2" t="n">
        <v>2</v>
      </c>
      <c r="G596" s="2" t="s">
        <v>18</v>
      </c>
      <c r="H596" s="2" t="s">
        <v>78</v>
      </c>
      <c r="I596" s="2" t="s">
        <v>2376</v>
      </c>
      <c r="J596" s="2" t="s">
        <v>408</v>
      </c>
      <c r="K596" s="2" t="n">
        <v>7310</v>
      </c>
      <c r="L596" s="2" t="n">
        <v>300</v>
      </c>
      <c r="M596" s="2" t="n">
        <v>600</v>
      </c>
      <c r="N596" s="2" t="s">
        <v>2377</v>
      </c>
    </row>
    <row r="597" customFormat="false" ht="15" hidden="false" customHeight="false" outlineLevel="0" collapsed="false">
      <c r="A597" s="3" t="s">
        <v>2378</v>
      </c>
      <c r="B597" s="3" t="s">
        <v>2379</v>
      </c>
      <c r="C597" s="3" t="n">
        <v>1828</v>
      </c>
      <c r="D597" s="3" t="s">
        <v>108</v>
      </c>
      <c r="E597" s="3" t="s">
        <v>2380</v>
      </c>
      <c r="F597" s="3" t="n">
        <v>3</v>
      </c>
      <c r="G597" s="3" t="s">
        <v>97</v>
      </c>
      <c r="H597" s="3" t="s">
        <v>43</v>
      </c>
      <c r="I597" s="3" t="s">
        <v>2381</v>
      </c>
      <c r="J597" s="3" t="s">
        <v>45</v>
      </c>
      <c r="K597" s="3" t="n">
        <v>3350</v>
      </c>
      <c r="L597" s="3" t="n">
        <v>1200</v>
      </c>
      <c r="M597" s="3" t="n">
        <v>3600</v>
      </c>
      <c r="N597" s="3" t="s">
        <v>2382</v>
      </c>
    </row>
    <row r="598" customFormat="false" ht="15" hidden="false" customHeight="false" outlineLevel="0" collapsed="false">
      <c r="A598" s="2" t="s">
        <v>2327</v>
      </c>
      <c r="B598" s="2" t="s">
        <v>305</v>
      </c>
      <c r="C598" s="2" t="n">
        <v>1829</v>
      </c>
      <c r="D598" s="2" t="s">
        <v>34</v>
      </c>
      <c r="E598" s="2" t="s">
        <v>1402</v>
      </c>
      <c r="F598" s="2" t="n">
        <v>1</v>
      </c>
      <c r="G598" s="2" t="s">
        <v>27</v>
      </c>
      <c r="H598" s="2" t="s">
        <v>36</v>
      </c>
      <c r="I598" s="2" t="s">
        <v>2383</v>
      </c>
      <c r="J598" s="2" t="s">
        <v>170</v>
      </c>
      <c r="K598" s="2" t="n">
        <v>2500</v>
      </c>
      <c r="L598" s="2" t="n">
        <v>300</v>
      </c>
      <c r="M598" s="2" t="n">
        <v>300</v>
      </c>
      <c r="N598" s="2" t="s">
        <v>2384</v>
      </c>
    </row>
    <row r="599" customFormat="false" ht="15" hidden="false" customHeight="false" outlineLevel="0" collapsed="false">
      <c r="A599" s="3" t="s">
        <v>2385</v>
      </c>
      <c r="B599" s="3" t="s">
        <v>789</v>
      </c>
      <c r="C599" s="3" t="n">
        <v>1830</v>
      </c>
      <c r="D599" s="3" t="s">
        <v>34</v>
      </c>
      <c r="E599" s="3" t="s">
        <v>762</v>
      </c>
      <c r="F599" s="3" t="n">
        <v>1</v>
      </c>
      <c r="G599" s="3" t="s">
        <v>27</v>
      </c>
      <c r="H599" s="3" t="s">
        <v>36</v>
      </c>
      <c r="I599" s="3" t="s">
        <v>2386</v>
      </c>
      <c r="J599" s="3" t="s">
        <v>192</v>
      </c>
      <c r="K599" s="3" t="n">
        <v>2000</v>
      </c>
      <c r="L599" s="3" t="n">
        <v>300</v>
      </c>
      <c r="M599" s="3" t="n">
        <v>300</v>
      </c>
      <c r="N599" s="3" t="s">
        <v>2387</v>
      </c>
    </row>
    <row r="600" customFormat="false" ht="15" hidden="false" customHeight="false" outlineLevel="0" collapsed="false">
      <c r="A600" s="2" t="s">
        <v>2388</v>
      </c>
      <c r="B600" s="2" t="s">
        <v>357</v>
      </c>
      <c r="C600" s="2" t="n">
        <v>1831</v>
      </c>
      <c r="D600" s="2" t="s">
        <v>16</v>
      </c>
      <c r="E600" s="2" t="s">
        <v>1928</v>
      </c>
      <c r="F600" s="2" t="n">
        <v>1</v>
      </c>
      <c r="G600" s="2" t="s">
        <v>18</v>
      </c>
      <c r="H600" s="2" t="s">
        <v>43</v>
      </c>
      <c r="I600" s="2" t="s">
        <v>2389</v>
      </c>
      <c r="J600" s="2" t="s">
        <v>45</v>
      </c>
      <c r="K600" s="2" t="n">
        <v>3350</v>
      </c>
      <c r="L600" s="2" t="n">
        <v>250</v>
      </c>
      <c r="M600" s="2" t="n">
        <v>250</v>
      </c>
      <c r="N600" s="2" t="s">
        <v>2390</v>
      </c>
    </row>
    <row r="601" customFormat="false" ht="15" hidden="false" customHeight="false" outlineLevel="0" collapsed="false">
      <c r="A601" s="3" t="s">
        <v>2391</v>
      </c>
      <c r="B601" s="3" t="s">
        <v>2392</v>
      </c>
      <c r="C601" s="3" t="n">
        <v>1832</v>
      </c>
      <c r="D601" s="3" t="s">
        <v>49</v>
      </c>
      <c r="E601" s="3" t="s">
        <v>1595</v>
      </c>
      <c r="F601" s="3" t="n">
        <v>2</v>
      </c>
      <c r="G601" s="3" t="s">
        <v>18</v>
      </c>
      <c r="H601" s="3" t="s">
        <v>19</v>
      </c>
      <c r="I601" s="3" t="s">
        <v>2393</v>
      </c>
      <c r="J601" s="3" t="s">
        <v>21</v>
      </c>
      <c r="K601" s="3" t="n">
        <v>6725</v>
      </c>
      <c r="L601" s="3" t="n">
        <v>250</v>
      </c>
      <c r="M601" s="3" t="n">
        <v>500</v>
      </c>
      <c r="N601" s="3" t="s">
        <v>2394</v>
      </c>
    </row>
    <row r="602" customFormat="false" ht="15" hidden="false" customHeight="false" outlineLevel="0" collapsed="false">
      <c r="A602" s="2" t="s">
        <v>2395</v>
      </c>
      <c r="B602" s="2" t="s">
        <v>2396</v>
      </c>
      <c r="C602" s="2" t="n">
        <v>1833</v>
      </c>
      <c r="D602" s="2" t="s">
        <v>147</v>
      </c>
      <c r="E602" s="2" t="s">
        <v>377</v>
      </c>
      <c r="F602" s="2" t="n">
        <v>2</v>
      </c>
      <c r="G602" s="2" t="s">
        <v>18</v>
      </c>
      <c r="H602" s="2" t="s">
        <v>78</v>
      </c>
      <c r="I602" s="2" t="s">
        <v>2397</v>
      </c>
      <c r="J602" s="2" t="s">
        <v>86</v>
      </c>
      <c r="K602" s="2" t="n">
        <v>7000</v>
      </c>
      <c r="L602" s="2" t="n">
        <v>600</v>
      </c>
      <c r="M602" s="2" t="n">
        <v>1200</v>
      </c>
      <c r="N602" s="2" t="s">
        <v>2398</v>
      </c>
    </row>
    <row r="603" customFormat="false" ht="15" hidden="false" customHeight="false" outlineLevel="0" collapsed="false">
      <c r="A603" s="3" t="s">
        <v>2399</v>
      </c>
      <c r="B603" s="3" t="s">
        <v>453</v>
      </c>
      <c r="C603" s="3" t="n">
        <v>1834</v>
      </c>
      <c r="D603" s="3" t="s">
        <v>34</v>
      </c>
      <c r="E603" s="3" t="s">
        <v>246</v>
      </c>
      <c r="F603" s="3" t="n">
        <v>1</v>
      </c>
      <c r="G603" s="3" t="s">
        <v>97</v>
      </c>
      <c r="H603" s="3" t="s">
        <v>19</v>
      </c>
      <c r="I603" s="3" t="s">
        <v>2400</v>
      </c>
      <c r="J603" s="3" t="s">
        <v>73</v>
      </c>
      <c r="K603" s="3" t="n">
        <v>6160</v>
      </c>
      <c r="L603" s="3" t="n">
        <v>300</v>
      </c>
      <c r="M603" s="3" t="n">
        <v>300</v>
      </c>
      <c r="N603" s="3" t="s">
        <v>2401</v>
      </c>
    </row>
    <row r="604" customFormat="false" ht="15" hidden="false" customHeight="false" outlineLevel="0" collapsed="false">
      <c r="A604" s="2" t="s">
        <v>2402</v>
      </c>
      <c r="B604" s="2" t="s">
        <v>2403</v>
      </c>
      <c r="C604" s="2" t="n">
        <v>1835</v>
      </c>
      <c r="D604" s="2" t="s">
        <v>147</v>
      </c>
      <c r="E604" s="2" t="s">
        <v>459</v>
      </c>
      <c r="F604" s="2" t="n">
        <v>1</v>
      </c>
      <c r="G604" s="2" t="s">
        <v>51</v>
      </c>
      <c r="H604" s="2" t="s">
        <v>28</v>
      </c>
      <c r="I604" s="2" t="s">
        <v>2404</v>
      </c>
      <c r="J604" s="2" t="s">
        <v>30</v>
      </c>
      <c r="K604" s="2" t="n">
        <v>2600</v>
      </c>
      <c r="L604" s="2" t="n">
        <v>600</v>
      </c>
      <c r="M604" s="2" t="n">
        <v>600</v>
      </c>
      <c r="N604" s="2" t="s">
        <v>2405</v>
      </c>
    </row>
    <row r="605" customFormat="false" ht="15" hidden="false" customHeight="false" outlineLevel="0" collapsed="false">
      <c r="A605" s="3" t="s">
        <v>1979</v>
      </c>
      <c r="B605" s="3" t="s">
        <v>1217</v>
      </c>
      <c r="C605" s="3" t="n">
        <v>1836</v>
      </c>
      <c r="D605" s="3" t="s">
        <v>108</v>
      </c>
      <c r="E605" s="3" t="s">
        <v>2202</v>
      </c>
      <c r="F605" s="3" t="n">
        <v>3</v>
      </c>
      <c r="G605" s="3" t="s">
        <v>51</v>
      </c>
      <c r="H605" s="3" t="s">
        <v>78</v>
      </c>
      <c r="I605" s="3" t="s">
        <v>2406</v>
      </c>
      <c r="J605" s="3" t="s">
        <v>86</v>
      </c>
      <c r="K605" s="3" t="n">
        <v>7000</v>
      </c>
      <c r="L605" s="3" t="n">
        <v>1200</v>
      </c>
      <c r="M605" s="3" t="n">
        <v>3600</v>
      </c>
      <c r="N605" s="3" t="s">
        <v>2407</v>
      </c>
    </row>
    <row r="606" customFormat="false" ht="15" hidden="false" customHeight="false" outlineLevel="0" collapsed="false">
      <c r="A606" s="2" t="s">
        <v>2408</v>
      </c>
      <c r="B606" s="2" t="s">
        <v>1952</v>
      </c>
      <c r="C606" s="2" t="n">
        <v>1837</v>
      </c>
      <c r="D606" s="2" t="s">
        <v>147</v>
      </c>
      <c r="E606" s="2" t="s">
        <v>558</v>
      </c>
      <c r="F606" s="2" t="n">
        <v>3</v>
      </c>
      <c r="G606" s="2" t="s">
        <v>18</v>
      </c>
      <c r="H606" s="2" t="s">
        <v>59</v>
      </c>
      <c r="I606" s="2" t="s">
        <v>2409</v>
      </c>
      <c r="J606" s="2" t="s">
        <v>61</v>
      </c>
      <c r="K606" s="2" t="n">
        <v>5290</v>
      </c>
      <c r="L606" s="2" t="n">
        <v>600</v>
      </c>
      <c r="M606" s="2" t="n">
        <v>1800</v>
      </c>
      <c r="N606" s="2" t="s">
        <v>2410</v>
      </c>
    </row>
    <row r="607" customFormat="false" ht="15" hidden="false" customHeight="false" outlineLevel="0" collapsed="false">
      <c r="A607" s="3" t="s">
        <v>2411</v>
      </c>
      <c r="B607" s="3" t="s">
        <v>765</v>
      </c>
      <c r="C607" s="3" t="n">
        <v>1838</v>
      </c>
      <c r="D607" s="3" t="s">
        <v>108</v>
      </c>
      <c r="E607" s="3" t="s">
        <v>1538</v>
      </c>
      <c r="F607" s="3" t="n">
        <v>3</v>
      </c>
      <c r="G607" s="3" t="s">
        <v>18</v>
      </c>
      <c r="H607" s="3" t="s">
        <v>121</v>
      </c>
      <c r="I607" s="3" t="s">
        <v>2412</v>
      </c>
      <c r="J607" s="3" t="s">
        <v>317</v>
      </c>
      <c r="K607" s="3" t="n">
        <v>870</v>
      </c>
      <c r="L607" s="3" t="n">
        <v>1200</v>
      </c>
      <c r="M607" s="3" t="n">
        <v>3600</v>
      </c>
      <c r="N607" s="3" t="s">
        <v>2413</v>
      </c>
    </row>
    <row r="608" customFormat="false" ht="15" hidden="false" customHeight="false" outlineLevel="0" collapsed="false">
      <c r="A608" s="2" t="s">
        <v>1354</v>
      </c>
      <c r="B608" s="2" t="s">
        <v>1891</v>
      </c>
      <c r="C608" s="2" t="n">
        <v>1839</v>
      </c>
      <c r="D608" s="2" t="s">
        <v>34</v>
      </c>
      <c r="E608" s="2" t="s">
        <v>290</v>
      </c>
      <c r="F608" s="2" t="n">
        <v>2</v>
      </c>
      <c r="G608" s="2" t="s">
        <v>18</v>
      </c>
      <c r="H608" s="2" t="s">
        <v>59</v>
      </c>
      <c r="I608" s="2" t="s">
        <v>2414</v>
      </c>
      <c r="J608" s="2" t="s">
        <v>99</v>
      </c>
      <c r="K608" s="2" t="n">
        <v>5000</v>
      </c>
      <c r="L608" s="2" t="n">
        <v>300</v>
      </c>
      <c r="M608" s="2" t="n">
        <v>600</v>
      </c>
      <c r="N608" s="2" t="s">
        <v>2415</v>
      </c>
    </row>
    <row r="609" customFormat="false" ht="15" hidden="false" customHeight="false" outlineLevel="0" collapsed="false">
      <c r="A609" s="3" t="s">
        <v>2416</v>
      </c>
      <c r="B609" s="3" t="s">
        <v>861</v>
      </c>
      <c r="C609" s="3" t="n">
        <v>1840</v>
      </c>
      <c r="D609" s="3" t="s">
        <v>25</v>
      </c>
      <c r="E609" s="3" t="s">
        <v>2417</v>
      </c>
      <c r="F609" s="3" t="n">
        <v>1</v>
      </c>
      <c r="G609" s="3" t="s">
        <v>51</v>
      </c>
      <c r="H609" s="3" t="s">
        <v>28</v>
      </c>
      <c r="I609" s="3" t="s">
        <v>2418</v>
      </c>
      <c r="J609" s="3" t="s">
        <v>30</v>
      </c>
      <c r="K609" s="3" t="n">
        <v>2600</v>
      </c>
      <c r="L609" s="3" t="n">
        <v>800</v>
      </c>
      <c r="M609" s="3" t="n">
        <v>800</v>
      </c>
      <c r="N609" s="3" t="s">
        <v>2419</v>
      </c>
    </row>
    <row r="610" customFormat="false" ht="15" hidden="false" customHeight="false" outlineLevel="0" collapsed="false">
      <c r="A610" s="2" t="s">
        <v>1678</v>
      </c>
      <c r="B610" s="2" t="s">
        <v>1844</v>
      </c>
      <c r="C610" s="2" t="n">
        <v>1841</v>
      </c>
      <c r="D610" s="2" t="s">
        <v>108</v>
      </c>
      <c r="E610" s="2" t="s">
        <v>1107</v>
      </c>
      <c r="F610" s="2" t="n">
        <v>1</v>
      </c>
      <c r="G610" s="2" t="s">
        <v>18</v>
      </c>
      <c r="H610" s="2" t="s">
        <v>121</v>
      </c>
      <c r="I610" s="2" t="s">
        <v>2420</v>
      </c>
      <c r="J610" s="2" t="s">
        <v>317</v>
      </c>
      <c r="K610" s="2" t="n">
        <v>870</v>
      </c>
      <c r="L610" s="2" t="n">
        <v>1200</v>
      </c>
      <c r="M610" s="2" t="n">
        <v>1200</v>
      </c>
      <c r="N610" s="2" t="s">
        <v>2421</v>
      </c>
    </row>
    <row r="611" customFormat="false" ht="15" hidden="false" customHeight="false" outlineLevel="0" collapsed="false">
      <c r="A611" s="3" t="s">
        <v>1359</v>
      </c>
      <c r="B611" s="3" t="s">
        <v>2422</v>
      </c>
      <c r="C611" s="3" t="n">
        <v>1842</v>
      </c>
      <c r="D611" s="3" t="s">
        <v>34</v>
      </c>
      <c r="E611" s="3" t="s">
        <v>2423</v>
      </c>
      <c r="F611" s="3" t="n">
        <v>3</v>
      </c>
      <c r="G611" s="3" t="s">
        <v>18</v>
      </c>
      <c r="H611" s="3" t="s">
        <v>43</v>
      </c>
      <c r="I611" s="3" t="s">
        <v>2424</v>
      </c>
      <c r="J611" s="3" t="s">
        <v>111</v>
      </c>
      <c r="K611" s="3" t="n">
        <v>3000</v>
      </c>
      <c r="L611" s="3" t="n">
        <v>300</v>
      </c>
      <c r="M611" s="3" t="n">
        <v>900</v>
      </c>
      <c r="N611" s="3" t="s">
        <v>2425</v>
      </c>
    </row>
    <row r="612" customFormat="false" ht="15" hidden="false" customHeight="false" outlineLevel="0" collapsed="false">
      <c r="A612" s="2" t="s">
        <v>2426</v>
      </c>
      <c r="B612" s="2" t="s">
        <v>210</v>
      </c>
      <c r="C612" s="2" t="n">
        <v>1843</v>
      </c>
      <c r="D612" s="2" t="s">
        <v>147</v>
      </c>
      <c r="E612" s="2" t="s">
        <v>2304</v>
      </c>
      <c r="F612" s="2" t="n">
        <v>1</v>
      </c>
      <c r="G612" s="2" t="s">
        <v>51</v>
      </c>
      <c r="H612" s="2" t="s">
        <v>19</v>
      </c>
      <c r="I612" s="2" t="s">
        <v>2427</v>
      </c>
      <c r="J612" s="2" t="s">
        <v>21</v>
      </c>
      <c r="K612" s="2" t="n">
        <v>6725</v>
      </c>
      <c r="L612" s="2" t="n">
        <v>600</v>
      </c>
      <c r="M612" s="2" t="n">
        <v>600</v>
      </c>
      <c r="N612" s="2" t="s">
        <v>2428</v>
      </c>
    </row>
    <row r="613" customFormat="false" ht="15" hidden="false" customHeight="false" outlineLevel="0" collapsed="false">
      <c r="A613" s="3" t="s">
        <v>2429</v>
      </c>
      <c r="B613" s="3" t="s">
        <v>2242</v>
      </c>
      <c r="C613" s="3" t="n">
        <v>1844</v>
      </c>
      <c r="D613" s="3" t="s">
        <v>108</v>
      </c>
      <c r="E613" s="3" t="s">
        <v>1457</v>
      </c>
      <c r="F613" s="3" t="n">
        <v>3</v>
      </c>
      <c r="G613" s="3" t="s">
        <v>51</v>
      </c>
      <c r="H613" s="3" t="s">
        <v>19</v>
      </c>
      <c r="I613" s="3" t="s">
        <v>2430</v>
      </c>
      <c r="J613" s="3" t="s">
        <v>176</v>
      </c>
      <c r="K613" s="3" t="n">
        <v>6000</v>
      </c>
      <c r="L613" s="3" t="n">
        <v>1200</v>
      </c>
      <c r="M613" s="3" t="n">
        <v>3600</v>
      </c>
      <c r="N613" s="3" t="s">
        <v>2431</v>
      </c>
    </row>
    <row r="614" customFormat="false" ht="15" hidden="false" customHeight="false" outlineLevel="0" collapsed="false">
      <c r="A614" s="2" t="s">
        <v>2432</v>
      </c>
      <c r="B614" s="2" t="s">
        <v>2433</v>
      </c>
      <c r="C614" s="2" t="n">
        <v>1845</v>
      </c>
      <c r="D614" s="2" t="s">
        <v>34</v>
      </c>
      <c r="E614" s="2" t="s">
        <v>2434</v>
      </c>
      <c r="F614" s="2" t="n">
        <v>3</v>
      </c>
      <c r="G614" s="2" t="s">
        <v>51</v>
      </c>
      <c r="H614" s="2" t="s">
        <v>28</v>
      </c>
      <c r="I614" s="2" t="s">
        <v>2435</v>
      </c>
      <c r="J614" s="2" t="s">
        <v>30</v>
      </c>
      <c r="K614" s="2" t="n">
        <v>2600</v>
      </c>
      <c r="L614" s="2" t="n">
        <v>300</v>
      </c>
      <c r="M614" s="2" t="n">
        <v>900</v>
      </c>
      <c r="N614" s="2" t="s">
        <v>2436</v>
      </c>
    </row>
    <row r="615" customFormat="false" ht="15" hidden="false" customHeight="false" outlineLevel="0" collapsed="false">
      <c r="A615" s="3" t="s">
        <v>710</v>
      </c>
      <c r="B615" s="3" t="s">
        <v>562</v>
      </c>
      <c r="C615" s="3" t="n">
        <v>1846</v>
      </c>
      <c r="D615" s="3" t="s">
        <v>108</v>
      </c>
      <c r="E615" s="3" t="s">
        <v>2097</v>
      </c>
      <c r="F615" s="3" t="n">
        <v>3</v>
      </c>
      <c r="G615" s="3" t="s">
        <v>18</v>
      </c>
      <c r="H615" s="3" t="s">
        <v>28</v>
      </c>
      <c r="I615" s="3" t="s">
        <v>2437</v>
      </c>
      <c r="J615" s="3" t="s">
        <v>30</v>
      </c>
      <c r="K615" s="3" t="n">
        <v>2600</v>
      </c>
      <c r="L615" s="3" t="n">
        <v>1200</v>
      </c>
      <c r="M615" s="3" t="n">
        <v>3600</v>
      </c>
      <c r="N615" s="3" t="s">
        <v>2438</v>
      </c>
    </row>
    <row r="616" customFormat="false" ht="15" hidden="false" customHeight="false" outlineLevel="0" collapsed="false">
      <c r="A616" s="2" t="s">
        <v>2439</v>
      </c>
      <c r="B616" s="2" t="s">
        <v>114</v>
      </c>
      <c r="C616" s="2" t="n">
        <v>1847</v>
      </c>
      <c r="D616" s="2" t="s">
        <v>16</v>
      </c>
      <c r="E616" s="2" t="s">
        <v>1737</v>
      </c>
      <c r="F616" s="2" t="n">
        <v>1</v>
      </c>
      <c r="G616" s="2" t="s">
        <v>18</v>
      </c>
      <c r="H616" s="2" t="s">
        <v>78</v>
      </c>
      <c r="I616" s="2" t="s">
        <v>1083</v>
      </c>
      <c r="J616" s="2" t="s">
        <v>86</v>
      </c>
      <c r="K616" s="2" t="n">
        <v>7000</v>
      </c>
      <c r="L616" s="2" t="n">
        <v>250</v>
      </c>
      <c r="M616" s="2" t="n">
        <v>250</v>
      </c>
      <c r="N616" s="2" t="s">
        <v>2440</v>
      </c>
    </row>
    <row r="617" customFormat="false" ht="15" hidden="false" customHeight="false" outlineLevel="0" collapsed="false">
      <c r="A617" s="3" t="s">
        <v>199</v>
      </c>
      <c r="B617" s="3" t="s">
        <v>2441</v>
      </c>
      <c r="C617" s="3" t="n">
        <v>1848</v>
      </c>
      <c r="D617" s="3" t="s">
        <v>49</v>
      </c>
      <c r="E617" s="3" t="s">
        <v>246</v>
      </c>
      <c r="F617" s="3" t="n">
        <v>1</v>
      </c>
      <c r="G617" s="3" t="s">
        <v>18</v>
      </c>
      <c r="H617" s="3" t="s">
        <v>19</v>
      </c>
      <c r="I617" s="3" t="s">
        <v>2442</v>
      </c>
      <c r="J617" s="3" t="s">
        <v>73</v>
      </c>
      <c r="K617" s="3" t="n">
        <v>6160</v>
      </c>
      <c r="L617" s="3" t="n">
        <v>250</v>
      </c>
      <c r="M617" s="3" t="n">
        <v>250</v>
      </c>
      <c r="N617" s="3" t="s">
        <v>2443</v>
      </c>
    </row>
    <row r="618" customFormat="false" ht="15" hidden="false" customHeight="false" outlineLevel="0" collapsed="false">
      <c r="A618" s="2" t="s">
        <v>2444</v>
      </c>
      <c r="B618" s="2" t="s">
        <v>1236</v>
      </c>
      <c r="C618" s="2" t="n">
        <v>1849</v>
      </c>
      <c r="D618" s="2" t="s">
        <v>49</v>
      </c>
      <c r="E618" s="2" t="s">
        <v>1097</v>
      </c>
      <c r="F618" s="2" t="n">
        <v>2</v>
      </c>
      <c r="G618" s="2" t="s">
        <v>27</v>
      </c>
      <c r="H618" s="2" t="s">
        <v>59</v>
      </c>
      <c r="I618" s="2" t="s">
        <v>2445</v>
      </c>
      <c r="J618" s="2" t="s">
        <v>61</v>
      </c>
      <c r="K618" s="2" t="n">
        <v>5290</v>
      </c>
      <c r="L618" s="2" t="n">
        <v>250</v>
      </c>
      <c r="M618" s="2" t="n">
        <v>500</v>
      </c>
      <c r="N618" s="2" t="s">
        <v>2446</v>
      </c>
    </row>
    <row r="619" customFormat="false" ht="15" hidden="false" customHeight="false" outlineLevel="0" collapsed="false">
      <c r="A619" s="3" t="s">
        <v>1096</v>
      </c>
      <c r="B619" s="3" t="s">
        <v>2147</v>
      </c>
      <c r="C619" s="3" t="n">
        <v>1850</v>
      </c>
      <c r="D619" s="3" t="s">
        <v>16</v>
      </c>
      <c r="E619" s="3" t="s">
        <v>671</v>
      </c>
      <c r="F619" s="3" t="n">
        <v>2</v>
      </c>
      <c r="G619" s="3" t="s">
        <v>18</v>
      </c>
      <c r="H619" s="3" t="s">
        <v>19</v>
      </c>
      <c r="I619" s="3" t="s">
        <v>2447</v>
      </c>
      <c r="J619" s="3" t="s">
        <v>21</v>
      </c>
      <c r="K619" s="3" t="n">
        <v>6725</v>
      </c>
      <c r="L619" s="3" t="n">
        <v>250</v>
      </c>
      <c r="M619" s="3" t="n">
        <v>500</v>
      </c>
      <c r="N619" s="3" t="s">
        <v>2448</v>
      </c>
    </row>
    <row r="620" customFormat="false" ht="15" hidden="false" customHeight="false" outlineLevel="0" collapsed="false">
      <c r="A620" s="2" t="s">
        <v>1867</v>
      </c>
      <c r="B620" s="2" t="s">
        <v>1074</v>
      </c>
      <c r="C620" s="2" t="n">
        <v>1851</v>
      </c>
      <c r="D620" s="2" t="s">
        <v>25</v>
      </c>
      <c r="E620" s="2" t="s">
        <v>2449</v>
      </c>
      <c r="F620" s="2" t="n">
        <v>3</v>
      </c>
      <c r="G620" s="2" t="s">
        <v>97</v>
      </c>
      <c r="H620" s="2" t="s">
        <v>43</v>
      </c>
      <c r="I620" s="2" t="s">
        <v>2450</v>
      </c>
      <c r="J620" s="2" t="s">
        <v>45</v>
      </c>
      <c r="K620" s="2" t="n">
        <v>3350</v>
      </c>
      <c r="L620" s="2" t="n">
        <v>800</v>
      </c>
      <c r="M620" s="2" t="n">
        <v>2400</v>
      </c>
      <c r="N620" s="2" t="s">
        <v>2451</v>
      </c>
    </row>
    <row r="621" customFormat="false" ht="15" hidden="false" customHeight="false" outlineLevel="0" collapsed="false">
      <c r="A621" s="3" t="s">
        <v>1678</v>
      </c>
      <c r="B621" s="3" t="s">
        <v>2452</v>
      </c>
      <c r="C621" s="3" t="n">
        <v>1852</v>
      </c>
      <c r="D621" s="3" t="s">
        <v>49</v>
      </c>
      <c r="E621" s="3" t="s">
        <v>811</v>
      </c>
      <c r="F621" s="3" t="n">
        <v>2</v>
      </c>
      <c r="G621" s="3" t="s">
        <v>18</v>
      </c>
      <c r="H621" s="3" t="s">
        <v>19</v>
      </c>
      <c r="I621" s="3" t="s">
        <v>2453</v>
      </c>
      <c r="J621" s="3" t="s">
        <v>73</v>
      </c>
      <c r="K621" s="3" t="n">
        <v>6160</v>
      </c>
      <c r="L621" s="3" t="n">
        <v>250</v>
      </c>
      <c r="M621" s="3" t="n">
        <v>500</v>
      </c>
      <c r="N621" s="3" t="s">
        <v>2454</v>
      </c>
    </row>
    <row r="622" customFormat="false" ht="15" hidden="false" customHeight="false" outlineLevel="0" collapsed="false">
      <c r="A622" s="2" t="s">
        <v>2038</v>
      </c>
      <c r="B622" s="2" t="s">
        <v>353</v>
      </c>
      <c r="C622" s="2" t="n">
        <v>1853</v>
      </c>
      <c r="D622" s="2" t="s">
        <v>49</v>
      </c>
      <c r="E622" s="2" t="s">
        <v>306</v>
      </c>
      <c r="F622" s="2" t="n">
        <v>3</v>
      </c>
      <c r="G622" s="2" t="s">
        <v>18</v>
      </c>
      <c r="H622" s="2" t="s">
        <v>28</v>
      </c>
      <c r="I622" s="2" t="s">
        <v>2455</v>
      </c>
      <c r="J622" s="2" t="s">
        <v>30</v>
      </c>
      <c r="K622" s="2" t="n">
        <v>2600</v>
      </c>
      <c r="L622" s="2" t="n">
        <v>250</v>
      </c>
      <c r="M622" s="2" t="n">
        <v>750</v>
      </c>
      <c r="N622" s="2" t="s">
        <v>2456</v>
      </c>
    </row>
    <row r="623" customFormat="false" ht="15" hidden="false" customHeight="false" outlineLevel="0" collapsed="false">
      <c r="A623" s="3" t="s">
        <v>1029</v>
      </c>
      <c r="B623" s="3" t="s">
        <v>2457</v>
      </c>
      <c r="C623" s="3" t="n">
        <v>1854</v>
      </c>
      <c r="D623" s="3" t="s">
        <v>49</v>
      </c>
      <c r="E623" s="3" t="s">
        <v>1407</v>
      </c>
      <c r="F623" s="3" t="n">
        <v>3</v>
      </c>
      <c r="G623" s="3" t="s">
        <v>18</v>
      </c>
      <c r="H623" s="3" t="s">
        <v>28</v>
      </c>
      <c r="I623" s="3" t="s">
        <v>2458</v>
      </c>
      <c r="J623" s="3" t="s">
        <v>30</v>
      </c>
      <c r="K623" s="3" t="n">
        <v>2600</v>
      </c>
      <c r="L623" s="3" t="n">
        <v>250</v>
      </c>
      <c r="M623" s="3" t="n">
        <v>750</v>
      </c>
      <c r="N623" s="3" t="s">
        <v>2459</v>
      </c>
    </row>
    <row r="624" customFormat="false" ht="15" hidden="false" customHeight="false" outlineLevel="0" collapsed="false">
      <c r="A624" s="2" t="s">
        <v>2460</v>
      </c>
      <c r="B624" s="2" t="s">
        <v>2461</v>
      </c>
      <c r="C624" s="2" t="n">
        <v>1855</v>
      </c>
      <c r="D624" s="2" t="s">
        <v>25</v>
      </c>
      <c r="E624" s="2" t="s">
        <v>1534</v>
      </c>
      <c r="F624" s="2" t="n">
        <v>1</v>
      </c>
      <c r="G624" s="2" t="s">
        <v>27</v>
      </c>
      <c r="H624" s="2" t="s">
        <v>59</v>
      </c>
      <c r="I624" s="2" t="s">
        <v>2462</v>
      </c>
      <c r="J624" s="2" t="s">
        <v>99</v>
      </c>
      <c r="K624" s="2" t="n">
        <v>5000</v>
      </c>
      <c r="L624" s="2" t="n">
        <v>800</v>
      </c>
      <c r="M624" s="2" t="n">
        <v>800</v>
      </c>
      <c r="N624" s="2" t="s">
        <v>2463</v>
      </c>
    </row>
    <row r="625" customFormat="false" ht="15" hidden="false" customHeight="false" outlineLevel="0" collapsed="false">
      <c r="A625" s="3" t="s">
        <v>2464</v>
      </c>
      <c r="B625" s="3" t="s">
        <v>2465</v>
      </c>
      <c r="C625" s="3" t="n">
        <v>1856</v>
      </c>
      <c r="D625" s="3" t="s">
        <v>25</v>
      </c>
      <c r="E625" s="3" t="s">
        <v>326</v>
      </c>
      <c r="F625" s="3" t="n">
        <v>2</v>
      </c>
      <c r="G625" s="3" t="s">
        <v>97</v>
      </c>
      <c r="H625" s="3" t="s">
        <v>19</v>
      </c>
      <c r="I625" s="3" t="s">
        <v>2466</v>
      </c>
      <c r="J625" s="3" t="s">
        <v>21</v>
      </c>
      <c r="K625" s="3" t="n">
        <v>6725</v>
      </c>
      <c r="L625" s="3" t="n">
        <v>800</v>
      </c>
      <c r="M625" s="3" t="n">
        <v>1600</v>
      </c>
      <c r="N625" s="3" t="s">
        <v>2467</v>
      </c>
    </row>
    <row r="626" customFormat="false" ht="15" hidden="false" customHeight="false" outlineLevel="0" collapsed="false">
      <c r="A626" s="2" t="s">
        <v>2468</v>
      </c>
      <c r="B626" s="2" t="s">
        <v>1827</v>
      </c>
      <c r="C626" s="2" t="n">
        <v>1857</v>
      </c>
      <c r="D626" s="2" t="s">
        <v>25</v>
      </c>
      <c r="E626" s="2" t="s">
        <v>1287</v>
      </c>
      <c r="F626" s="2" t="n">
        <v>1</v>
      </c>
      <c r="G626" s="2" t="s">
        <v>18</v>
      </c>
      <c r="H626" s="2" t="s">
        <v>59</v>
      </c>
      <c r="I626" s="2" t="s">
        <v>2469</v>
      </c>
      <c r="J626" s="2" t="s">
        <v>292</v>
      </c>
      <c r="K626" s="2" t="n">
        <v>5600</v>
      </c>
      <c r="L626" s="2" t="n">
        <v>800</v>
      </c>
      <c r="M626" s="2" t="n">
        <v>800</v>
      </c>
      <c r="N626" s="2" t="s">
        <v>2470</v>
      </c>
    </row>
    <row r="627" customFormat="false" ht="15" hidden="false" customHeight="false" outlineLevel="0" collapsed="false">
      <c r="A627" s="3" t="s">
        <v>2471</v>
      </c>
      <c r="B627" s="3" t="s">
        <v>2472</v>
      </c>
      <c r="C627" s="3" t="n">
        <v>1858</v>
      </c>
      <c r="D627" s="3" t="s">
        <v>108</v>
      </c>
      <c r="E627" s="3" t="s">
        <v>435</v>
      </c>
      <c r="F627" s="3" t="n">
        <v>3</v>
      </c>
      <c r="G627" s="3" t="s">
        <v>18</v>
      </c>
      <c r="H627" s="3" t="s">
        <v>121</v>
      </c>
      <c r="I627" s="3" t="s">
        <v>2473</v>
      </c>
      <c r="J627" s="3" t="s">
        <v>123</v>
      </c>
      <c r="K627" s="3" t="n">
        <v>800</v>
      </c>
      <c r="L627" s="3" t="n">
        <v>1200</v>
      </c>
      <c r="M627" s="3" t="n">
        <v>3600</v>
      </c>
      <c r="N627" s="3" t="s">
        <v>2474</v>
      </c>
    </row>
    <row r="628" customFormat="false" ht="15" hidden="false" customHeight="false" outlineLevel="0" collapsed="false">
      <c r="A628" s="2" t="s">
        <v>2475</v>
      </c>
      <c r="B628" s="2" t="s">
        <v>2476</v>
      </c>
      <c r="C628" s="2" t="n">
        <v>1859</v>
      </c>
      <c r="D628" s="2" t="s">
        <v>147</v>
      </c>
      <c r="E628" s="2" t="s">
        <v>1171</v>
      </c>
      <c r="F628" s="2" t="n">
        <v>2</v>
      </c>
      <c r="G628" s="2" t="s">
        <v>51</v>
      </c>
      <c r="H628" s="2" t="s">
        <v>43</v>
      </c>
      <c r="I628" s="2" t="s">
        <v>2477</v>
      </c>
      <c r="J628" s="2" t="s">
        <v>45</v>
      </c>
      <c r="K628" s="2" t="n">
        <v>3350</v>
      </c>
      <c r="L628" s="2" t="n">
        <v>600</v>
      </c>
      <c r="M628" s="2" t="n">
        <v>1200</v>
      </c>
      <c r="N628" s="2" t="s">
        <v>2478</v>
      </c>
    </row>
    <row r="629" customFormat="false" ht="15" hidden="false" customHeight="false" outlineLevel="0" collapsed="false">
      <c r="A629" s="3" t="s">
        <v>2429</v>
      </c>
      <c r="B629" s="3" t="s">
        <v>2311</v>
      </c>
      <c r="C629" s="3" t="n">
        <v>1860</v>
      </c>
      <c r="D629" s="3" t="s">
        <v>16</v>
      </c>
      <c r="E629" s="3" t="s">
        <v>2202</v>
      </c>
      <c r="F629" s="3" t="n">
        <v>2</v>
      </c>
      <c r="G629" s="3" t="s">
        <v>51</v>
      </c>
      <c r="H629" s="3" t="s">
        <v>19</v>
      </c>
      <c r="I629" s="3" t="s">
        <v>2479</v>
      </c>
      <c r="J629" s="3" t="s">
        <v>73</v>
      </c>
      <c r="K629" s="3" t="n">
        <v>6160</v>
      </c>
      <c r="L629" s="3" t="n">
        <v>250</v>
      </c>
      <c r="M629" s="3" t="n">
        <v>500</v>
      </c>
      <c r="N629" s="3" t="s">
        <v>2480</v>
      </c>
    </row>
    <row r="630" customFormat="false" ht="15" hidden="false" customHeight="false" outlineLevel="0" collapsed="false">
      <c r="A630" s="2" t="s">
        <v>2481</v>
      </c>
      <c r="B630" s="2" t="s">
        <v>2482</v>
      </c>
      <c r="C630" s="2" t="n">
        <v>1861</v>
      </c>
      <c r="D630" s="2" t="s">
        <v>25</v>
      </c>
      <c r="E630" s="2" t="s">
        <v>479</v>
      </c>
      <c r="F630" s="2" t="n">
        <v>3</v>
      </c>
      <c r="G630" s="2" t="s">
        <v>18</v>
      </c>
      <c r="H630" s="2" t="s">
        <v>52</v>
      </c>
      <c r="I630" s="2" t="s">
        <v>2483</v>
      </c>
      <c r="J630" s="2" t="s">
        <v>182</v>
      </c>
      <c r="K630" s="2" t="n">
        <v>4000</v>
      </c>
      <c r="L630" s="2" t="n">
        <v>800</v>
      </c>
      <c r="M630" s="2" t="n">
        <v>2400</v>
      </c>
      <c r="N630" s="2" t="s">
        <v>2484</v>
      </c>
    </row>
    <row r="631" customFormat="false" ht="15" hidden="false" customHeight="false" outlineLevel="0" collapsed="false">
      <c r="A631" s="3" t="s">
        <v>2485</v>
      </c>
      <c r="B631" s="3" t="s">
        <v>2253</v>
      </c>
      <c r="C631" s="3" t="n">
        <v>1862</v>
      </c>
      <c r="D631" s="3" t="s">
        <v>108</v>
      </c>
      <c r="E631" s="3" t="s">
        <v>1206</v>
      </c>
      <c r="F631" s="3" t="n">
        <v>3</v>
      </c>
      <c r="G631" s="3" t="s">
        <v>18</v>
      </c>
      <c r="H631" s="3" t="s">
        <v>36</v>
      </c>
      <c r="I631" s="3" t="s">
        <v>2486</v>
      </c>
      <c r="J631" s="3" t="s">
        <v>38</v>
      </c>
      <c r="K631" s="3" t="n">
        <v>2300</v>
      </c>
      <c r="L631" s="3" t="n">
        <v>1200</v>
      </c>
      <c r="M631" s="3" t="n">
        <v>3600</v>
      </c>
      <c r="N631" s="3" t="s">
        <v>2487</v>
      </c>
    </row>
    <row r="632" customFormat="false" ht="15" hidden="false" customHeight="false" outlineLevel="0" collapsed="false">
      <c r="A632" s="2" t="s">
        <v>2488</v>
      </c>
      <c r="B632" s="2" t="s">
        <v>2489</v>
      </c>
      <c r="C632" s="2" t="n">
        <v>1863</v>
      </c>
      <c r="D632" s="2" t="s">
        <v>25</v>
      </c>
      <c r="E632" s="2" t="s">
        <v>58</v>
      </c>
      <c r="F632" s="2" t="n">
        <v>2</v>
      </c>
      <c r="G632" s="2" t="s">
        <v>51</v>
      </c>
      <c r="H632" s="2" t="s">
        <v>36</v>
      </c>
      <c r="I632" s="2" t="s">
        <v>2490</v>
      </c>
      <c r="J632" s="2" t="s">
        <v>38</v>
      </c>
      <c r="K632" s="2" t="n">
        <v>2300</v>
      </c>
      <c r="L632" s="2" t="n">
        <v>800</v>
      </c>
      <c r="M632" s="2" t="n">
        <v>1600</v>
      </c>
      <c r="N632" s="2" t="s">
        <v>2491</v>
      </c>
    </row>
    <row r="633" customFormat="false" ht="15" hidden="false" customHeight="false" outlineLevel="0" collapsed="false">
      <c r="A633" s="3" t="s">
        <v>2492</v>
      </c>
      <c r="B633" s="3" t="s">
        <v>1144</v>
      </c>
      <c r="C633" s="3" t="n">
        <v>1864</v>
      </c>
      <c r="D633" s="3" t="s">
        <v>25</v>
      </c>
      <c r="E633" s="3" t="s">
        <v>469</v>
      </c>
      <c r="F633" s="3" t="n">
        <v>2</v>
      </c>
      <c r="G633" s="3" t="s">
        <v>18</v>
      </c>
      <c r="H633" s="3" t="s">
        <v>36</v>
      </c>
      <c r="I633" s="3" t="s">
        <v>2493</v>
      </c>
      <c r="J633" s="3" t="s">
        <v>170</v>
      </c>
      <c r="K633" s="3" t="n">
        <v>2500</v>
      </c>
      <c r="L633" s="3" t="n">
        <v>800</v>
      </c>
      <c r="M633" s="3" t="n">
        <v>1600</v>
      </c>
      <c r="N633" s="3" t="s">
        <v>2494</v>
      </c>
    </row>
    <row r="634" customFormat="false" ht="15" hidden="false" customHeight="false" outlineLevel="0" collapsed="false">
      <c r="A634" s="2" t="s">
        <v>2495</v>
      </c>
      <c r="B634" s="2" t="s">
        <v>1240</v>
      </c>
      <c r="C634" s="2" t="n">
        <v>1865</v>
      </c>
      <c r="D634" s="2" t="s">
        <v>25</v>
      </c>
      <c r="E634" s="2" t="s">
        <v>26</v>
      </c>
      <c r="F634" s="2" t="n">
        <v>3</v>
      </c>
      <c r="G634" s="2" t="s">
        <v>97</v>
      </c>
      <c r="H634" s="2" t="s">
        <v>59</v>
      </c>
      <c r="I634" s="2" t="s">
        <v>2496</v>
      </c>
      <c r="J634" s="2" t="s">
        <v>292</v>
      </c>
      <c r="K634" s="2" t="n">
        <v>5600</v>
      </c>
      <c r="L634" s="2" t="n">
        <v>800</v>
      </c>
      <c r="M634" s="2" t="n">
        <v>2400</v>
      </c>
      <c r="N634" s="2" t="s">
        <v>2497</v>
      </c>
    </row>
    <row r="635" customFormat="false" ht="15" hidden="false" customHeight="false" outlineLevel="0" collapsed="false">
      <c r="A635" s="3" t="s">
        <v>2498</v>
      </c>
      <c r="B635" s="3" t="s">
        <v>630</v>
      </c>
      <c r="C635" s="3" t="n">
        <v>1866</v>
      </c>
      <c r="D635" s="3" t="s">
        <v>147</v>
      </c>
      <c r="E635" s="3" t="s">
        <v>902</v>
      </c>
      <c r="F635" s="3" t="n">
        <v>2</v>
      </c>
      <c r="G635" s="3" t="s">
        <v>51</v>
      </c>
      <c r="H635" s="3" t="s">
        <v>28</v>
      </c>
      <c r="I635" s="3" t="s">
        <v>2499</v>
      </c>
      <c r="J635" s="3" t="s">
        <v>30</v>
      </c>
      <c r="K635" s="3" t="n">
        <v>2600</v>
      </c>
      <c r="L635" s="3" t="n">
        <v>600</v>
      </c>
      <c r="M635" s="3" t="n">
        <v>1200</v>
      </c>
      <c r="N635" s="3" t="s">
        <v>2500</v>
      </c>
    </row>
    <row r="636" customFormat="false" ht="15" hidden="false" customHeight="false" outlineLevel="0" collapsed="false">
      <c r="A636" s="2" t="s">
        <v>1926</v>
      </c>
      <c r="B636" s="2" t="s">
        <v>1585</v>
      </c>
      <c r="C636" s="2" t="n">
        <v>1867</v>
      </c>
      <c r="D636" s="2" t="s">
        <v>16</v>
      </c>
      <c r="E636" s="2" t="s">
        <v>290</v>
      </c>
      <c r="F636" s="2" t="n">
        <v>3</v>
      </c>
      <c r="G636" s="2" t="s">
        <v>27</v>
      </c>
      <c r="H636" s="2" t="s">
        <v>59</v>
      </c>
      <c r="I636" s="2" t="s">
        <v>2501</v>
      </c>
      <c r="J636" s="2" t="s">
        <v>292</v>
      </c>
      <c r="K636" s="2" t="n">
        <v>5600</v>
      </c>
      <c r="L636" s="2" t="n">
        <v>250</v>
      </c>
      <c r="M636" s="2" t="n">
        <v>750</v>
      </c>
      <c r="N636" s="2" t="s">
        <v>2502</v>
      </c>
    </row>
    <row r="637" customFormat="false" ht="15" hidden="false" customHeight="false" outlineLevel="0" collapsed="false">
      <c r="A637" s="3" t="s">
        <v>2503</v>
      </c>
      <c r="B637" s="3" t="s">
        <v>2504</v>
      </c>
      <c r="C637" s="3" t="n">
        <v>1868</v>
      </c>
      <c r="D637" s="3" t="s">
        <v>49</v>
      </c>
      <c r="E637" s="3" t="s">
        <v>924</v>
      </c>
      <c r="F637" s="3" t="n">
        <v>2</v>
      </c>
      <c r="G637" s="3" t="s">
        <v>97</v>
      </c>
      <c r="H637" s="3" t="s">
        <v>121</v>
      </c>
      <c r="I637" s="3" t="s">
        <v>2505</v>
      </c>
      <c r="J637" s="3" t="s">
        <v>123</v>
      </c>
      <c r="K637" s="3" t="n">
        <v>800</v>
      </c>
      <c r="L637" s="3" t="n">
        <v>250</v>
      </c>
      <c r="M637" s="3" t="n">
        <v>500</v>
      </c>
      <c r="N637" s="3" t="s">
        <v>2506</v>
      </c>
    </row>
    <row r="638" customFormat="false" ht="15" hidden="false" customHeight="false" outlineLevel="0" collapsed="false">
      <c r="A638" s="2" t="s">
        <v>2507</v>
      </c>
      <c r="B638" s="2" t="s">
        <v>167</v>
      </c>
      <c r="C638" s="2" t="n">
        <v>1869</v>
      </c>
      <c r="D638" s="2" t="s">
        <v>34</v>
      </c>
      <c r="E638" s="2" t="s">
        <v>1711</v>
      </c>
      <c r="F638" s="2" t="n">
        <v>1</v>
      </c>
      <c r="G638" s="2" t="s">
        <v>27</v>
      </c>
      <c r="H638" s="2" t="s">
        <v>36</v>
      </c>
      <c r="I638" s="2" t="s">
        <v>2508</v>
      </c>
      <c r="J638" s="2" t="s">
        <v>38</v>
      </c>
      <c r="K638" s="2" t="n">
        <v>2300</v>
      </c>
      <c r="L638" s="2" t="n">
        <v>300</v>
      </c>
      <c r="M638" s="2" t="n">
        <v>300</v>
      </c>
      <c r="N638" s="2" t="s">
        <v>2509</v>
      </c>
    </row>
    <row r="639" customFormat="false" ht="15" hidden="false" customHeight="false" outlineLevel="0" collapsed="false">
      <c r="A639" s="3" t="s">
        <v>2510</v>
      </c>
      <c r="B639" s="3" t="s">
        <v>2511</v>
      </c>
      <c r="C639" s="3" t="n">
        <v>1870</v>
      </c>
      <c r="D639" s="3" t="s">
        <v>34</v>
      </c>
      <c r="E639" s="3" t="s">
        <v>349</v>
      </c>
      <c r="F639" s="3" t="n">
        <v>3</v>
      </c>
      <c r="G639" s="3" t="s">
        <v>18</v>
      </c>
      <c r="H639" s="3" t="s">
        <v>19</v>
      </c>
      <c r="I639" s="3" t="s">
        <v>2512</v>
      </c>
      <c r="J639" s="3" t="s">
        <v>21</v>
      </c>
      <c r="K639" s="3" t="n">
        <v>6725</v>
      </c>
      <c r="L639" s="3" t="n">
        <v>300</v>
      </c>
      <c r="M639" s="3" t="n">
        <v>900</v>
      </c>
      <c r="N639" s="3" t="s">
        <v>2513</v>
      </c>
    </row>
    <row r="640" customFormat="false" ht="15" hidden="false" customHeight="false" outlineLevel="0" collapsed="false">
      <c r="A640" s="2" t="s">
        <v>357</v>
      </c>
      <c r="B640" s="2" t="s">
        <v>2514</v>
      </c>
      <c r="C640" s="2" t="n">
        <v>1871</v>
      </c>
      <c r="D640" s="2" t="s">
        <v>49</v>
      </c>
      <c r="E640" s="2" t="s">
        <v>2515</v>
      </c>
      <c r="F640" s="2" t="n">
        <v>3</v>
      </c>
      <c r="G640" s="2" t="s">
        <v>51</v>
      </c>
      <c r="H640" s="2" t="s">
        <v>43</v>
      </c>
      <c r="I640" s="2" t="s">
        <v>2516</v>
      </c>
      <c r="J640" s="2" t="s">
        <v>111</v>
      </c>
      <c r="K640" s="2" t="n">
        <v>3000</v>
      </c>
      <c r="L640" s="2" t="n">
        <v>250</v>
      </c>
      <c r="M640" s="2" t="n">
        <v>750</v>
      </c>
      <c r="N640" s="2" t="s">
        <v>2517</v>
      </c>
    </row>
    <row r="641" customFormat="false" ht="15" hidden="false" customHeight="false" outlineLevel="0" collapsed="false">
      <c r="A641" s="3" t="s">
        <v>2518</v>
      </c>
      <c r="B641" s="3" t="s">
        <v>2519</v>
      </c>
      <c r="C641" s="3" t="n">
        <v>1872</v>
      </c>
      <c r="D641" s="3" t="s">
        <v>34</v>
      </c>
      <c r="E641" s="3" t="s">
        <v>2097</v>
      </c>
      <c r="F641" s="3" t="n">
        <v>1</v>
      </c>
      <c r="G641" s="3" t="s">
        <v>51</v>
      </c>
      <c r="H641" s="3" t="s">
        <v>43</v>
      </c>
      <c r="I641" s="3" t="s">
        <v>2520</v>
      </c>
      <c r="J641" s="3" t="s">
        <v>67</v>
      </c>
      <c r="K641" s="3" t="n">
        <v>3220</v>
      </c>
      <c r="L641" s="3" t="n">
        <v>300</v>
      </c>
      <c r="M641" s="3" t="n">
        <v>300</v>
      </c>
      <c r="N641" s="3" t="s">
        <v>2521</v>
      </c>
    </row>
    <row r="642" customFormat="false" ht="15" hidden="false" customHeight="false" outlineLevel="0" collapsed="false">
      <c r="A642" s="2" t="s">
        <v>539</v>
      </c>
      <c r="B642" s="2" t="s">
        <v>487</v>
      </c>
      <c r="C642" s="2" t="n">
        <v>1873</v>
      </c>
      <c r="D642" s="2" t="s">
        <v>49</v>
      </c>
      <c r="E642" s="2" t="s">
        <v>349</v>
      </c>
      <c r="F642" s="2" t="n">
        <v>1</v>
      </c>
      <c r="G642" s="2" t="s">
        <v>27</v>
      </c>
      <c r="H642" s="2" t="s">
        <v>43</v>
      </c>
      <c r="I642" s="2" t="s">
        <v>2522</v>
      </c>
      <c r="J642" s="2" t="s">
        <v>111</v>
      </c>
      <c r="K642" s="2" t="n">
        <v>3000</v>
      </c>
      <c r="L642" s="2" t="n">
        <v>250</v>
      </c>
      <c r="M642" s="2" t="n">
        <v>250</v>
      </c>
      <c r="N642" s="2" t="s">
        <v>2523</v>
      </c>
    </row>
    <row r="643" customFormat="false" ht="15" hidden="false" customHeight="false" outlineLevel="0" collapsed="false">
      <c r="A643" s="3" t="s">
        <v>868</v>
      </c>
      <c r="B643" s="3" t="s">
        <v>1151</v>
      </c>
      <c r="C643" s="3" t="n">
        <v>1874</v>
      </c>
      <c r="D643" s="3" t="s">
        <v>108</v>
      </c>
      <c r="E643" s="3" t="s">
        <v>103</v>
      </c>
      <c r="F643" s="3" t="n">
        <v>3</v>
      </c>
      <c r="G643" s="3" t="s">
        <v>18</v>
      </c>
      <c r="H643" s="3" t="s">
        <v>43</v>
      </c>
      <c r="I643" s="3" t="s">
        <v>2524</v>
      </c>
      <c r="J643" s="3" t="s">
        <v>45</v>
      </c>
      <c r="K643" s="3" t="n">
        <v>3350</v>
      </c>
      <c r="L643" s="3" t="n">
        <v>1200</v>
      </c>
      <c r="M643" s="3" t="n">
        <v>3600</v>
      </c>
      <c r="N643" s="3" t="s">
        <v>2525</v>
      </c>
    </row>
    <row r="644" customFormat="false" ht="15" hidden="false" customHeight="false" outlineLevel="0" collapsed="false">
      <c r="A644" s="2" t="s">
        <v>2526</v>
      </c>
      <c r="B644" s="2" t="s">
        <v>1003</v>
      </c>
      <c r="C644" s="2" t="n">
        <v>1875</v>
      </c>
      <c r="D644" s="2" t="s">
        <v>108</v>
      </c>
      <c r="E644" s="2" t="s">
        <v>1796</v>
      </c>
      <c r="F644" s="2" t="n">
        <v>1</v>
      </c>
      <c r="G644" s="2" t="s">
        <v>18</v>
      </c>
      <c r="H644" s="2" t="s">
        <v>78</v>
      </c>
      <c r="I644" s="2" t="s">
        <v>2527</v>
      </c>
      <c r="J644" s="2" t="s">
        <v>408</v>
      </c>
      <c r="K644" s="2" t="n">
        <v>7310</v>
      </c>
      <c r="L644" s="2" t="n">
        <v>1200</v>
      </c>
      <c r="M644" s="2" t="n">
        <v>1200</v>
      </c>
      <c r="N644" s="2" t="s">
        <v>2528</v>
      </c>
    </row>
    <row r="645" customFormat="false" ht="15" hidden="false" customHeight="false" outlineLevel="0" collapsed="false">
      <c r="A645" s="3" t="s">
        <v>1180</v>
      </c>
      <c r="B645" s="3" t="s">
        <v>891</v>
      </c>
      <c r="C645" s="3" t="n">
        <v>1876</v>
      </c>
      <c r="D645" s="3" t="s">
        <v>49</v>
      </c>
      <c r="E645" s="3" t="s">
        <v>829</v>
      </c>
      <c r="F645" s="3" t="n">
        <v>2</v>
      </c>
      <c r="G645" s="3" t="s">
        <v>51</v>
      </c>
      <c r="H645" s="3" t="s">
        <v>121</v>
      </c>
      <c r="I645" s="3" t="s">
        <v>2529</v>
      </c>
      <c r="J645" s="3" t="s">
        <v>123</v>
      </c>
      <c r="K645" s="3" t="n">
        <v>800</v>
      </c>
      <c r="L645" s="3" t="n">
        <v>250</v>
      </c>
      <c r="M645" s="3" t="n">
        <v>500</v>
      </c>
      <c r="N645" s="3" t="s">
        <v>2530</v>
      </c>
    </row>
    <row r="646" customFormat="false" ht="15" hidden="false" customHeight="false" outlineLevel="0" collapsed="false">
      <c r="A646" s="2" t="s">
        <v>2531</v>
      </c>
      <c r="B646" s="2" t="s">
        <v>2532</v>
      </c>
      <c r="C646" s="2" t="n">
        <v>1877</v>
      </c>
      <c r="D646" s="2" t="s">
        <v>25</v>
      </c>
      <c r="E646" s="2" t="s">
        <v>1945</v>
      </c>
      <c r="F646" s="2" t="n">
        <v>3</v>
      </c>
      <c r="G646" s="2" t="s">
        <v>18</v>
      </c>
      <c r="H646" s="2" t="s">
        <v>43</v>
      </c>
      <c r="I646" s="2" t="s">
        <v>2533</v>
      </c>
      <c r="J646" s="2" t="s">
        <v>111</v>
      </c>
      <c r="K646" s="2" t="n">
        <v>3000</v>
      </c>
      <c r="L646" s="2" t="n">
        <v>800</v>
      </c>
      <c r="M646" s="2" t="n">
        <v>2400</v>
      </c>
      <c r="N646" s="2" t="s">
        <v>2534</v>
      </c>
    </row>
    <row r="647" customFormat="false" ht="15" hidden="false" customHeight="false" outlineLevel="0" collapsed="false">
      <c r="A647" s="3" t="s">
        <v>974</v>
      </c>
      <c r="B647" s="3" t="s">
        <v>2535</v>
      </c>
      <c r="C647" s="3" t="n">
        <v>1878</v>
      </c>
      <c r="D647" s="3" t="s">
        <v>108</v>
      </c>
      <c r="E647" s="3" t="s">
        <v>483</v>
      </c>
      <c r="F647" s="3" t="n">
        <v>2</v>
      </c>
      <c r="G647" s="3" t="s">
        <v>18</v>
      </c>
      <c r="H647" s="3" t="s">
        <v>36</v>
      </c>
      <c r="I647" s="3" t="s">
        <v>2536</v>
      </c>
      <c r="J647" s="3" t="s">
        <v>38</v>
      </c>
      <c r="K647" s="3" t="n">
        <v>2300</v>
      </c>
      <c r="L647" s="3" t="n">
        <v>1200</v>
      </c>
      <c r="M647" s="3" t="n">
        <v>2400</v>
      </c>
      <c r="N647" s="3" t="s">
        <v>2537</v>
      </c>
    </row>
    <row r="648" customFormat="false" ht="15" hidden="false" customHeight="false" outlineLevel="0" collapsed="false">
      <c r="A648" s="2" t="s">
        <v>1935</v>
      </c>
      <c r="B648" s="2" t="s">
        <v>2538</v>
      </c>
      <c r="C648" s="2" t="n">
        <v>1879</v>
      </c>
      <c r="D648" s="2" t="s">
        <v>25</v>
      </c>
      <c r="E648" s="2" t="s">
        <v>2018</v>
      </c>
      <c r="F648" s="2" t="n">
        <v>3</v>
      </c>
      <c r="G648" s="2" t="s">
        <v>27</v>
      </c>
      <c r="H648" s="2" t="s">
        <v>121</v>
      </c>
      <c r="I648" s="2" t="s">
        <v>2539</v>
      </c>
      <c r="J648" s="2" t="s">
        <v>123</v>
      </c>
      <c r="K648" s="2" t="n">
        <v>800</v>
      </c>
      <c r="L648" s="2" t="n">
        <v>800</v>
      </c>
      <c r="M648" s="2" t="n">
        <v>2400</v>
      </c>
      <c r="N648" s="2" t="s">
        <v>2540</v>
      </c>
    </row>
    <row r="649" customFormat="false" ht="15" hidden="false" customHeight="false" outlineLevel="0" collapsed="false">
      <c r="A649" s="3" t="s">
        <v>2541</v>
      </c>
      <c r="B649" s="3" t="s">
        <v>1885</v>
      </c>
      <c r="C649" s="3" t="n">
        <v>1880</v>
      </c>
      <c r="D649" s="3" t="s">
        <v>25</v>
      </c>
      <c r="E649" s="3" t="s">
        <v>1562</v>
      </c>
      <c r="F649" s="3" t="n">
        <v>2</v>
      </c>
      <c r="G649" s="3" t="s">
        <v>51</v>
      </c>
      <c r="H649" s="3" t="s">
        <v>19</v>
      </c>
      <c r="I649" s="3" t="s">
        <v>2542</v>
      </c>
      <c r="J649" s="3" t="s">
        <v>73</v>
      </c>
      <c r="K649" s="3" t="n">
        <v>6160</v>
      </c>
      <c r="L649" s="3" t="n">
        <v>800</v>
      </c>
      <c r="M649" s="3" t="n">
        <v>1600</v>
      </c>
      <c r="N649" s="3" t="s">
        <v>2543</v>
      </c>
    </row>
    <row r="650" customFormat="false" ht="15" hidden="false" customHeight="false" outlineLevel="0" collapsed="false">
      <c r="A650" s="2" t="s">
        <v>733</v>
      </c>
      <c r="B650" s="2" t="s">
        <v>1484</v>
      </c>
      <c r="C650" s="2" t="n">
        <v>1881</v>
      </c>
      <c r="D650" s="2" t="s">
        <v>108</v>
      </c>
      <c r="E650" s="2" t="s">
        <v>1796</v>
      </c>
      <c r="F650" s="2" t="n">
        <v>2</v>
      </c>
      <c r="G650" s="2" t="s">
        <v>18</v>
      </c>
      <c r="H650" s="2" t="s">
        <v>121</v>
      </c>
      <c r="I650" s="2" t="s">
        <v>2544</v>
      </c>
      <c r="J650" s="2" t="s">
        <v>123</v>
      </c>
      <c r="K650" s="2" t="n">
        <v>800</v>
      </c>
      <c r="L650" s="2" t="n">
        <v>1200</v>
      </c>
      <c r="M650" s="2" t="n">
        <v>2400</v>
      </c>
      <c r="N650" s="2" t="s">
        <v>2545</v>
      </c>
    </row>
    <row r="651" customFormat="false" ht="15" hidden="false" customHeight="false" outlineLevel="0" collapsed="false">
      <c r="A651" s="3" t="s">
        <v>2546</v>
      </c>
      <c r="B651" s="3" t="s">
        <v>2547</v>
      </c>
      <c r="C651" s="3" t="n">
        <v>1882</v>
      </c>
      <c r="D651" s="3" t="s">
        <v>49</v>
      </c>
      <c r="E651" s="3" t="s">
        <v>1990</v>
      </c>
      <c r="F651" s="3" t="n">
        <v>2</v>
      </c>
      <c r="G651" s="3" t="s">
        <v>51</v>
      </c>
      <c r="H651" s="3" t="s">
        <v>19</v>
      </c>
      <c r="I651" s="3" t="s">
        <v>2548</v>
      </c>
      <c r="J651" s="3" t="s">
        <v>73</v>
      </c>
      <c r="K651" s="3" t="n">
        <v>6160</v>
      </c>
      <c r="L651" s="3" t="n">
        <v>250</v>
      </c>
      <c r="M651" s="3" t="n">
        <v>500</v>
      </c>
      <c r="N651" s="3" t="s">
        <v>2549</v>
      </c>
    </row>
    <row r="652" customFormat="false" ht="15" hidden="false" customHeight="false" outlineLevel="0" collapsed="false">
      <c r="A652" s="2" t="s">
        <v>1728</v>
      </c>
      <c r="B652" s="2" t="s">
        <v>2550</v>
      </c>
      <c r="C652" s="2" t="n">
        <v>1883</v>
      </c>
      <c r="D652" s="2" t="s">
        <v>34</v>
      </c>
      <c r="E652" s="2" t="s">
        <v>798</v>
      </c>
      <c r="F652" s="2" t="n">
        <v>2</v>
      </c>
      <c r="G652" s="2" t="s">
        <v>97</v>
      </c>
      <c r="H652" s="2" t="s">
        <v>19</v>
      </c>
      <c r="I652" s="2" t="s">
        <v>2551</v>
      </c>
      <c r="J652" s="2" t="s">
        <v>21</v>
      </c>
      <c r="K652" s="2" t="n">
        <v>6725</v>
      </c>
      <c r="L652" s="2" t="n">
        <v>300</v>
      </c>
      <c r="M652" s="2" t="n">
        <v>600</v>
      </c>
      <c r="N652" s="2" t="s">
        <v>2552</v>
      </c>
    </row>
    <row r="653" customFormat="false" ht="15" hidden="false" customHeight="false" outlineLevel="0" collapsed="false">
      <c r="A653" s="3" t="s">
        <v>760</v>
      </c>
      <c r="B653" s="3" t="s">
        <v>2360</v>
      </c>
      <c r="C653" s="3" t="n">
        <v>1884</v>
      </c>
      <c r="D653" s="3" t="s">
        <v>25</v>
      </c>
      <c r="E653" s="3" t="s">
        <v>2553</v>
      </c>
      <c r="F653" s="3" t="n">
        <v>2</v>
      </c>
      <c r="G653" s="3" t="s">
        <v>51</v>
      </c>
      <c r="H653" s="3" t="s">
        <v>43</v>
      </c>
      <c r="I653" s="3" t="s">
        <v>2554</v>
      </c>
      <c r="J653" s="3" t="s">
        <v>111</v>
      </c>
      <c r="K653" s="3" t="n">
        <v>3000</v>
      </c>
      <c r="L653" s="3" t="n">
        <v>800</v>
      </c>
      <c r="M653" s="3" t="n">
        <v>1600</v>
      </c>
      <c r="N653" s="3" t="s">
        <v>2555</v>
      </c>
    </row>
    <row r="654" customFormat="false" ht="15" hidden="false" customHeight="false" outlineLevel="0" collapsed="false">
      <c r="A654" s="2" t="s">
        <v>719</v>
      </c>
      <c r="B654" s="2" t="s">
        <v>2556</v>
      </c>
      <c r="C654" s="2" t="n">
        <v>1885</v>
      </c>
      <c r="D654" s="2" t="s">
        <v>49</v>
      </c>
      <c r="E654" s="2" t="s">
        <v>17</v>
      </c>
      <c r="F654" s="2" t="n">
        <v>1</v>
      </c>
      <c r="G654" s="2" t="s">
        <v>51</v>
      </c>
      <c r="H654" s="2" t="s">
        <v>59</v>
      </c>
      <c r="I654" s="2" t="s">
        <v>2557</v>
      </c>
      <c r="J654" s="2" t="s">
        <v>292</v>
      </c>
      <c r="K654" s="2" t="n">
        <v>5600</v>
      </c>
      <c r="L654" s="2" t="n">
        <v>250</v>
      </c>
      <c r="M654" s="2" t="n">
        <v>250</v>
      </c>
      <c r="N654" s="2" t="s">
        <v>2558</v>
      </c>
    </row>
    <row r="655" customFormat="false" ht="15" hidden="false" customHeight="false" outlineLevel="0" collapsed="false">
      <c r="A655" s="3" t="s">
        <v>2395</v>
      </c>
      <c r="B655" s="3" t="s">
        <v>2559</v>
      </c>
      <c r="C655" s="3" t="n">
        <v>1886</v>
      </c>
      <c r="D655" s="3" t="s">
        <v>25</v>
      </c>
      <c r="E655" s="3" t="s">
        <v>1737</v>
      </c>
      <c r="F655" s="3" t="n">
        <v>1</v>
      </c>
      <c r="G655" s="3" t="s">
        <v>18</v>
      </c>
      <c r="H655" s="3" t="s">
        <v>121</v>
      </c>
      <c r="I655" s="3" t="s">
        <v>2560</v>
      </c>
      <c r="J655" s="3" t="s">
        <v>123</v>
      </c>
      <c r="K655" s="3" t="n">
        <v>800</v>
      </c>
      <c r="L655" s="3" t="n">
        <v>800</v>
      </c>
      <c r="M655" s="3" t="n">
        <v>800</v>
      </c>
      <c r="N655" s="3" t="s">
        <v>2561</v>
      </c>
    </row>
    <row r="656" customFormat="false" ht="15" hidden="false" customHeight="false" outlineLevel="0" collapsed="false">
      <c r="A656" s="2" t="s">
        <v>2562</v>
      </c>
      <c r="B656" s="2" t="s">
        <v>2563</v>
      </c>
      <c r="C656" s="2" t="n">
        <v>1887</v>
      </c>
      <c r="D656" s="2" t="s">
        <v>25</v>
      </c>
      <c r="E656" s="2" t="s">
        <v>1266</v>
      </c>
      <c r="F656" s="2" t="n">
        <v>3</v>
      </c>
      <c r="G656" s="2" t="s">
        <v>18</v>
      </c>
      <c r="H656" s="2" t="s">
        <v>78</v>
      </c>
      <c r="I656" s="2" t="s">
        <v>2564</v>
      </c>
      <c r="J656" s="2" t="s">
        <v>80</v>
      </c>
      <c r="K656" s="2" t="n">
        <v>7250</v>
      </c>
      <c r="L656" s="2" t="n">
        <v>800</v>
      </c>
      <c r="M656" s="2" t="n">
        <v>2400</v>
      </c>
      <c r="N656" s="2" t="s">
        <v>2565</v>
      </c>
    </row>
    <row r="657" customFormat="false" ht="15" hidden="false" customHeight="false" outlineLevel="0" collapsed="false">
      <c r="A657" s="3" t="s">
        <v>2566</v>
      </c>
      <c r="B657" s="3" t="s">
        <v>575</v>
      </c>
      <c r="C657" s="3" t="n">
        <v>1888</v>
      </c>
      <c r="D657" s="3" t="s">
        <v>25</v>
      </c>
      <c r="E657" s="3" t="s">
        <v>2567</v>
      </c>
      <c r="F657" s="3" t="n">
        <v>1</v>
      </c>
      <c r="G657" s="3" t="s">
        <v>18</v>
      </c>
      <c r="H657" s="3" t="s">
        <v>19</v>
      </c>
      <c r="I657" s="3" t="s">
        <v>2568</v>
      </c>
      <c r="J657" s="3" t="s">
        <v>21</v>
      </c>
      <c r="K657" s="3" t="n">
        <v>6725</v>
      </c>
      <c r="L657" s="3" t="n">
        <v>800</v>
      </c>
      <c r="M657" s="3" t="n">
        <v>800</v>
      </c>
      <c r="N657" s="3" t="s">
        <v>2569</v>
      </c>
    </row>
    <row r="658" customFormat="false" ht="15" hidden="false" customHeight="false" outlineLevel="0" collapsed="false">
      <c r="A658" s="2" t="s">
        <v>2570</v>
      </c>
      <c r="B658" s="2" t="s">
        <v>2571</v>
      </c>
      <c r="C658" s="2" t="n">
        <v>1889</v>
      </c>
      <c r="D658" s="2" t="s">
        <v>147</v>
      </c>
      <c r="E658" s="2" t="s">
        <v>1663</v>
      </c>
      <c r="F658" s="2" t="n">
        <v>3</v>
      </c>
      <c r="G658" s="2" t="s">
        <v>97</v>
      </c>
      <c r="H658" s="2" t="s">
        <v>28</v>
      </c>
      <c r="I658" s="2" t="s">
        <v>2572</v>
      </c>
      <c r="J658" s="2" t="s">
        <v>30</v>
      </c>
      <c r="K658" s="2" t="n">
        <v>2600</v>
      </c>
      <c r="L658" s="2" t="n">
        <v>600</v>
      </c>
      <c r="M658" s="2" t="n">
        <v>1800</v>
      </c>
      <c r="N658" s="2" t="s">
        <v>2573</v>
      </c>
    </row>
    <row r="659" customFormat="false" ht="15" hidden="false" customHeight="false" outlineLevel="0" collapsed="false">
      <c r="A659" s="3" t="s">
        <v>118</v>
      </c>
      <c r="B659" s="3" t="s">
        <v>2574</v>
      </c>
      <c r="C659" s="3" t="n">
        <v>1890</v>
      </c>
      <c r="D659" s="3" t="s">
        <v>108</v>
      </c>
      <c r="E659" s="3" t="s">
        <v>2575</v>
      </c>
      <c r="F659" s="3" t="n">
        <v>3</v>
      </c>
      <c r="G659" s="3" t="s">
        <v>51</v>
      </c>
      <c r="H659" s="3" t="s">
        <v>52</v>
      </c>
      <c r="I659" s="3" t="s">
        <v>2576</v>
      </c>
      <c r="J659" s="3" t="s">
        <v>54</v>
      </c>
      <c r="K659" s="3" t="n">
        <v>4217</v>
      </c>
      <c r="L659" s="3" t="n">
        <v>1200</v>
      </c>
      <c r="M659" s="3" t="n">
        <v>3600</v>
      </c>
      <c r="N659" s="3" t="s">
        <v>2577</v>
      </c>
    </row>
    <row r="660" customFormat="false" ht="15" hidden="false" customHeight="false" outlineLevel="0" collapsed="false">
      <c r="A660" s="2" t="s">
        <v>2578</v>
      </c>
      <c r="B660" s="2" t="s">
        <v>1891</v>
      </c>
      <c r="C660" s="2" t="n">
        <v>1891</v>
      </c>
      <c r="D660" s="2" t="s">
        <v>147</v>
      </c>
      <c r="E660" s="2" t="s">
        <v>2579</v>
      </c>
      <c r="F660" s="2" t="n">
        <v>2</v>
      </c>
      <c r="G660" s="2" t="s">
        <v>51</v>
      </c>
      <c r="H660" s="2" t="s">
        <v>78</v>
      </c>
      <c r="I660" s="2" t="s">
        <v>2580</v>
      </c>
      <c r="J660" s="2" t="s">
        <v>408</v>
      </c>
      <c r="K660" s="2" t="n">
        <v>7310</v>
      </c>
      <c r="L660" s="2" t="n">
        <v>600</v>
      </c>
      <c r="M660" s="2" t="n">
        <v>1200</v>
      </c>
      <c r="N660" s="2" t="s">
        <v>2581</v>
      </c>
    </row>
    <row r="661" customFormat="false" ht="15" hidden="false" customHeight="false" outlineLevel="0" collapsed="false">
      <c r="A661" s="3" t="s">
        <v>2582</v>
      </c>
      <c r="B661" s="3" t="s">
        <v>2583</v>
      </c>
      <c r="C661" s="3" t="n">
        <v>1892</v>
      </c>
      <c r="D661" s="3" t="s">
        <v>147</v>
      </c>
      <c r="E661" s="3" t="s">
        <v>2584</v>
      </c>
      <c r="F661" s="3" t="n">
        <v>2</v>
      </c>
      <c r="G661" s="3" t="s">
        <v>51</v>
      </c>
      <c r="H661" s="3" t="s">
        <v>36</v>
      </c>
      <c r="I661" s="3" t="s">
        <v>2585</v>
      </c>
      <c r="J661" s="3" t="s">
        <v>170</v>
      </c>
      <c r="K661" s="3" t="n">
        <v>2500</v>
      </c>
      <c r="L661" s="3" t="n">
        <v>600</v>
      </c>
      <c r="M661" s="3" t="n">
        <v>1200</v>
      </c>
      <c r="N661" s="3" t="s">
        <v>2586</v>
      </c>
    </row>
    <row r="662" customFormat="false" ht="15" hidden="false" customHeight="false" outlineLevel="0" collapsed="false">
      <c r="A662" s="2" t="s">
        <v>380</v>
      </c>
      <c r="B662" s="2" t="s">
        <v>1202</v>
      </c>
      <c r="C662" s="2" t="n">
        <v>1893</v>
      </c>
      <c r="D662" s="2" t="s">
        <v>147</v>
      </c>
      <c r="E662" s="2" t="s">
        <v>1262</v>
      </c>
      <c r="F662" s="2" t="n">
        <v>1</v>
      </c>
      <c r="G662" s="2" t="s">
        <v>27</v>
      </c>
      <c r="H662" s="2" t="s">
        <v>52</v>
      </c>
      <c r="I662" s="2" t="s">
        <v>2587</v>
      </c>
      <c r="J662" s="2" t="s">
        <v>54</v>
      </c>
      <c r="K662" s="2" t="n">
        <v>4217</v>
      </c>
      <c r="L662" s="2" t="n">
        <v>600</v>
      </c>
      <c r="M662" s="2" t="n">
        <v>600</v>
      </c>
      <c r="N662" s="2" t="s">
        <v>2588</v>
      </c>
    </row>
    <row r="663" customFormat="false" ht="15" hidden="false" customHeight="false" outlineLevel="0" collapsed="false">
      <c r="A663" s="3" t="s">
        <v>2589</v>
      </c>
      <c r="B663" s="3" t="s">
        <v>300</v>
      </c>
      <c r="C663" s="3" t="n">
        <v>1894</v>
      </c>
      <c r="D663" s="3" t="s">
        <v>108</v>
      </c>
      <c r="E663" s="3" t="s">
        <v>1774</v>
      </c>
      <c r="F663" s="3" t="n">
        <v>1</v>
      </c>
      <c r="G663" s="3" t="s">
        <v>27</v>
      </c>
      <c r="H663" s="3" t="s">
        <v>78</v>
      </c>
      <c r="I663" s="3" t="s">
        <v>2590</v>
      </c>
      <c r="J663" s="3" t="s">
        <v>408</v>
      </c>
      <c r="K663" s="3" t="n">
        <v>7310</v>
      </c>
      <c r="L663" s="3" t="n">
        <v>1200</v>
      </c>
      <c r="M663" s="3" t="n">
        <v>1200</v>
      </c>
      <c r="N663" s="3" t="s">
        <v>2591</v>
      </c>
    </row>
    <row r="664" customFormat="false" ht="15" hidden="false" customHeight="false" outlineLevel="0" collapsed="false">
      <c r="A664" s="2" t="s">
        <v>2592</v>
      </c>
      <c r="B664" s="2" t="s">
        <v>2593</v>
      </c>
      <c r="C664" s="2" t="n">
        <v>1895</v>
      </c>
      <c r="D664" s="2" t="s">
        <v>16</v>
      </c>
      <c r="E664" s="2" t="s">
        <v>479</v>
      </c>
      <c r="F664" s="2" t="n">
        <v>2</v>
      </c>
      <c r="G664" s="2" t="s">
        <v>51</v>
      </c>
      <c r="H664" s="2" t="s">
        <v>78</v>
      </c>
      <c r="I664" s="2" t="s">
        <v>2594</v>
      </c>
      <c r="J664" s="2" t="s">
        <v>408</v>
      </c>
      <c r="K664" s="2" t="n">
        <v>7310</v>
      </c>
      <c r="L664" s="2" t="n">
        <v>250</v>
      </c>
      <c r="M664" s="2" t="n">
        <v>500</v>
      </c>
      <c r="N664" s="2" t="s">
        <v>2595</v>
      </c>
    </row>
    <row r="665" customFormat="false" ht="15" hidden="false" customHeight="false" outlineLevel="0" collapsed="false">
      <c r="A665" s="3" t="s">
        <v>2596</v>
      </c>
      <c r="B665" s="3" t="s">
        <v>2597</v>
      </c>
      <c r="C665" s="3" t="n">
        <v>1896</v>
      </c>
      <c r="D665" s="3" t="s">
        <v>49</v>
      </c>
      <c r="E665" s="3" t="s">
        <v>2106</v>
      </c>
      <c r="F665" s="3" t="n">
        <v>2</v>
      </c>
      <c r="G665" s="3" t="s">
        <v>51</v>
      </c>
      <c r="H665" s="3" t="s">
        <v>43</v>
      </c>
      <c r="I665" s="3" t="s">
        <v>2598</v>
      </c>
      <c r="J665" s="3" t="s">
        <v>111</v>
      </c>
      <c r="K665" s="3" t="n">
        <v>3000</v>
      </c>
      <c r="L665" s="3" t="n">
        <v>250</v>
      </c>
      <c r="M665" s="3" t="n">
        <v>500</v>
      </c>
      <c r="N665" s="3" t="s">
        <v>2599</v>
      </c>
    </row>
    <row r="666" customFormat="false" ht="15" hidden="false" customHeight="false" outlineLevel="0" collapsed="false">
      <c r="A666" s="2" t="s">
        <v>1247</v>
      </c>
      <c r="B666" s="2" t="s">
        <v>2253</v>
      </c>
      <c r="C666" s="2" t="n">
        <v>1897</v>
      </c>
      <c r="D666" s="2" t="s">
        <v>108</v>
      </c>
      <c r="E666" s="2" t="s">
        <v>2600</v>
      </c>
      <c r="F666" s="2" t="n">
        <v>3</v>
      </c>
      <c r="G666" s="2" t="s">
        <v>97</v>
      </c>
      <c r="H666" s="2" t="s">
        <v>19</v>
      </c>
      <c r="I666" s="2" t="s">
        <v>2601</v>
      </c>
      <c r="J666" s="2" t="s">
        <v>73</v>
      </c>
      <c r="K666" s="2" t="n">
        <v>6160</v>
      </c>
      <c r="L666" s="2" t="n">
        <v>1200</v>
      </c>
      <c r="M666" s="2" t="n">
        <v>3600</v>
      </c>
      <c r="N666" s="2" t="s">
        <v>2602</v>
      </c>
    </row>
    <row r="667" customFormat="false" ht="15" hidden="false" customHeight="false" outlineLevel="0" collapsed="false">
      <c r="A667" s="3" t="s">
        <v>2603</v>
      </c>
      <c r="B667" s="3" t="s">
        <v>2604</v>
      </c>
      <c r="C667" s="3" t="n">
        <v>1898</v>
      </c>
      <c r="D667" s="3" t="s">
        <v>108</v>
      </c>
      <c r="E667" s="3" t="s">
        <v>1407</v>
      </c>
      <c r="F667" s="3" t="n">
        <v>3</v>
      </c>
      <c r="G667" s="3" t="s">
        <v>18</v>
      </c>
      <c r="H667" s="3" t="s">
        <v>52</v>
      </c>
      <c r="I667" s="3" t="s">
        <v>2605</v>
      </c>
      <c r="J667" s="3" t="s">
        <v>182</v>
      </c>
      <c r="K667" s="3" t="n">
        <v>4000</v>
      </c>
      <c r="L667" s="3" t="n">
        <v>1200</v>
      </c>
      <c r="M667" s="3" t="n">
        <v>3600</v>
      </c>
      <c r="N667" s="3" t="s">
        <v>2606</v>
      </c>
    </row>
    <row r="668" customFormat="false" ht="15" hidden="false" customHeight="false" outlineLevel="0" collapsed="false">
      <c r="A668" s="2" t="s">
        <v>2574</v>
      </c>
      <c r="B668" s="2" t="s">
        <v>1104</v>
      </c>
      <c r="C668" s="2" t="n">
        <v>1899</v>
      </c>
      <c r="D668" s="2" t="s">
        <v>16</v>
      </c>
      <c r="E668" s="2" t="s">
        <v>502</v>
      </c>
      <c r="F668" s="2" t="n">
        <v>1</v>
      </c>
      <c r="G668" s="2" t="s">
        <v>18</v>
      </c>
      <c r="H668" s="2" t="s">
        <v>19</v>
      </c>
      <c r="I668" s="2" t="s">
        <v>2607</v>
      </c>
      <c r="J668" s="2" t="s">
        <v>21</v>
      </c>
      <c r="K668" s="2" t="n">
        <v>6725</v>
      </c>
      <c r="L668" s="2" t="n">
        <v>250</v>
      </c>
      <c r="M668" s="2" t="n">
        <v>250</v>
      </c>
      <c r="N668" s="2" t="s">
        <v>2608</v>
      </c>
    </row>
    <row r="669" customFormat="false" ht="15" hidden="false" customHeight="false" outlineLevel="0" collapsed="false">
      <c r="A669" s="3" t="s">
        <v>700</v>
      </c>
      <c r="B669" s="3" t="s">
        <v>2609</v>
      </c>
      <c r="C669" s="3" t="n">
        <v>1900</v>
      </c>
      <c r="D669" s="3" t="s">
        <v>25</v>
      </c>
      <c r="E669" s="3" t="s">
        <v>1039</v>
      </c>
      <c r="F669" s="3" t="n">
        <v>1</v>
      </c>
      <c r="G669" s="3" t="s">
        <v>18</v>
      </c>
      <c r="H669" s="3" t="s">
        <v>78</v>
      </c>
      <c r="I669" s="3" t="s">
        <v>2610</v>
      </c>
      <c r="J669" s="3" t="s">
        <v>80</v>
      </c>
      <c r="K669" s="3" t="n">
        <v>7250</v>
      </c>
      <c r="L669" s="3" t="n">
        <v>800</v>
      </c>
      <c r="M669" s="3" t="n">
        <v>800</v>
      </c>
      <c r="N669" s="3" t="s">
        <v>2611</v>
      </c>
    </row>
    <row r="670" customFormat="false" ht="15" hidden="false" customHeight="false" outlineLevel="0" collapsed="false">
      <c r="A670" s="2" t="s">
        <v>2271</v>
      </c>
      <c r="B670" s="2" t="s">
        <v>2612</v>
      </c>
      <c r="C670" s="2" t="n">
        <v>1901</v>
      </c>
      <c r="D670" s="2" t="s">
        <v>49</v>
      </c>
      <c r="E670" s="2" t="s">
        <v>2111</v>
      </c>
      <c r="F670" s="2" t="n">
        <v>2</v>
      </c>
      <c r="G670" s="2" t="s">
        <v>51</v>
      </c>
      <c r="H670" s="2" t="s">
        <v>121</v>
      </c>
      <c r="I670" s="2" t="s">
        <v>2613</v>
      </c>
      <c r="J670" s="2" t="s">
        <v>317</v>
      </c>
      <c r="K670" s="2" t="n">
        <v>870</v>
      </c>
      <c r="L670" s="2" t="n">
        <v>250</v>
      </c>
      <c r="M670" s="2" t="n">
        <v>500</v>
      </c>
      <c r="N670" s="2" t="s">
        <v>2614</v>
      </c>
    </row>
    <row r="671" customFormat="false" ht="15" hidden="false" customHeight="false" outlineLevel="0" collapsed="false">
      <c r="A671" s="3" t="s">
        <v>414</v>
      </c>
      <c r="B671" s="3" t="s">
        <v>2615</v>
      </c>
      <c r="C671" s="3" t="n">
        <v>1902</v>
      </c>
      <c r="D671" s="3" t="s">
        <v>49</v>
      </c>
      <c r="E671" s="3" t="s">
        <v>753</v>
      </c>
      <c r="F671" s="3" t="n">
        <v>1</v>
      </c>
      <c r="G671" s="3" t="s">
        <v>51</v>
      </c>
      <c r="H671" s="3" t="s">
        <v>28</v>
      </c>
      <c r="I671" s="3" t="s">
        <v>2616</v>
      </c>
      <c r="J671" s="3" t="s">
        <v>30</v>
      </c>
      <c r="K671" s="3" t="n">
        <v>2600</v>
      </c>
      <c r="L671" s="3" t="n">
        <v>250</v>
      </c>
      <c r="M671" s="3" t="n">
        <v>250</v>
      </c>
      <c r="N671" s="3" t="s">
        <v>2617</v>
      </c>
    </row>
    <row r="672" customFormat="false" ht="15" hidden="false" customHeight="false" outlineLevel="0" collapsed="false">
      <c r="A672" s="2" t="s">
        <v>204</v>
      </c>
      <c r="B672" s="2" t="s">
        <v>1035</v>
      </c>
      <c r="C672" s="2" t="n">
        <v>1903</v>
      </c>
      <c r="D672" s="2" t="s">
        <v>16</v>
      </c>
      <c r="E672" s="2" t="s">
        <v>2618</v>
      </c>
      <c r="F672" s="2" t="n">
        <v>2</v>
      </c>
      <c r="G672" s="2" t="s">
        <v>51</v>
      </c>
      <c r="H672" s="2" t="s">
        <v>52</v>
      </c>
      <c r="I672" s="2" t="s">
        <v>2619</v>
      </c>
      <c r="J672" s="2" t="s">
        <v>54</v>
      </c>
      <c r="K672" s="2" t="n">
        <v>4217</v>
      </c>
      <c r="L672" s="2" t="n">
        <v>250</v>
      </c>
      <c r="M672" s="2" t="n">
        <v>500</v>
      </c>
      <c r="N672" s="2" t="s">
        <v>2620</v>
      </c>
    </row>
    <row r="673" customFormat="false" ht="15" hidden="false" customHeight="false" outlineLevel="0" collapsed="false">
      <c r="A673" s="3" t="s">
        <v>656</v>
      </c>
      <c r="B673" s="3" t="s">
        <v>2621</v>
      </c>
      <c r="C673" s="3" t="n">
        <v>1904</v>
      </c>
      <c r="D673" s="3" t="s">
        <v>108</v>
      </c>
      <c r="E673" s="3" t="s">
        <v>803</v>
      </c>
      <c r="F673" s="3" t="n">
        <v>3</v>
      </c>
      <c r="G673" s="3" t="s">
        <v>51</v>
      </c>
      <c r="H673" s="3" t="s">
        <v>43</v>
      </c>
      <c r="I673" s="3" t="s">
        <v>2622</v>
      </c>
      <c r="J673" s="3" t="s">
        <v>45</v>
      </c>
      <c r="K673" s="3" t="n">
        <v>3350</v>
      </c>
      <c r="L673" s="3" t="n">
        <v>1200</v>
      </c>
      <c r="M673" s="3" t="n">
        <v>3600</v>
      </c>
      <c r="N673" s="3" t="s">
        <v>2623</v>
      </c>
    </row>
    <row r="674" customFormat="false" ht="15" hidden="false" customHeight="false" outlineLevel="0" collapsed="false">
      <c r="A674" s="2" t="s">
        <v>2252</v>
      </c>
      <c r="B674" s="2" t="s">
        <v>2624</v>
      </c>
      <c r="C674" s="2" t="n">
        <v>1905</v>
      </c>
      <c r="D674" s="2" t="s">
        <v>108</v>
      </c>
      <c r="E674" s="2" t="s">
        <v>757</v>
      </c>
      <c r="F674" s="2" t="n">
        <v>2</v>
      </c>
      <c r="G674" s="2" t="s">
        <v>51</v>
      </c>
      <c r="H674" s="2" t="s">
        <v>28</v>
      </c>
      <c r="I674" s="2" t="s">
        <v>2625</v>
      </c>
      <c r="J674" s="2" t="s">
        <v>30</v>
      </c>
      <c r="K674" s="2" t="n">
        <v>2600</v>
      </c>
      <c r="L674" s="2" t="n">
        <v>1200</v>
      </c>
      <c r="M674" s="2" t="n">
        <v>2400</v>
      </c>
      <c r="N674" s="2" t="s">
        <v>2626</v>
      </c>
    </row>
    <row r="675" customFormat="false" ht="15" hidden="false" customHeight="false" outlineLevel="0" collapsed="false">
      <c r="A675" s="3" t="s">
        <v>2003</v>
      </c>
      <c r="B675" s="3" t="s">
        <v>210</v>
      </c>
      <c r="C675" s="3" t="n">
        <v>1906</v>
      </c>
      <c r="D675" s="3" t="s">
        <v>108</v>
      </c>
      <c r="E675" s="3" t="s">
        <v>1737</v>
      </c>
      <c r="F675" s="3" t="n">
        <v>1</v>
      </c>
      <c r="G675" s="3" t="s">
        <v>27</v>
      </c>
      <c r="H675" s="3" t="s">
        <v>43</v>
      </c>
      <c r="I675" s="3" t="s">
        <v>2627</v>
      </c>
      <c r="J675" s="3" t="s">
        <v>67</v>
      </c>
      <c r="K675" s="3" t="n">
        <v>3220</v>
      </c>
      <c r="L675" s="3" t="n">
        <v>1200</v>
      </c>
      <c r="M675" s="3" t="n">
        <v>1200</v>
      </c>
      <c r="N675" s="3" t="s">
        <v>2628</v>
      </c>
    </row>
    <row r="676" customFormat="false" ht="15" hidden="false" customHeight="false" outlineLevel="0" collapsed="false">
      <c r="A676" s="2" t="s">
        <v>2629</v>
      </c>
      <c r="B676" s="2" t="s">
        <v>2630</v>
      </c>
      <c r="C676" s="2" t="n">
        <v>1907</v>
      </c>
      <c r="D676" s="2" t="s">
        <v>147</v>
      </c>
      <c r="E676" s="2" t="s">
        <v>1566</v>
      </c>
      <c r="F676" s="2" t="n">
        <v>1</v>
      </c>
      <c r="G676" s="2" t="s">
        <v>18</v>
      </c>
      <c r="H676" s="2" t="s">
        <v>121</v>
      </c>
      <c r="I676" s="2" t="s">
        <v>2631</v>
      </c>
      <c r="J676" s="2" t="s">
        <v>123</v>
      </c>
      <c r="K676" s="2" t="n">
        <v>800</v>
      </c>
      <c r="L676" s="2" t="n">
        <v>600</v>
      </c>
      <c r="M676" s="2" t="n">
        <v>600</v>
      </c>
      <c r="N676" s="2" t="s">
        <v>2632</v>
      </c>
    </row>
    <row r="677" customFormat="false" ht="15" hidden="false" customHeight="false" outlineLevel="0" collapsed="false">
      <c r="A677" s="3" t="s">
        <v>760</v>
      </c>
      <c r="B677" s="3" t="s">
        <v>1306</v>
      </c>
      <c r="C677" s="3" t="n">
        <v>1908</v>
      </c>
      <c r="D677" s="3" t="s">
        <v>16</v>
      </c>
      <c r="E677" s="3" t="s">
        <v>132</v>
      </c>
      <c r="F677" s="3" t="n">
        <v>2</v>
      </c>
      <c r="G677" s="3" t="s">
        <v>18</v>
      </c>
      <c r="H677" s="3" t="s">
        <v>78</v>
      </c>
      <c r="I677" s="3" t="s">
        <v>2633</v>
      </c>
      <c r="J677" s="3" t="s">
        <v>408</v>
      </c>
      <c r="K677" s="3" t="n">
        <v>7310</v>
      </c>
      <c r="L677" s="3" t="n">
        <v>250</v>
      </c>
      <c r="M677" s="3" t="n">
        <v>500</v>
      </c>
      <c r="N677" s="3" t="s">
        <v>2634</v>
      </c>
    </row>
    <row r="678" customFormat="false" ht="15" hidden="false" customHeight="false" outlineLevel="0" collapsed="false">
      <c r="A678" s="2" t="s">
        <v>101</v>
      </c>
      <c r="B678" s="2" t="s">
        <v>777</v>
      </c>
      <c r="C678" s="2" t="n">
        <v>1909</v>
      </c>
      <c r="D678" s="2" t="s">
        <v>147</v>
      </c>
      <c r="E678" s="2" t="s">
        <v>2449</v>
      </c>
      <c r="F678" s="2" t="n">
        <v>2</v>
      </c>
      <c r="G678" s="2" t="s">
        <v>51</v>
      </c>
      <c r="H678" s="2" t="s">
        <v>59</v>
      </c>
      <c r="I678" s="2" t="s">
        <v>2635</v>
      </c>
      <c r="J678" s="2" t="s">
        <v>99</v>
      </c>
      <c r="K678" s="2" t="n">
        <v>5000</v>
      </c>
      <c r="L678" s="2" t="n">
        <v>600</v>
      </c>
      <c r="M678" s="2" t="n">
        <v>1200</v>
      </c>
      <c r="N678" s="2" t="s">
        <v>2636</v>
      </c>
    </row>
    <row r="679" customFormat="false" ht="15" hidden="false" customHeight="false" outlineLevel="0" collapsed="false">
      <c r="A679" s="3" t="s">
        <v>2637</v>
      </c>
      <c r="B679" s="3" t="s">
        <v>1286</v>
      </c>
      <c r="C679" s="3" t="n">
        <v>1910</v>
      </c>
      <c r="D679" s="3" t="s">
        <v>108</v>
      </c>
      <c r="E679" s="3" t="s">
        <v>2638</v>
      </c>
      <c r="F679" s="3" t="n">
        <v>2</v>
      </c>
      <c r="G679" s="3" t="s">
        <v>51</v>
      </c>
      <c r="H679" s="3" t="s">
        <v>59</v>
      </c>
      <c r="I679" s="3" t="s">
        <v>2639</v>
      </c>
      <c r="J679" s="3" t="s">
        <v>292</v>
      </c>
      <c r="K679" s="3" t="n">
        <v>5600</v>
      </c>
      <c r="L679" s="3" t="n">
        <v>1200</v>
      </c>
      <c r="M679" s="3" t="n">
        <v>2400</v>
      </c>
      <c r="N679" s="3" t="s">
        <v>2640</v>
      </c>
    </row>
    <row r="680" customFormat="false" ht="15" hidden="false" customHeight="false" outlineLevel="0" collapsed="false">
      <c r="A680" s="2" t="s">
        <v>188</v>
      </c>
      <c r="B680" s="2" t="s">
        <v>2550</v>
      </c>
      <c r="C680" s="2" t="n">
        <v>1911</v>
      </c>
      <c r="D680" s="2" t="s">
        <v>49</v>
      </c>
      <c r="E680" s="2" t="s">
        <v>1022</v>
      </c>
      <c r="F680" s="2" t="n">
        <v>2</v>
      </c>
      <c r="G680" s="2" t="s">
        <v>97</v>
      </c>
      <c r="H680" s="2" t="s">
        <v>78</v>
      </c>
      <c r="I680" s="2" t="s">
        <v>2641</v>
      </c>
      <c r="J680" s="2" t="s">
        <v>408</v>
      </c>
      <c r="K680" s="2" t="n">
        <v>7310</v>
      </c>
      <c r="L680" s="2" t="n">
        <v>250</v>
      </c>
      <c r="M680" s="2" t="n">
        <v>500</v>
      </c>
      <c r="N680" s="2" t="s">
        <v>2642</v>
      </c>
    </row>
    <row r="681" customFormat="false" ht="15" hidden="false" customHeight="false" outlineLevel="0" collapsed="false">
      <c r="A681" s="3" t="s">
        <v>1159</v>
      </c>
      <c r="B681" s="3" t="s">
        <v>2574</v>
      </c>
      <c r="C681" s="3" t="n">
        <v>1912</v>
      </c>
      <c r="D681" s="3" t="s">
        <v>108</v>
      </c>
      <c r="E681" s="3" t="s">
        <v>2643</v>
      </c>
      <c r="F681" s="3" t="n">
        <v>2</v>
      </c>
      <c r="G681" s="3" t="s">
        <v>97</v>
      </c>
      <c r="H681" s="3" t="s">
        <v>121</v>
      </c>
      <c r="I681" s="3" t="s">
        <v>2644</v>
      </c>
      <c r="J681" s="3" t="s">
        <v>317</v>
      </c>
      <c r="K681" s="3" t="n">
        <v>870</v>
      </c>
      <c r="L681" s="3" t="n">
        <v>1200</v>
      </c>
      <c r="M681" s="3" t="n">
        <v>2400</v>
      </c>
      <c r="N681" s="3" t="s">
        <v>2645</v>
      </c>
    </row>
    <row r="682" customFormat="false" ht="15" hidden="false" customHeight="false" outlineLevel="0" collapsed="false">
      <c r="A682" s="2" t="s">
        <v>2646</v>
      </c>
      <c r="B682" s="2" t="s">
        <v>552</v>
      </c>
      <c r="C682" s="2" t="n">
        <v>1913</v>
      </c>
      <c r="D682" s="2" t="s">
        <v>108</v>
      </c>
      <c r="E682" s="2" t="s">
        <v>924</v>
      </c>
      <c r="F682" s="2" t="n">
        <v>1</v>
      </c>
      <c r="G682" s="2" t="s">
        <v>18</v>
      </c>
      <c r="H682" s="2" t="s">
        <v>19</v>
      </c>
      <c r="I682" s="2" t="s">
        <v>2647</v>
      </c>
      <c r="J682" s="2" t="s">
        <v>176</v>
      </c>
      <c r="K682" s="2" t="n">
        <v>6000</v>
      </c>
      <c r="L682" s="2" t="n">
        <v>1200</v>
      </c>
      <c r="M682" s="2" t="n">
        <v>1200</v>
      </c>
      <c r="N682" s="2" t="s">
        <v>2648</v>
      </c>
    </row>
    <row r="683" customFormat="false" ht="15" hidden="false" customHeight="false" outlineLevel="0" collapsed="false">
      <c r="A683" s="3" t="s">
        <v>2023</v>
      </c>
      <c r="B683" s="3" t="s">
        <v>2649</v>
      </c>
      <c r="C683" s="3" t="n">
        <v>1914</v>
      </c>
      <c r="D683" s="3" t="s">
        <v>16</v>
      </c>
      <c r="E683" s="3" t="s">
        <v>1663</v>
      </c>
      <c r="F683" s="3" t="n">
        <v>2</v>
      </c>
      <c r="G683" s="3" t="s">
        <v>27</v>
      </c>
      <c r="H683" s="3" t="s">
        <v>28</v>
      </c>
      <c r="I683" s="3" t="s">
        <v>2650</v>
      </c>
      <c r="J683" s="3" t="s">
        <v>30</v>
      </c>
      <c r="K683" s="3" t="n">
        <v>2600</v>
      </c>
      <c r="L683" s="3" t="n">
        <v>250</v>
      </c>
      <c r="M683" s="3" t="n">
        <v>500</v>
      </c>
      <c r="N683" s="3" t="s">
        <v>2651</v>
      </c>
    </row>
    <row r="684" customFormat="false" ht="15" hidden="false" customHeight="false" outlineLevel="0" collapsed="false">
      <c r="A684" s="2" t="s">
        <v>2652</v>
      </c>
      <c r="B684" s="2" t="s">
        <v>210</v>
      </c>
      <c r="C684" s="2" t="n">
        <v>1915</v>
      </c>
      <c r="D684" s="2" t="s">
        <v>108</v>
      </c>
      <c r="E684" s="2" t="s">
        <v>1351</v>
      </c>
      <c r="F684" s="2" t="n">
        <v>1</v>
      </c>
      <c r="G684" s="2" t="s">
        <v>18</v>
      </c>
      <c r="H684" s="2" t="s">
        <v>52</v>
      </c>
      <c r="I684" s="2" t="s">
        <v>2653</v>
      </c>
      <c r="J684" s="2" t="s">
        <v>54</v>
      </c>
      <c r="K684" s="2" t="n">
        <v>4217</v>
      </c>
      <c r="L684" s="2" t="n">
        <v>1200</v>
      </c>
      <c r="M684" s="2" t="n">
        <v>1200</v>
      </c>
      <c r="N684" s="2" t="s">
        <v>2654</v>
      </c>
    </row>
    <row r="685" customFormat="false" ht="15" hidden="false" customHeight="false" outlineLevel="0" collapsed="false">
      <c r="A685" s="3" t="s">
        <v>439</v>
      </c>
      <c r="B685" s="3" t="s">
        <v>2655</v>
      </c>
      <c r="C685" s="3" t="n">
        <v>1916</v>
      </c>
      <c r="D685" s="3" t="s">
        <v>16</v>
      </c>
      <c r="E685" s="3" t="s">
        <v>590</v>
      </c>
      <c r="F685" s="3" t="n">
        <v>3</v>
      </c>
      <c r="G685" s="3" t="s">
        <v>18</v>
      </c>
      <c r="H685" s="3" t="s">
        <v>78</v>
      </c>
      <c r="I685" s="3" t="s">
        <v>2656</v>
      </c>
      <c r="J685" s="3" t="s">
        <v>86</v>
      </c>
      <c r="K685" s="3" t="n">
        <v>7000</v>
      </c>
      <c r="L685" s="3" t="n">
        <v>250</v>
      </c>
      <c r="M685" s="3" t="n">
        <v>750</v>
      </c>
      <c r="N685" s="3" t="s">
        <v>2657</v>
      </c>
    </row>
    <row r="686" customFormat="false" ht="15" hidden="false" customHeight="false" outlineLevel="0" collapsed="false">
      <c r="A686" s="2" t="s">
        <v>366</v>
      </c>
      <c r="B686" s="2" t="s">
        <v>2658</v>
      </c>
      <c r="C686" s="2" t="n">
        <v>1917</v>
      </c>
      <c r="D686" s="2" t="s">
        <v>108</v>
      </c>
      <c r="E686" s="2" t="s">
        <v>2659</v>
      </c>
      <c r="F686" s="2" t="n">
        <v>2</v>
      </c>
      <c r="G686" s="2" t="s">
        <v>51</v>
      </c>
      <c r="H686" s="2" t="s">
        <v>121</v>
      </c>
      <c r="I686" s="2" t="s">
        <v>2660</v>
      </c>
      <c r="J686" s="2" t="s">
        <v>317</v>
      </c>
      <c r="K686" s="2" t="n">
        <v>870</v>
      </c>
      <c r="L686" s="2" t="n">
        <v>1200</v>
      </c>
      <c r="M686" s="2" t="n">
        <v>2400</v>
      </c>
      <c r="N686" s="2" t="s">
        <v>2661</v>
      </c>
    </row>
    <row r="687" customFormat="false" ht="15" hidden="false" customHeight="false" outlineLevel="0" collapsed="false">
      <c r="A687" s="3" t="s">
        <v>2662</v>
      </c>
      <c r="B687" s="3" t="s">
        <v>2663</v>
      </c>
      <c r="C687" s="3" t="n">
        <v>1918</v>
      </c>
      <c r="D687" s="3" t="s">
        <v>25</v>
      </c>
      <c r="E687" s="3" t="s">
        <v>807</v>
      </c>
      <c r="F687" s="3" t="n">
        <v>2</v>
      </c>
      <c r="G687" s="3" t="s">
        <v>97</v>
      </c>
      <c r="H687" s="3" t="s">
        <v>19</v>
      </c>
      <c r="I687" s="3" t="s">
        <v>2664</v>
      </c>
      <c r="J687" s="3" t="s">
        <v>73</v>
      </c>
      <c r="K687" s="3" t="n">
        <v>6160</v>
      </c>
      <c r="L687" s="3" t="n">
        <v>800</v>
      </c>
      <c r="M687" s="3" t="n">
        <v>1600</v>
      </c>
      <c r="N687" s="3" t="s">
        <v>2665</v>
      </c>
    </row>
    <row r="688" customFormat="false" ht="15" hidden="false" customHeight="false" outlineLevel="0" collapsed="false">
      <c r="A688" s="2" t="s">
        <v>2666</v>
      </c>
      <c r="B688" s="2" t="s">
        <v>2667</v>
      </c>
      <c r="C688" s="2" t="n">
        <v>1919</v>
      </c>
      <c r="D688" s="2" t="s">
        <v>34</v>
      </c>
      <c r="E688" s="2" t="s">
        <v>1803</v>
      </c>
      <c r="F688" s="2" t="n">
        <v>3</v>
      </c>
      <c r="G688" s="2" t="s">
        <v>51</v>
      </c>
      <c r="H688" s="2" t="s">
        <v>28</v>
      </c>
      <c r="I688" s="2" t="s">
        <v>2668</v>
      </c>
      <c r="J688" s="2" t="s">
        <v>30</v>
      </c>
      <c r="K688" s="2" t="n">
        <v>2600</v>
      </c>
      <c r="L688" s="2" t="n">
        <v>300</v>
      </c>
      <c r="M688" s="2" t="n">
        <v>900</v>
      </c>
      <c r="N688" s="2" t="s">
        <v>2669</v>
      </c>
    </row>
    <row r="689" customFormat="false" ht="15" hidden="false" customHeight="false" outlineLevel="0" collapsed="false">
      <c r="A689" s="3" t="s">
        <v>2670</v>
      </c>
      <c r="B689" s="3" t="s">
        <v>2671</v>
      </c>
      <c r="C689" s="3" t="n">
        <v>1920</v>
      </c>
      <c r="D689" s="3" t="s">
        <v>25</v>
      </c>
      <c r="E689" s="3" t="s">
        <v>2659</v>
      </c>
      <c r="F689" s="3" t="n">
        <v>1</v>
      </c>
      <c r="G689" s="3" t="s">
        <v>51</v>
      </c>
      <c r="H689" s="3" t="s">
        <v>121</v>
      </c>
      <c r="I689" s="3" t="s">
        <v>2672</v>
      </c>
      <c r="J689" s="3" t="s">
        <v>317</v>
      </c>
      <c r="K689" s="3" t="n">
        <v>870</v>
      </c>
      <c r="L689" s="3" t="n">
        <v>800</v>
      </c>
      <c r="M689" s="3" t="n">
        <v>800</v>
      </c>
      <c r="N689" s="3" t="s">
        <v>2673</v>
      </c>
    </row>
    <row r="690" customFormat="false" ht="15" hidden="false" customHeight="false" outlineLevel="0" collapsed="false">
      <c r="A690" s="2" t="s">
        <v>890</v>
      </c>
      <c r="B690" s="2" t="s">
        <v>2674</v>
      </c>
      <c r="C690" s="2" t="n">
        <v>1921</v>
      </c>
      <c r="D690" s="2" t="s">
        <v>49</v>
      </c>
      <c r="E690" s="2" t="s">
        <v>785</v>
      </c>
      <c r="F690" s="2" t="n">
        <v>2</v>
      </c>
      <c r="G690" s="2" t="s">
        <v>27</v>
      </c>
      <c r="H690" s="2" t="s">
        <v>19</v>
      </c>
      <c r="I690" s="2" t="s">
        <v>2675</v>
      </c>
      <c r="J690" s="2" t="s">
        <v>176</v>
      </c>
      <c r="K690" s="2" t="n">
        <v>6000</v>
      </c>
      <c r="L690" s="2" t="n">
        <v>250</v>
      </c>
      <c r="M690" s="2" t="n">
        <v>500</v>
      </c>
      <c r="N690" s="2" t="s">
        <v>2676</v>
      </c>
    </row>
    <row r="691" customFormat="false" ht="15" hidden="false" customHeight="false" outlineLevel="0" collapsed="false">
      <c r="A691" s="3" t="s">
        <v>1618</v>
      </c>
      <c r="B691" s="3" t="s">
        <v>1071</v>
      </c>
      <c r="C691" s="3" t="n">
        <v>1922</v>
      </c>
      <c r="D691" s="3" t="s">
        <v>147</v>
      </c>
      <c r="E691" s="3" t="s">
        <v>858</v>
      </c>
      <c r="F691" s="3" t="n">
        <v>1</v>
      </c>
      <c r="G691" s="3" t="s">
        <v>18</v>
      </c>
      <c r="H691" s="3" t="s">
        <v>59</v>
      </c>
      <c r="I691" s="3" t="s">
        <v>2677</v>
      </c>
      <c r="J691" s="3" t="s">
        <v>292</v>
      </c>
      <c r="K691" s="3" t="n">
        <v>5600</v>
      </c>
      <c r="L691" s="3" t="n">
        <v>600</v>
      </c>
      <c r="M691" s="3" t="n">
        <v>600</v>
      </c>
      <c r="N691" s="3" t="s">
        <v>2678</v>
      </c>
    </row>
    <row r="692" customFormat="false" ht="15" hidden="false" customHeight="false" outlineLevel="0" collapsed="false">
      <c r="A692" s="2" t="s">
        <v>2679</v>
      </c>
      <c r="B692" s="2" t="s">
        <v>2680</v>
      </c>
      <c r="C692" s="2" t="n">
        <v>1923</v>
      </c>
      <c r="D692" s="2" t="s">
        <v>147</v>
      </c>
      <c r="E692" s="2" t="s">
        <v>816</v>
      </c>
      <c r="F692" s="2" t="n">
        <v>3</v>
      </c>
      <c r="G692" s="2" t="s">
        <v>27</v>
      </c>
      <c r="H692" s="2" t="s">
        <v>78</v>
      </c>
      <c r="I692" s="2" t="s">
        <v>2681</v>
      </c>
      <c r="J692" s="2" t="s">
        <v>408</v>
      </c>
      <c r="K692" s="2" t="n">
        <v>7310</v>
      </c>
      <c r="L692" s="2" t="n">
        <v>600</v>
      </c>
      <c r="M692" s="2" t="n">
        <v>1800</v>
      </c>
      <c r="N692" s="2" t="s">
        <v>2682</v>
      </c>
    </row>
    <row r="693" customFormat="false" ht="15" hidden="false" customHeight="false" outlineLevel="0" collapsed="false">
      <c r="A693" s="3" t="s">
        <v>101</v>
      </c>
      <c r="B693" s="3" t="s">
        <v>1577</v>
      </c>
      <c r="C693" s="3" t="n">
        <v>1924</v>
      </c>
      <c r="D693" s="3" t="s">
        <v>108</v>
      </c>
      <c r="E693" s="3" t="s">
        <v>326</v>
      </c>
      <c r="F693" s="3" t="n">
        <v>2</v>
      </c>
      <c r="G693" s="3" t="s">
        <v>51</v>
      </c>
      <c r="H693" s="3" t="s">
        <v>43</v>
      </c>
      <c r="I693" s="3" t="s">
        <v>2683</v>
      </c>
      <c r="J693" s="3" t="s">
        <v>111</v>
      </c>
      <c r="K693" s="3" t="n">
        <v>3000</v>
      </c>
      <c r="L693" s="3" t="n">
        <v>1200</v>
      </c>
      <c r="M693" s="3" t="n">
        <v>2400</v>
      </c>
      <c r="N693" s="3" t="s">
        <v>2684</v>
      </c>
    </row>
    <row r="694" customFormat="false" ht="15" hidden="false" customHeight="false" outlineLevel="0" collapsed="false">
      <c r="A694" s="2" t="s">
        <v>2685</v>
      </c>
      <c r="B694" s="2" t="s">
        <v>2686</v>
      </c>
      <c r="C694" s="2" t="n">
        <v>1925</v>
      </c>
      <c r="D694" s="2" t="s">
        <v>49</v>
      </c>
      <c r="E694" s="2" t="s">
        <v>1152</v>
      </c>
      <c r="F694" s="2" t="n">
        <v>2</v>
      </c>
      <c r="G694" s="2" t="s">
        <v>51</v>
      </c>
      <c r="H694" s="2" t="s">
        <v>78</v>
      </c>
      <c r="I694" s="2" t="s">
        <v>2687</v>
      </c>
      <c r="J694" s="2" t="s">
        <v>80</v>
      </c>
      <c r="K694" s="2" t="n">
        <v>7250</v>
      </c>
      <c r="L694" s="2" t="n">
        <v>250</v>
      </c>
      <c r="M694" s="2" t="n">
        <v>500</v>
      </c>
      <c r="N694" s="2" t="s">
        <v>2688</v>
      </c>
    </row>
    <row r="695" customFormat="false" ht="15" hidden="false" customHeight="false" outlineLevel="0" collapsed="false">
      <c r="A695" s="3" t="s">
        <v>1016</v>
      </c>
      <c r="B695" s="3" t="s">
        <v>2689</v>
      </c>
      <c r="C695" s="3" t="n">
        <v>1926</v>
      </c>
      <c r="D695" s="3" t="s">
        <v>147</v>
      </c>
      <c r="E695" s="3" t="s">
        <v>1569</v>
      </c>
      <c r="F695" s="3" t="n">
        <v>2</v>
      </c>
      <c r="G695" s="3" t="s">
        <v>18</v>
      </c>
      <c r="H695" s="3" t="s">
        <v>28</v>
      </c>
      <c r="I695" s="3" t="s">
        <v>2690</v>
      </c>
      <c r="J695" s="3" t="s">
        <v>30</v>
      </c>
      <c r="K695" s="3" t="n">
        <v>2600</v>
      </c>
      <c r="L695" s="3" t="n">
        <v>600</v>
      </c>
      <c r="M695" s="3" t="n">
        <v>1200</v>
      </c>
      <c r="N695" s="3" t="s">
        <v>2691</v>
      </c>
    </row>
    <row r="696" customFormat="false" ht="15" hidden="false" customHeight="false" outlineLevel="0" collapsed="false">
      <c r="A696" s="2" t="s">
        <v>2692</v>
      </c>
      <c r="B696" s="2" t="s">
        <v>2693</v>
      </c>
      <c r="C696" s="2" t="n">
        <v>1927</v>
      </c>
      <c r="D696" s="2" t="s">
        <v>108</v>
      </c>
      <c r="E696" s="2" t="s">
        <v>1407</v>
      </c>
      <c r="F696" s="2" t="n">
        <v>1</v>
      </c>
      <c r="G696" s="2" t="s">
        <v>51</v>
      </c>
      <c r="H696" s="2" t="s">
        <v>28</v>
      </c>
      <c r="I696" s="2" t="s">
        <v>2694</v>
      </c>
      <c r="J696" s="2" t="s">
        <v>30</v>
      </c>
      <c r="K696" s="2" t="n">
        <v>2600</v>
      </c>
      <c r="L696" s="2" t="n">
        <v>1200</v>
      </c>
      <c r="M696" s="2" t="n">
        <v>1200</v>
      </c>
      <c r="N696" s="2" t="s">
        <v>2695</v>
      </c>
    </row>
    <row r="697" customFormat="false" ht="15" hidden="false" customHeight="false" outlineLevel="0" collapsed="false">
      <c r="A697" s="3" t="s">
        <v>2696</v>
      </c>
      <c r="B697" s="3" t="s">
        <v>623</v>
      </c>
      <c r="C697" s="3" t="n">
        <v>1928</v>
      </c>
      <c r="D697" s="3" t="s">
        <v>147</v>
      </c>
      <c r="E697" s="3" t="s">
        <v>1321</v>
      </c>
      <c r="F697" s="3" t="n">
        <v>2</v>
      </c>
      <c r="G697" s="3" t="s">
        <v>51</v>
      </c>
      <c r="H697" s="3" t="s">
        <v>121</v>
      </c>
      <c r="I697" s="3" t="s">
        <v>2697</v>
      </c>
      <c r="J697" s="3" t="s">
        <v>317</v>
      </c>
      <c r="K697" s="3" t="n">
        <v>870</v>
      </c>
      <c r="L697" s="3" t="n">
        <v>600</v>
      </c>
      <c r="M697" s="3" t="n">
        <v>1200</v>
      </c>
      <c r="N697" s="3" t="s">
        <v>2698</v>
      </c>
    </row>
    <row r="698" customFormat="false" ht="15" hidden="false" customHeight="false" outlineLevel="0" collapsed="false">
      <c r="A698" s="2" t="s">
        <v>2699</v>
      </c>
      <c r="B698" s="2" t="s">
        <v>2700</v>
      </c>
      <c r="C698" s="2" t="n">
        <v>1929</v>
      </c>
      <c r="D698" s="2" t="s">
        <v>16</v>
      </c>
      <c r="E698" s="2" t="s">
        <v>216</v>
      </c>
      <c r="F698" s="2" t="n">
        <v>3</v>
      </c>
      <c r="G698" s="2" t="s">
        <v>18</v>
      </c>
      <c r="H698" s="2" t="s">
        <v>52</v>
      </c>
      <c r="I698" s="2" t="s">
        <v>2701</v>
      </c>
      <c r="J698" s="2" t="s">
        <v>54</v>
      </c>
      <c r="K698" s="2" t="n">
        <v>4217</v>
      </c>
      <c r="L698" s="2" t="n">
        <v>250</v>
      </c>
      <c r="M698" s="2" t="n">
        <v>750</v>
      </c>
      <c r="N698" s="2" t="s">
        <v>2702</v>
      </c>
    </row>
    <row r="699" customFormat="false" ht="15" hidden="false" customHeight="false" outlineLevel="0" collapsed="false">
      <c r="A699" s="3" t="s">
        <v>2703</v>
      </c>
      <c r="B699" s="3" t="s">
        <v>2046</v>
      </c>
      <c r="C699" s="3" t="n">
        <v>1930</v>
      </c>
      <c r="D699" s="3" t="s">
        <v>147</v>
      </c>
      <c r="E699" s="3" t="s">
        <v>345</v>
      </c>
      <c r="F699" s="3" t="n">
        <v>1</v>
      </c>
      <c r="G699" s="3" t="s">
        <v>51</v>
      </c>
      <c r="H699" s="3" t="s">
        <v>121</v>
      </c>
      <c r="I699" s="3" t="s">
        <v>2704</v>
      </c>
      <c r="J699" s="3" t="s">
        <v>317</v>
      </c>
      <c r="K699" s="3" t="n">
        <v>870</v>
      </c>
      <c r="L699" s="3" t="n">
        <v>600</v>
      </c>
      <c r="M699" s="3" t="n">
        <v>600</v>
      </c>
      <c r="N699" s="3" t="s">
        <v>2705</v>
      </c>
    </row>
    <row r="700" customFormat="false" ht="15" hidden="false" customHeight="false" outlineLevel="0" collapsed="false">
      <c r="A700" s="2" t="s">
        <v>1363</v>
      </c>
      <c r="B700" s="2" t="s">
        <v>2706</v>
      </c>
      <c r="C700" s="2" t="n">
        <v>1931</v>
      </c>
      <c r="D700" s="2" t="s">
        <v>25</v>
      </c>
      <c r="E700" s="2" t="s">
        <v>951</v>
      </c>
      <c r="F700" s="2" t="n">
        <v>2</v>
      </c>
      <c r="G700" s="2" t="s">
        <v>51</v>
      </c>
      <c r="H700" s="2" t="s">
        <v>43</v>
      </c>
      <c r="I700" s="2" t="s">
        <v>2707</v>
      </c>
      <c r="J700" s="2" t="s">
        <v>67</v>
      </c>
      <c r="K700" s="2" t="n">
        <v>3220</v>
      </c>
      <c r="L700" s="2" t="n">
        <v>800</v>
      </c>
      <c r="M700" s="2" t="n">
        <v>1600</v>
      </c>
      <c r="N700" s="2" t="s">
        <v>2708</v>
      </c>
    </row>
    <row r="701" customFormat="false" ht="15" hidden="false" customHeight="false" outlineLevel="0" collapsed="false">
      <c r="A701" s="3" t="s">
        <v>204</v>
      </c>
      <c r="B701" s="3" t="s">
        <v>2709</v>
      </c>
      <c r="C701" s="3" t="n">
        <v>1932</v>
      </c>
      <c r="D701" s="3" t="s">
        <v>147</v>
      </c>
      <c r="E701" s="3" t="s">
        <v>174</v>
      </c>
      <c r="F701" s="3" t="n">
        <v>2</v>
      </c>
      <c r="G701" s="3" t="s">
        <v>51</v>
      </c>
      <c r="H701" s="3" t="s">
        <v>19</v>
      </c>
      <c r="I701" s="3" t="s">
        <v>2710</v>
      </c>
      <c r="J701" s="3" t="s">
        <v>73</v>
      </c>
      <c r="K701" s="3" t="n">
        <v>6160</v>
      </c>
      <c r="L701" s="3" t="n">
        <v>600</v>
      </c>
      <c r="M701" s="3" t="n">
        <v>1200</v>
      </c>
      <c r="N701" s="3" t="s">
        <v>2711</v>
      </c>
    </row>
    <row r="702" customFormat="false" ht="15" hidden="false" customHeight="false" outlineLevel="0" collapsed="false">
      <c r="A702" s="2" t="s">
        <v>1029</v>
      </c>
      <c r="B702" s="2" t="s">
        <v>2489</v>
      </c>
      <c r="C702" s="2" t="n">
        <v>1933</v>
      </c>
      <c r="D702" s="2" t="s">
        <v>49</v>
      </c>
      <c r="E702" s="2" t="s">
        <v>2212</v>
      </c>
      <c r="F702" s="2" t="n">
        <v>1</v>
      </c>
      <c r="G702" s="2" t="s">
        <v>18</v>
      </c>
      <c r="H702" s="2" t="s">
        <v>121</v>
      </c>
      <c r="I702" s="2" t="s">
        <v>2712</v>
      </c>
      <c r="J702" s="2" t="s">
        <v>123</v>
      </c>
      <c r="K702" s="2" t="n">
        <v>800</v>
      </c>
      <c r="L702" s="2" t="n">
        <v>250</v>
      </c>
      <c r="M702" s="2" t="n">
        <v>250</v>
      </c>
      <c r="N702" s="2" t="s">
        <v>2713</v>
      </c>
    </row>
    <row r="703" customFormat="false" ht="15" hidden="false" customHeight="false" outlineLevel="0" collapsed="false">
      <c r="A703" s="3" t="s">
        <v>2714</v>
      </c>
      <c r="B703" s="3" t="s">
        <v>2715</v>
      </c>
      <c r="C703" s="3" t="n">
        <v>1934</v>
      </c>
      <c r="D703" s="3" t="s">
        <v>25</v>
      </c>
      <c r="E703" s="3" t="s">
        <v>2264</v>
      </c>
      <c r="F703" s="3" t="n">
        <v>3</v>
      </c>
      <c r="G703" s="3" t="s">
        <v>27</v>
      </c>
      <c r="H703" s="3" t="s">
        <v>121</v>
      </c>
      <c r="I703" s="3" t="s">
        <v>2716</v>
      </c>
      <c r="J703" s="3" t="s">
        <v>317</v>
      </c>
      <c r="K703" s="3" t="n">
        <v>870</v>
      </c>
      <c r="L703" s="3" t="n">
        <v>800</v>
      </c>
      <c r="M703" s="3" t="n">
        <v>2400</v>
      </c>
      <c r="N703" s="3" t="s">
        <v>2717</v>
      </c>
    </row>
    <row r="704" customFormat="false" ht="15" hidden="false" customHeight="false" outlineLevel="0" collapsed="false">
      <c r="A704" s="2" t="s">
        <v>1117</v>
      </c>
      <c r="B704" s="2" t="s">
        <v>938</v>
      </c>
      <c r="C704" s="2" t="n">
        <v>1935</v>
      </c>
      <c r="D704" s="2" t="s">
        <v>16</v>
      </c>
      <c r="E704" s="2" t="s">
        <v>1004</v>
      </c>
      <c r="F704" s="2" t="n">
        <v>1</v>
      </c>
      <c r="G704" s="2" t="s">
        <v>27</v>
      </c>
      <c r="H704" s="2" t="s">
        <v>59</v>
      </c>
      <c r="I704" s="2" t="s">
        <v>2718</v>
      </c>
      <c r="J704" s="2" t="s">
        <v>61</v>
      </c>
      <c r="K704" s="2" t="n">
        <v>5290</v>
      </c>
      <c r="L704" s="2" t="n">
        <v>250</v>
      </c>
      <c r="M704" s="2" t="n">
        <v>250</v>
      </c>
      <c r="N704" s="2" t="s">
        <v>2719</v>
      </c>
    </row>
    <row r="705" customFormat="false" ht="15" hidden="false" customHeight="false" outlineLevel="0" collapsed="false">
      <c r="A705" s="3" t="s">
        <v>2685</v>
      </c>
      <c r="B705" s="3" t="s">
        <v>2308</v>
      </c>
      <c r="C705" s="3" t="n">
        <v>1936</v>
      </c>
      <c r="D705" s="3" t="s">
        <v>25</v>
      </c>
      <c r="E705" s="3" t="s">
        <v>469</v>
      </c>
      <c r="F705" s="3" t="n">
        <v>2</v>
      </c>
      <c r="G705" s="3" t="s">
        <v>51</v>
      </c>
      <c r="H705" s="3" t="s">
        <v>28</v>
      </c>
      <c r="I705" s="3" t="s">
        <v>2720</v>
      </c>
      <c r="J705" s="3" t="s">
        <v>30</v>
      </c>
      <c r="K705" s="3" t="n">
        <v>2600</v>
      </c>
      <c r="L705" s="3" t="n">
        <v>800</v>
      </c>
      <c r="M705" s="3" t="n">
        <v>1600</v>
      </c>
      <c r="N705" s="3" t="s">
        <v>2721</v>
      </c>
    </row>
    <row r="706" customFormat="false" ht="15" hidden="false" customHeight="false" outlineLevel="0" collapsed="false">
      <c r="A706" s="2" t="s">
        <v>2722</v>
      </c>
      <c r="B706" s="2" t="s">
        <v>2723</v>
      </c>
      <c r="C706" s="2" t="n">
        <v>1937</v>
      </c>
      <c r="D706" s="2" t="s">
        <v>16</v>
      </c>
      <c r="E706" s="2" t="s">
        <v>479</v>
      </c>
      <c r="F706" s="2" t="n">
        <v>3</v>
      </c>
      <c r="G706" s="2" t="s">
        <v>18</v>
      </c>
      <c r="H706" s="2" t="s">
        <v>28</v>
      </c>
      <c r="I706" s="2" t="s">
        <v>2724</v>
      </c>
      <c r="J706" s="2" t="s">
        <v>30</v>
      </c>
      <c r="K706" s="2" t="n">
        <v>2600</v>
      </c>
      <c r="L706" s="2" t="n">
        <v>250</v>
      </c>
      <c r="M706" s="2" t="n">
        <v>750</v>
      </c>
      <c r="N706" s="2" t="s">
        <v>2725</v>
      </c>
    </row>
    <row r="707" customFormat="false" ht="15" hidden="false" customHeight="false" outlineLevel="0" collapsed="false">
      <c r="A707" s="3" t="s">
        <v>2726</v>
      </c>
      <c r="B707" s="3" t="s">
        <v>2727</v>
      </c>
      <c r="C707" s="3" t="n">
        <v>1938</v>
      </c>
      <c r="D707" s="3" t="s">
        <v>108</v>
      </c>
      <c r="E707" s="3" t="s">
        <v>1419</v>
      </c>
      <c r="F707" s="3" t="n">
        <v>3</v>
      </c>
      <c r="G707" s="3" t="s">
        <v>18</v>
      </c>
      <c r="H707" s="3" t="s">
        <v>78</v>
      </c>
      <c r="I707" s="3" t="s">
        <v>2728</v>
      </c>
      <c r="J707" s="3" t="s">
        <v>86</v>
      </c>
      <c r="K707" s="3" t="n">
        <v>7000</v>
      </c>
      <c r="L707" s="3" t="n">
        <v>1200</v>
      </c>
      <c r="M707" s="3" t="n">
        <v>3600</v>
      </c>
      <c r="N707" s="3" t="s">
        <v>2729</v>
      </c>
    </row>
    <row r="708" customFormat="false" ht="15" hidden="false" customHeight="false" outlineLevel="0" collapsed="false">
      <c r="A708" s="2" t="s">
        <v>2730</v>
      </c>
      <c r="B708" s="2" t="s">
        <v>919</v>
      </c>
      <c r="C708" s="2" t="n">
        <v>1939</v>
      </c>
      <c r="D708" s="2" t="s">
        <v>16</v>
      </c>
      <c r="E708" s="2" t="s">
        <v>1644</v>
      </c>
      <c r="F708" s="2" t="n">
        <v>2</v>
      </c>
      <c r="G708" s="2" t="s">
        <v>18</v>
      </c>
      <c r="H708" s="2" t="s">
        <v>36</v>
      </c>
      <c r="I708" s="2" t="s">
        <v>2731</v>
      </c>
      <c r="J708" s="2" t="s">
        <v>170</v>
      </c>
      <c r="K708" s="2" t="n">
        <v>2500</v>
      </c>
      <c r="L708" s="2" t="n">
        <v>250</v>
      </c>
      <c r="M708" s="2" t="n">
        <v>500</v>
      </c>
      <c r="N708" s="2" t="s">
        <v>2732</v>
      </c>
    </row>
    <row r="709" customFormat="false" ht="15" hidden="false" customHeight="false" outlineLevel="0" collapsed="false">
      <c r="A709" s="3" t="s">
        <v>1396</v>
      </c>
      <c r="B709" s="3" t="s">
        <v>911</v>
      </c>
      <c r="C709" s="3" t="n">
        <v>1940</v>
      </c>
      <c r="D709" s="3" t="s">
        <v>16</v>
      </c>
      <c r="E709" s="3" t="s">
        <v>1906</v>
      </c>
      <c r="F709" s="3" t="n">
        <v>1</v>
      </c>
      <c r="G709" s="3" t="s">
        <v>18</v>
      </c>
      <c r="H709" s="3" t="s">
        <v>43</v>
      </c>
      <c r="I709" s="3" t="s">
        <v>2733</v>
      </c>
      <c r="J709" s="3" t="s">
        <v>67</v>
      </c>
      <c r="K709" s="3" t="n">
        <v>3220</v>
      </c>
      <c r="L709" s="3" t="n">
        <v>250</v>
      </c>
      <c r="M709" s="3" t="n">
        <v>250</v>
      </c>
      <c r="N709" s="3" t="s">
        <v>2734</v>
      </c>
    </row>
    <row r="710" customFormat="false" ht="15" hidden="false" customHeight="false" outlineLevel="0" collapsed="false">
      <c r="A710" s="2" t="s">
        <v>2735</v>
      </c>
      <c r="B710" s="2" t="s">
        <v>585</v>
      </c>
      <c r="C710" s="2" t="n">
        <v>1941</v>
      </c>
      <c r="D710" s="2" t="s">
        <v>34</v>
      </c>
      <c r="E710" s="2" t="s">
        <v>2736</v>
      </c>
      <c r="F710" s="2" t="n">
        <v>1</v>
      </c>
      <c r="G710" s="2" t="s">
        <v>27</v>
      </c>
      <c r="H710" s="2" t="s">
        <v>78</v>
      </c>
      <c r="I710" s="2" t="s">
        <v>2737</v>
      </c>
      <c r="J710" s="2" t="s">
        <v>408</v>
      </c>
      <c r="K710" s="2" t="n">
        <v>7310</v>
      </c>
      <c r="L710" s="2" t="n">
        <v>300</v>
      </c>
      <c r="M710" s="2" t="n">
        <v>300</v>
      </c>
      <c r="N710" s="2" t="s">
        <v>2738</v>
      </c>
    </row>
    <row r="711" customFormat="false" ht="15" hidden="false" customHeight="false" outlineLevel="0" collapsed="false">
      <c r="A711" s="3" t="s">
        <v>2739</v>
      </c>
      <c r="B711" s="3" t="s">
        <v>89</v>
      </c>
      <c r="C711" s="3" t="n">
        <v>1942</v>
      </c>
      <c r="D711" s="3" t="s">
        <v>108</v>
      </c>
      <c r="E711" s="3" t="s">
        <v>707</v>
      </c>
      <c r="F711" s="3" t="n">
        <v>1</v>
      </c>
      <c r="G711" s="3" t="s">
        <v>18</v>
      </c>
      <c r="H711" s="3" t="s">
        <v>43</v>
      </c>
      <c r="I711" s="3" t="s">
        <v>2740</v>
      </c>
      <c r="J711" s="3" t="s">
        <v>111</v>
      </c>
      <c r="K711" s="3" t="n">
        <v>3000</v>
      </c>
      <c r="L711" s="3" t="n">
        <v>1200</v>
      </c>
      <c r="M711" s="3" t="n">
        <v>1200</v>
      </c>
      <c r="N711" s="3" t="s">
        <v>2741</v>
      </c>
    </row>
    <row r="712" customFormat="false" ht="15" hidden="false" customHeight="false" outlineLevel="0" collapsed="false">
      <c r="A712" s="2" t="s">
        <v>2742</v>
      </c>
      <c r="B712" s="2" t="s">
        <v>89</v>
      </c>
      <c r="C712" s="2" t="n">
        <v>1943</v>
      </c>
      <c r="D712" s="2" t="s">
        <v>147</v>
      </c>
      <c r="E712" s="2" t="s">
        <v>2743</v>
      </c>
      <c r="F712" s="2" t="n">
        <v>3</v>
      </c>
      <c r="G712" s="2" t="s">
        <v>51</v>
      </c>
      <c r="H712" s="2" t="s">
        <v>36</v>
      </c>
      <c r="I712" s="2" t="s">
        <v>2744</v>
      </c>
      <c r="J712" s="2" t="s">
        <v>192</v>
      </c>
      <c r="K712" s="2" t="n">
        <v>2000</v>
      </c>
      <c r="L712" s="2" t="n">
        <v>600</v>
      </c>
      <c r="M712" s="2" t="n">
        <v>1800</v>
      </c>
      <c r="N712" s="2" t="s">
        <v>2745</v>
      </c>
    </row>
    <row r="713" customFormat="false" ht="15" hidden="false" customHeight="false" outlineLevel="0" collapsed="false">
      <c r="A713" s="3" t="s">
        <v>1285</v>
      </c>
      <c r="B713" s="3" t="s">
        <v>2110</v>
      </c>
      <c r="C713" s="3" t="n">
        <v>1944</v>
      </c>
      <c r="D713" s="3" t="s">
        <v>16</v>
      </c>
      <c r="E713" s="3" t="s">
        <v>834</v>
      </c>
      <c r="F713" s="3" t="n">
        <v>3</v>
      </c>
      <c r="G713" s="3" t="s">
        <v>18</v>
      </c>
      <c r="H713" s="3" t="s">
        <v>78</v>
      </c>
      <c r="I713" s="3" t="s">
        <v>2746</v>
      </c>
      <c r="J713" s="3" t="s">
        <v>80</v>
      </c>
      <c r="K713" s="3" t="n">
        <v>7250</v>
      </c>
      <c r="L713" s="3" t="n">
        <v>250</v>
      </c>
      <c r="M713" s="3" t="n">
        <v>750</v>
      </c>
      <c r="N713" s="3" t="s">
        <v>2747</v>
      </c>
    </row>
    <row r="714" customFormat="false" ht="15" hidden="false" customHeight="false" outlineLevel="0" collapsed="false">
      <c r="A714" s="2" t="s">
        <v>1780</v>
      </c>
      <c r="B714" s="2" t="s">
        <v>2519</v>
      </c>
      <c r="C714" s="2" t="n">
        <v>1945</v>
      </c>
      <c r="D714" s="2" t="s">
        <v>25</v>
      </c>
      <c r="E714" s="2" t="s">
        <v>2179</v>
      </c>
      <c r="F714" s="2" t="n">
        <v>2</v>
      </c>
      <c r="G714" s="2" t="s">
        <v>27</v>
      </c>
      <c r="H714" s="2" t="s">
        <v>43</v>
      </c>
      <c r="I714" s="2" t="s">
        <v>2748</v>
      </c>
      <c r="J714" s="2" t="s">
        <v>45</v>
      </c>
      <c r="K714" s="2" t="n">
        <v>3350</v>
      </c>
      <c r="L714" s="2" t="n">
        <v>800</v>
      </c>
      <c r="M714" s="2" t="n">
        <v>1600</v>
      </c>
      <c r="N714" s="2" t="s">
        <v>2749</v>
      </c>
    </row>
    <row r="715" customFormat="false" ht="15" hidden="false" customHeight="false" outlineLevel="0" collapsed="false">
      <c r="A715" s="3" t="s">
        <v>2750</v>
      </c>
      <c r="B715" s="3" t="s">
        <v>2751</v>
      </c>
      <c r="C715" s="3" t="n">
        <v>1946</v>
      </c>
      <c r="D715" s="3" t="s">
        <v>34</v>
      </c>
      <c r="E715" s="3" t="s">
        <v>988</v>
      </c>
      <c r="F715" s="3" t="n">
        <v>3</v>
      </c>
      <c r="G715" s="3" t="s">
        <v>18</v>
      </c>
      <c r="H715" s="3" t="s">
        <v>121</v>
      </c>
      <c r="I715" s="3" t="s">
        <v>2752</v>
      </c>
      <c r="J715" s="3" t="s">
        <v>317</v>
      </c>
      <c r="K715" s="3" t="n">
        <v>870</v>
      </c>
      <c r="L715" s="3" t="n">
        <v>300</v>
      </c>
      <c r="M715" s="3" t="n">
        <v>900</v>
      </c>
      <c r="N715" s="3" t="s">
        <v>2753</v>
      </c>
    </row>
    <row r="716" customFormat="false" ht="15" hidden="false" customHeight="false" outlineLevel="0" collapsed="false">
      <c r="A716" s="2" t="s">
        <v>361</v>
      </c>
      <c r="B716" s="2" t="s">
        <v>1240</v>
      </c>
      <c r="C716" s="2" t="n">
        <v>1947</v>
      </c>
      <c r="D716" s="2" t="s">
        <v>25</v>
      </c>
      <c r="E716" s="2" t="s">
        <v>1562</v>
      </c>
      <c r="F716" s="2" t="n">
        <v>3</v>
      </c>
      <c r="G716" s="2" t="s">
        <v>18</v>
      </c>
      <c r="H716" s="2" t="s">
        <v>28</v>
      </c>
      <c r="I716" s="2" t="s">
        <v>2754</v>
      </c>
      <c r="J716" s="2" t="s">
        <v>30</v>
      </c>
      <c r="K716" s="2" t="n">
        <v>2600</v>
      </c>
      <c r="L716" s="2" t="n">
        <v>800</v>
      </c>
      <c r="M716" s="2" t="n">
        <v>2400</v>
      </c>
      <c r="N716" s="2" t="s">
        <v>2755</v>
      </c>
    </row>
    <row r="717" customFormat="false" ht="15" hidden="false" customHeight="false" outlineLevel="0" collapsed="false">
      <c r="A717" s="3" t="s">
        <v>2756</v>
      </c>
      <c r="B717" s="3" t="s">
        <v>2674</v>
      </c>
      <c r="C717" s="3" t="n">
        <v>1948</v>
      </c>
      <c r="D717" s="3" t="s">
        <v>147</v>
      </c>
      <c r="E717" s="3" t="s">
        <v>1916</v>
      </c>
      <c r="F717" s="3" t="n">
        <v>1</v>
      </c>
      <c r="G717" s="3" t="s">
        <v>18</v>
      </c>
      <c r="H717" s="3" t="s">
        <v>36</v>
      </c>
      <c r="I717" s="3" t="s">
        <v>2757</v>
      </c>
      <c r="J717" s="3" t="s">
        <v>170</v>
      </c>
      <c r="K717" s="3" t="n">
        <v>2500</v>
      </c>
      <c r="L717" s="3" t="n">
        <v>600</v>
      </c>
      <c r="M717" s="3" t="n">
        <v>600</v>
      </c>
      <c r="N717" s="3" t="s">
        <v>2758</v>
      </c>
    </row>
    <row r="718" customFormat="false" ht="15" hidden="false" customHeight="false" outlineLevel="0" collapsed="false">
      <c r="A718" s="2" t="s">
        <v>2759</v>
      </c>
      <c r="B718" s="2" t="s">
        <v>2760</v>
      </c>
      <c r="C718" s="2" t="n">
        <v>1949</v>
      </c>
      <c r="D718" s="2" t="s">
        <v>25</v>
      </c>
      <c r="E718" s="2" t="s">
        <v>71</v>
      </c>
      <c r="F718" s="2" t="n">
        <v>3</v>
      </c>
      <c r="G718" s="2" t="s">
        <v>51</v>
      </c>
      <c r="H718" s="2" t="s">
        <v>36</v>
      </c>
      <c r="I718" s="2" t="s">
        <v>2761</v>
      </c>
      <c r="J718" s="2" t="s">
        <v>38</v>
      </c>
      <c r="K718" s="2" t="n">
        <v>2300</v>
      </c>
      <c r="L718" s="2" t="n">
        <v>800</v>
      </c>
      <c r="M718" s="2" t="n">
        <v>2400</v>
      </c>
      <c r="N718" s="2" t="s">
        <v>2762</v>
      </c>
    </row>
    <row r="719" customFormat="false" ht="15" hidden="false" customHeight="false" outlineLevel="0" collapsed="false">
      <c r="A719" s="3" t="s">
        <v>2686</v>
      </c>
      <c r="B719" s="3" t="s">
        <v>761</v>
      </c>
      <c r="C719" s="3" t="n">
        <v>1950</v>
      </c>
      <c r="D719" s="3" t="s">
        <v>34</v>
      </c>
      <c r="E719" s="3" t="s">
        <v>902</v>
      </c>
      <c r="F719" s="3" t="n">
        <v>3</v>
      </c>
      <c r="G719" s="3" t="s">
        <v>18</v>
      </c>
      <c r="H719" s="3" t="s">
        <v>78</v>
      </c>
      <c r="I719" s="3" t="s">
        <v>2763</v>
      </c>
      <c r="J719" s="3" t="s">
        <v>80</v>
      </c>
      <c r="K719" s="3" t="n">
        <v>7250</v>
      </c>
      <c r="L719" s="3" t="n">
        <v>300</v>
      </c>
      <c r="M719" s="3" t="n">
        <v>900</v>
      </c>
      <c r="N719" s="3" t="s">
        <v>2764</v>
      </c>
    </row>
    <row r="720" customFormat="false" ht="15" hidden="false" customHeight="false" outlineLevel="0" collapsed="false">
      <c r="A720" s="2" t="s">
        <v>2314</v>
      </c>
      <c r="B720" s="2" t="s">
        <v>2765</v>
      </c>
      <c r="C720" s="2" t="n">
        <v>1951</v>
      </c>
      <c r="D720" s="2" t="s">
        <v>25</v>
      </c>
      <c r="E720" s="2" t="s">
        <v>947</v>
      </c>
      <c r="F720" s="2" t="n">
        <v>3</v>
      </c>
      <c r="G720" s="2" t="s">
        <v>18</v>
      </c>
      <c r="H720" s="2" t="s">
        <v>121</v>
      </c>
      <c r="I720" s="2" t="s">
        <v>2766</v>
      </c>
      <c r="J720" s="2" t="s">
        <v>317</v>
      </c>
      <c r="K720" s="2" t="n">
        <v>870</v>
      </c>
      <c r="L720" s="2" t="n">
        <v>800</v>
      </c>
      <c r="M720" s="2" t="n">
        <v>2400</v>
      </c>
      <c r="N720" s="2" t="s">
        <v>2767</v>
      </c>
    </row>
    <row r="721" customFormat="false" ht="15" hidden="false" customHeight="false" outlineLevel="0" collapsed="false">
      <c r="A721" s="3" t="s">
        <v>2768</v>
      </c>
      <c r="B721" s="3" t="s">
        <v>2147</v>
      </c>
      <c r="C721" s="3" t="n">
        <v>1952</v>
      </c>
      <c r="D721" s="3" t="s">
        <v>25</v>
      </c>
      <c r="E721" s="3" t="s">
        <v>2769</v>
      </c>
      <c r="F721" s="3" t="n">
        <v>1</v>
      </c>
      <c r="G721" s="3" t="s">
        <v>18</v>
      </c>
      <c r="H721" s="3" t="s">
        <v>28</v>
      </c>
      <c r="I721" s="3" t="s">
        <v>2770</v>
      </c>
      <c r="J721" s="3" t="s">
        <v>30</v>
      </c>
      <c r="K721" s="3" t="n">
        <v>2600</v>
      </c>
      <c r="L721" s="3" t="n">
        <v>800</v>
      </c>
      <c r="M721" s="3" t="n">
        <v>800</v>
      </c>
      <c r="N721" s="3" t="s">
        <v>2771</v>
      </c>
    </row>
    <row r="722" customFormat="false" ht="15" hidden="false" customHeight="false" outlineLevel="0" collapsed="false">
      <c r="A722" s="2" t="s">
        <v>700</v>
      </c>
      <c r="B722" s="2" t="s">
        <v>2275</v>
      </c>
      <c r="C722" s="2" t="n">
        <v>1953</v>
      </c>
      <c r="D722" s="2" t="s">
        <v>49</v>
      </c>
      <c r="E722" s="2" t="s">
        <v>90</v>
      </c>
      <c r="F722" s="2" t="n">
        <v>1</v>
      </c>
      <c r="G722" s="2" t="s">
        <v>18</v>
      </c>
      <c r="H722" s="2" t="s">
        <v>78</v>
      </c>
      <c r="I722" s="2" t="s">
        <v>2772</v>
      </c>
      <c r="J722" s="2" t="s">
        <v>86</v>
      </c>
      <c r="K722" s="2" t="n">
        <v>7000</v>
      </c>
      <c r="L722" s="2" t="n">
        <v>250</v>
      </c>
      <c r="M722" s="2" t="n">
        <v>250</v>
      </c>
      <c r="N722" s="2" t="s">
        <v>2773</v>
      </c>
    </row>
    <row r="723" customFormat="false" ht="15" hidden="false" customHeight="false" outlineLevel="0" collapsed="false">
      <c r="A723" s="3" t="s">
        <v>524</v>
      </c>
      <c r="B723" s="3" t="s">
        <v>841</v>
      </c>
      <c r="C723" s="3" t="n">
        <v>1954</v>
      </c>
      <c r="D723" s="3" t="s">
        <v>108</v>
      </c>
      <c r="E723" s="3" t="s">
        <v>1906</v>
      </c>
      <c r="F723" s="3" t="n">
        <v>2</v>
      </c>
      <c r="G723" s="3" t="s">
        <v>51</v>
      </c>
      <c r="H723" s="3" t="s">
        <v>52</v>
      </c>
      <c r="I723" s="3" t="s">
        <v>2774</v>
      </c>
      <c r="J723" s="3" t="s">
        <v>54</v>
      </c>
      <c r="K723" s="3" t="n">
        <v>4217</v>
      </c>
      <c r="L723" s="3" t="n">
        <v>1200</v>
      </c>
      <c r="M723" s="3" t="n">
        <v>2400</v>
      </c>
      <c r="N723" s="3" t="s">
        <v>2775</v>
      </c>
    </row>
    <row r="724" customFormat="false" ht="15" hidden="false" customHeight="false" outlineLevel="0" collapsed="false">
      <c r="A724" s="2" t="s">
        <v>2334</v>
      </c>
      <c r="B724" s="2" t="s">
        <v>2776</v>
      </c>
      <c r="C724" s="2" t="n">
        <v>1955</v>
      </c>
      <c r="D724" s="2" t="s">
        <v>34</v>
      </c>
      <c r="E724" s="2" t="s">
        <v>1118</v>
      </c>
      <c r="F724" s="2" t="n">
        <v>2</v>
      </c>
      <c r="G724" s="2" t="s">
        <v>97</v>
      </c>
      <c r="H724" s="2" t="s">
        <v>52</v>
      </c>
      <c r="I724" s="2" t="s">
        <v>2777</v>
      </c>
      <c r="J724" s="2" t="s">
        <v>182</v>
      </c>
      <c r="K724" s="2" t="n">
        <v>4000</v>
      </c>
      <c r="L724" s="2" t="n">
        <v>300</v>
      </c>
      <c r="M724" s="2" t="n">
        <v>600</v>
      </c>
      <c r="N724" s="2" t="s">
        <v>2778</v>
      </c>
    </row>
    <row r="725" customFormat="false" ht="15" hidden="false" customHeight="false" outlineLevel="0" collapsed="false">
      <c r="A725" s="3" t="s">
        <v>614</v>
      </c>
      <c r="B725" s="3" t="s">
        <v>1183</v>
      </c>
      <c r="C725" s="3" t="n">
        <v>1956</v>
      </c>
      <c r="D725" s="3" t="s">
        <v>34</v>
      </c>
      <c r="E725" s="3" t="s">
        <v>148</v>
      </c>
      <c r="F725" s="3" t="n">
        <v>2</v>
      </c>
      <c r="G725" s="3" t="s">
        <v>51</v>
      </c>
      <c r="H725" s="3" t="s">
        <v>78</v>
      </c>
      <c r="I725" s="3" t="s">
        <v>2779</v>
      </c>
      <c r="J725" s="3" t="s">
        <v>408</v>
      </c>
      <c r="K725" s="3" t="n">
        <v>7310</v>
      </c>
      <c r="L725" s="3" t="n">
        <v>300</v>
      </c>
      <c r="M725" s="3" t="n">
        <v>600</v>
      </c>
      <c r="N725" s="3" t="s">
        <v>2780</v>
      </c>
    </row>
    <row r="726" customFormat="false" ht="15" hidden="false" customHeight="false" outlineLevel="0" collapsed="false">
      <c r="A726" s="2" t="s">
        <v>2518</v>
      </c>
      <c r="B726" s="2" t="s">
        <v>2781</v>
      </c>
      <c r="C726" s="2" t="n">
        <v>1957</v>
      </c>
      <c r="D726" s="2" t="s">
        <v>16</v>
      </c>
      <c r="E726" s="2" t="s">
        <v>607</v>
      </c>
      <c r="F726" s="2" t="n">
        <v>1</v>
      </c>
      <c r="G726" s="2" t="s">
        <v>18</v>
      </c>
      <c r="H726" s="2" t="s">
        <v>36</v>
      </c>
      <c r="I726" s="2" t="s">
        <v>2782</v>
      </c>
      <c r="J726" s="2" t="s">
        <v>192</v>
      </c>
      <c r="K726" s="2" t="n">
        <v>2000</v>
      </c>
      <c r="L726" s="2" t="n">
        <v>250</v>
      </c>
      <c r="M726" s="2" t="n">
        <v>250</v>
      </c>
      <c r="N726" s="2" t="s">
        <v>2783</v>
      </c>
    </row>
    <row r="727" customFormat="false" ht="15" hidden="false" customHeight="false" outlineLevel="0" collapsed="false">
      <c r="A727" s="3" t="s">
        <v>496</v>
      </c>
      <c r="B727" s="3" t="s">
        <v>675</v>
      </c>
      <c r="C727" s="3" t="n">
        <v>1958</v>
      </c>
      <c r="D727" s="3" t="s">
        <v>16</v>
      </c>
      <c r="E727" s="3" t="s">
        <v>2784</v>
      </c>
      <c r="F727" s="3" t="n">
        <v>1</v>
      </c>
      <c r="G727" s="3" t="s">
        <v>51</v>
      </c>
      <c r="H727" s="3" t="s">
        <v>78</v>
      </c>
      <c r="I727" s="3" t="s">
        <v>2785</v>
      </c>
      <c r="J727" s="3" t="s">
        <v>408</v>
      </c>
      <c r="K727" s="3" t="n">
        <v>7310</v>
      </c>
      <c r="L727" s="3" t="n">
        <v>250</v>
      </c>
      <c r="M727" s="3" t="n">
        <v>250</v>
      </c>
      <c r="N727" s="3" t="s">
        <v>2786</v>
      </c>
    </row>
    <row r="728" customFormat="false" ht="15" hidden="false" customHeight="false" outlineLevel="0" collapsed="false">
      <c r="A728" s="2" t="s">
        <v>2739</v>
      </c>
      <c r="B728" s="2" t="s">
        <v>463</v>
      </c>
      <c r="C728" s="2" t="n">
        <v>1959</v>
      </c>
      <c r="D728" s="2" t="s">
        <v>25</v>
      </c>
      <c r="E728" s="2" t="s">
        <v>897</v>
      </c>
      <c r="F728" s="2" t="n">
        <v>3</v>
      </c>
      <c r="G728" s="2" t="s">
        <v>18</v>
      </c>
      <c r="H728" s="2" t="s">
        <v>121</v>
      </c>
      <c r="I728" s="2" t="s">
        <v>2787</v>
      </c>
      <c r="J728" s="2" t="s">
        <v>317</v>
      </c>
      <c r="K728" s="2" t="n">
        <v>870</v>
      </c>
      <c r="L728" s="2" t="n">
        <v>800</v>
      </c>
      <c r="M728" s="2" t="n">
        <v>2400</v>
      </c>
      <c r="N728" s="2" t="s">
        <v>2788</v>
      </c>
    </row>
    <row r="729" customFormat="false" ht="15" hidden="false" customHeight="false" outlineLevel="0" collapsed="false">
      <c r="A729" s="3" t="s">
        <v>2789</v>
      </c>
      <c r="B729" s="3" t="s">
        <v>2790</v>
      </c>
      <c r="C729" s="3" t="n">
        <v>1960</v>
      </c>
      <c r="D729" s="3" t="s">
        <v>16</v>
      </c>
      <c r="E729" s="3" t="s">
        <v>1578</v>
      </c>
      <c r="F729" s="3" t="n">
        <v>1</v>
      </c>
      <c r="G729" s="3" t="s">
        <v>51</v>
      </c>
      <c r="H729" s="3" t="s">
        <v>59</v>
      </c>
      <c r="I729" s="3" t="s">
        <v>2791</v>
      </c>
      <c r="J729" s="3" t="s">
        <v>99</v>
      </c>
      <c r="K729" s="3" t="n">
        <v>5000</v>
      </c>
      <c r="L729" s="3" t="n">
        <v>250</v>
      </c>
      <c r="M729" s="3" t="n">
        <v>250</v>
      </c>
      <c r="N729" s="3" t="s">
        <v>2792</v>
      </c>
    </row>
    <row r="730" customFormat="false" ht="15" hidden="false" customHeight="false" outlineLevel="0" collapsed="false">
      <c r="A730" s="2" t="s">
        <v>2793</v>
      </c>
      <c r="B730" s="2" t="s">
        <v>1667</v>
      </c>
      <c r="C730" s="2" t="n">
        <v>1961</v>
      </c>
      <c r="D730" s="2" t="s">
        <v>16</v>
      </c>
      <c r="E730" s="2" t="s">
        <v>2794</v>
      </c>
      <c r="F730" s="2" t="n">
        <v>3</v>
      </c>
      <c r="G730" s="2" t="s">
        <v>51</v>
      </c>
      <c r="H730" s="2" t="s">
        <v>43</v>
      </c>
      <c r="I730" s="2" t="s">
        <v>2795</v>
      </c>
      <c r="J730" s="2" t="s">
        <v>45</v>
      </c>
      <c r="K730" s="2" t="n">
        <v>3350</v>
      </c>
      <c r="L730" s="2" t="n">
        <v>250</v>
      </c>
      <c r="M730" s="2" t="n">
        <v>750</v>
      </c>
      <c r="N730" s="2" t="s">
        <v>2796</v>
      </c>
    </row>
    <row r="731" customFormat="false" ht="15" hidden="false" customHeight="false" outlineLevel="0" collapsed="false">
      <c r="A731" s="3" t="s">
        <v>617</v>
      </c>
      <c r="B731" s="3" t="s">
        <v>2371</v>
      </c>
      <c r="C731" s="3" t="n">
        <v>1962</v>
      </c>
      <c r="D731" s="3" t="s">
        <v>147</v>
      </c>
      <c r="E731" s="3" t="s">
        <v>1225</v>
      </c>
      <c r="F731" s="3" t="n">
        <v>3</v>
      </c>
      <c r="G731" s="3" t="s">
        <v>97</v>
      </c>
      <c r="H731" s="3" t="s">
        <v>43</v>
      </c>
      <c r="I731" s="3" t="s">
        <v>2797</v>
      </c>
      <c r="J731" s="3" t="s">
        <v>111</v>
      </c>
      <c r="K731" s="3" t="n">
        <v>3000</v>
      </c>
      <c r="L731" s="3" t="n">
        <v>600</v>
      </c>
      <c r="M731" s="3" t="n">
        <v>1800</v>
      </c>
      <c r="N731" s="3" t="s">
        <v>2798</v>
      </c>
    </row>
    <row r="732" customFormat="false" ht="15" hidden="false" customHeight="false" outlineLevel="0" collapsed="false">
      <c r="A732" s="2" t="s">
        <v>1792</v>
      </c>
      <c r="B732" s="2" t="s">
        <v>2799</v>
      </c>
      <c r="C732" s="2" t="n">
        <v>1963</v>
      </c>
      <c r="D732" s="2" t="s">
        <v>49</v>
      </c>
      <c r="E732" s="2" t="s">
        <v>2347</v>
      </c>
      <c r="F732" s="2" t="n">
        <v>2</v>
      </c>
      <c r="G732" s="2" t="s">
        <v>27</v>
      </c>
      <c r="H732" s="2" t="s">
        <v>52</v>
      </c>
      <c r="I732" s="2" t="s">
        <v>2800</v>
      </c>
      <c r="J732" s="2" t="s">
        <v>182</v>
      </c>
      <c r="K732" s="2" t="n">
        <v>4000</v>
      </c>
      <c r="L732" s="2" t="n">
        <v>250</v>
      </c>
      <c r="M732" s="2" t="n">
        <v>500</v>
      </c>
      <c r="N732" s="2" t="s">
        <v>2801</v>
      </c>
    </row>
    <row r="733" customFormat="false" ht="15" hidden="false" customHeight="false" outlineLevel="0" collapsed="false">
      <c r="A733" s="3" t="s">
        <v>2802</v>
      </c>
      <c r="B733" s="3" t="s">
        <v>2803</v>
      </c>
      <c r="C733" s="3" t="n">
        <v>1964</v>
      </c>
      <c r="D733" s="3" t="s">
        <v>16</v>
      </c>
      <c r="E733" s="3" t="s">
        <v>887</v>
      </c>
      <c r="F733" s="3" t="n">
        <v>1</v>
      </c>
      <c r="G733" s="3" t="s">
        <v>51</v>
      </c>
      <c r="H733" s="3" t="s">
        <v>36</v>
      </c>
      <c r="I733" s="3" t="s">
        <v>2804</v>
      </c>
      <c r="J733" s="3" t="s">
        <v>192</v>
      </c>
      <c r="K733" s="3" t="n">
        <v>2000</v>
      </c>
      <c r="L733" s="3" t="n">
        <v>250</v>
      </c>
      <c r="M733" s="3" t="n">
        <v>250</v>
      </c>
      <c r="N733" s="3" t="s">
        <v>2805</v>
      </c>
    </row>
    <row r="734" customFormat="false" ht="15" hidden="false" customHeight="false" outlineLevel="0" collapsed="false">
      <c r="A734" s="2" t="s">
        <v>178</v>
      </c>
      <c r="B734" s="2" t="s">
        <v>367</v>
      </c>
      <c r="C734" s="2" t="n">
        <v>1965</v>
      </c>
      <c r="D734" s="2" t="s">
        <v>108</v>
      </c>
      <c r="E734" s="2" t="s">
        <v>445</v>
      </c>
      <c r="F734" s="2" t="n">
        <v>2</v>
      </c>
      <c r="G734" s="2" t="s">
        <v>18</v>
      </c>
      <c r="H734" s="2" t="s">
        <v>36</v>
      </c>
      <c r="I734" s="2" t="s">
        <v>2806</v>
      </c>
      <c r="J734" s="2" t="s">
        <v>192</v>
      </c>
      <c r="K734" s="2" t="n">
        <v>2000</v>
      </c>
      <c r="L734" s="2" t="n">
        <v>1200</v>
      </c>
      <c r="M734" s="2" t="n">
        <v>2400</v>
      </c>
      <c r="N734" s="2" t="s">
        <v>2807</v>
      </c>
    </row>
    <row r="735" customFormat="false" ht="15" hidden="false" customHeight="false" outlineLevel="0" collapsed="false">
      <c r="A735" s="3" t="s">
        <v>885</v>
      </c>
      <c r="B735" s="3" t="s">
        <v>733</v>
      </c>
      <c r="C735" s="3" t="n">
        <v>1966</v>
      </c>
      <c r="D735" s="3" t="s">
        <v>49</v>
      </c>
      <c r="E735" s="3" t="s">
        <v>285</v>
      </c>
      <c r="F735" s="3" t="n">
        <v>2</v>
      </c>
      <c r="G735" s="3" t="s">
        <v>51</v>
      </c>
      <c r="H735" s="3" t="s">
        <v>28</v>
      </c>
      <c r="I735" s="3" t="s">
        <v>2808</v>
      </c>
      <c r="J735" s="3" t="s">
        <v>30</v>
      </c>
      <c r="K735" s="3" t="n">
        <v>2600</v>
      </c>
      <c r="L735" s="3" t="n">
        <v>250</v>
      </c>
      <c r="M735" s="3" t="n">
        <v>500</v>
      </c>
      <c r="N735" s="3" t="s">
        <v>2809</v>
      </c>
    </row>
    <row r="736" customFormat="false" ht="15" hidden="false" customHeight="false" outlineLevel="0" collapsed="false">
      <c r="A736" s="2" t="s">
        <v>837</v>
      </c>
      <c r="B736" s="2" t="s">
        <v>844</v>
      </c>
      <c r="C736" s="2" t="n">
        <v>1967</v>
      </c>
      <c r="D736" s="2" t="s">
        <v>147</v>
      </c>
      <c r="E736" s="2" t="s">
        <v>497</v>
      </c>
      <c r="F736" s="2" t="n">
        <v>3</v>
      </c>
      <c r="G736" s="2" t="s">
        <v>18</v>
      </c>
      <c r="H736" s="2" t="s">
        <v>36</v>
      </c>
      <c r="I736" s="2" t="s">
        <v>2810</v>
      </c>
      <c r="J736" s="2" t="s">
        <v>192</v>
      </c>
      <c r="K736" s="2" t="n">
        <v>2000</v>
      </c>
      <c r="L736" s="2" t="n">
        <v>600</v>
      </c>
      <c r="M736" s="2" t="n">
        <v>1800</v>
      </c>
      <c r="N736" s="2" t="s">
        <v>2811</v>
      </c>
    </row>
    <row r="737" customFormat="false" ht="15" hidden="false" customHeight="false" outlineLevel="0" collapsed="false">
      <c r="A737" s="3" t="s">
        <v>868</v>
      </c>
      <c r="B737" s="3" t="s">
        <v>2812</v>
      </c>
      <c r="C737" s="3" t="n">
        <v>1968</v>
      </c>
      <c r="D737" s="3" t="s">
        <v>16</v>
      </c>
      <c r="E737" s="3" t="s">
        <v>2417</v>
      </c>
      <c r="F737" s="3" t="n">
        <v>2</v>
      </c>
      <c r="G737" s="3" t="s">
        <v>97</v>
      </c>
      <c r="H737" s="3" t="s">
        <v>121</v>
      </c>
      <c r="I737" s="3" t="s">
        <v>2813</v>
      </c>
      <c r="J737" s="3" t="s">
        <v>123</v>
      </c>
      <c r="K737" s="3" t="n">
        <v>800</v>
      </c>
      <c r="L737" s="3" t="n">
        <v>250</v>
      </c>
      <c r="M737" s="3" t="n">
        <v>500</v>
      </c>
      <c r="N737" s="3" t="s">
        <v>2814</v>
      </c>
    </row>
    <row r="738" customFormat="false" ht="15" hidden="false" customHeight="false" outlineLevel="0" collapsed="false">
      <c r="A738" s="2" t="s">
        <v>2815</v>
      </c>
      <c r="B738" s="2" t="s">
        <v>2816</v>
      </c>
      <c r="C738" s="2" t="n">
        <v>1969</v>
      </c>
      <c r="D738" s="2" t="s">
        <v>34</v>
      </c>
      <c r="E738" s="2" t="s">
        <v>939</v>
      </c>
      <c r="F738" s="2" t="n">
        <v>2</v>
      </c>
      <c r="G738" s="2" t="s">
        <v>18</v>
      </c>
      <c r="H738" s="2" t="s">
        <v>19</v>
      </c>
      <c r="I738" s="2" t="s">
        <v>2817</v>
      </c>
      <c r="J738" s="2" t="s">
        <v>73</v>
      </c>
      <c r="K738" s="2" t="n">
        <v>6160</v>
      </c>
      <c r="L738" s="2" t="n">
        <v>300</v>
      </c>
      <c r="M738" s="2" t="n">
        <v>600</v>
      </c>
      <c r="N738" s="2" t="s">
        <v>2818</v>
      </c>
    </row>
    <row r="739" customFormat="false" ht="15" hidden="false" customHeight="false" outlineLevel="0" collapsed="false">
      <c r="A739" s="3" t="s">
        <v>510</v>
      </c>
      <c r="B739" s="3" t="s">
        <v>2819</v>
      </c>
      <c r="C739" s="3" t="n">
        <v>1970</v>
      </c>
      <c r="D739" s="3" t="s">
        <v>147</v>
      </c>
      <c r="E739" s="3" t="s">
        <v>1562</v>
      </c>
      <c r="F739" s="3" t="n">
        <v>3</v>
      </c>
      <c r="G739" s="3" t="s">
        <v>51</v>
      </c>
      <c r="H739" s="3" t="s">
        <v>59</v>
      </c>
      <c r="I739" s="3" t="s">
        <v>2820</v>
      </c>
      <c r="J739" s="3" t="s">
        <v>292</v>
      </c>
      <c r="K739" s="3" t="n">
        <v>5600</v>
      </c>
      <c r="L739" s="3" t="n">
        <v>600</v>
      </c>
      <c r="M739" s="3" t="n">
        <v>1800</v>
      </c>
      <c r="N739" s="3" t="s">
        <v>2821</v>
      </c>
    </row>
    <row r="740" customFormat="false" ht="15" hidden="false" customHeight="false" outlineLevel="0" collapsed="false">
      <c r="A740" s="2" t="s">
        <v>23</v>
      </c>
      <c r="B740" s="2" t="s">
        <v>189</v>
      </c>
      <c r="C740" s="2" t="n">
        <v>1971</v>
      </c>
      <c r="D740" s="2" t="s">
        <v>108</v>
      </c>
      <c r="E740" s="2" t="s">
        <v>2202</v>
      </c>
      <c r="F740" s="2" t="n">
        <v>2</v>
      </c>
      <c r="G740" s="2" t="s">
        <v>18</v>
      </c>
      <c r="H740" s="2" t="s">
        <v>28</v>
      </c>
      <c r="I740" s="2" t="s">
        <v>2822</v>
      </c>
      <c r="J740" s="2" t="s">
        <v>30</v>
      </c>
      <c r="K740" s="2" t="n">
        <v>2600</v>
      </c>
      <c r="L740" s="2" t="n">
        <v>1200</v>
      </c>
      <c r="M740" s="2" t="n">
        <v>2400</v>
      </c>
      <c r="N740" s="2" t="s">
        <v>2823</v>
      </c>
    </row>
    <row r="741" customFormat="false" ht="15" hidden="false" customHeight="false" outlineLevel="0" collapsed="false">
      <c r="A741" s="3" t="s">
        <v>2147</v>
      </c>
      <c r="B741" s="3" t="s">
        <v>1561</v>
      </c>
      <c r="C741" s="3" t="n">
        <v>1972</v>
      </c>
      <c r="D741" s="3" t="s">
        <v>34</v>
      </c>
      <c r="E741" s="3" t="s">
        <v>2824</v>
      </c>
      <c r="F741" s="3" t="n">
        <v>2</v>
      </c>
      <c r="G741" s="3" t="s">
        <v>18</v>
      </c>
      <c r="H741" s="3" t="s">
        <v>78</v>
      </c>
      <c r="I741" s="3" t="s">
        <v>2825</v>
      </c>
      <c r="J741" s="3" t="s">
        <v>86</v>
      </c>
      <c r="K741" s="3" t="n">
        <v>7000</v>
      </c>
      <c r="L741" s="3" t="n">
        <v>300</v>
      </c>
      <c r="M741" s="3" t="n">
        <v>600</v>
      </c>
      <c r="N741" s="3" t="s">
        <v>2826</v>
      </c>
    </row>
    <row r="742" customFormat="false" ht="15" hidden="false" customHeight="false" outlineLevel="0" collapsed="false">
      <c r="A742" s="2" t="s">
        <v>385</v>
      </c>
      <c r="B742" s="2" t="s">
        <v>205</v>
      </c>
      <c r="C742" s="2" t="n">
        <v>1973</v>
      </c>
      <c r="D742" s="2" t="s">
        <v>108</v>
      </c>
      <c r="E742" s="2" t="s">
        <v>967</v>
      </c>
      <c r="F742" s="2" t="n">
        <v>2</v>
      </c>
      <c r="G742" s="2" t="s">
        <v>51</v>
      </c>
      <c r="H742" s="2" t="s">
        <v>28</v>
      </c>
      <c r="I742" s="2" t="s">
        <v>2827</v>
      </c>
      <c r="J742" s="2" t="s">
        <v>30</v>
      </c>
      <c r="K742" s="2" t="n">
        <v>2600</v>
      </c>
      <c r="L742" s="2" t="n">
        <v>1200</v>
      </c>
      <c r="M742" s="2" t="n">
        <v>2400</v>
      </c>
      <c r="N742" s="2" t="s">
        <v>2828</v>
      </c>
    </row>
    <row r="743" customFormat="false" ht="15" hidden="false" customHeight="false" outlineLevel="0" collapsed="false">
      <c r="A743" s="3" t="s">
        <v>983</v>
      </c>
      <c r="B743" s="3" t="s">
        <v>915</v>
      </c>
      <c r="C743" s="3" t="n">
        <v>1974</v>
      </c>
      <c r="D743" s="3" t="s">
        <v>108</v>
      </c>
      <c r="E743" s="3" t="s">
        <v>2643</v>
      </c>
      <c r="F743" s="3" t="n">
        <v>3</v>
      </c>
      <c r="G743" s="3" t="s">
        <v>18</v>
      </c>
      <c r="H743" s="3" t="s">
        <v>121</v>
      </c>
      <c r="I743" s="3" t="s">
        <v>2829</v>
      </c>
      <c r="J743" s="3" t="s">
        <v>317</v>
      </c>
      <c r="K743" s="3" t="n">
        <v>870</v>
      </c>
      <c r="L743" s="3" t="n">
        <v>1200</v>
      </c>
      <c r="M743" s="3" t="n">
        <v>3600</v>
      </c>
      <c r="N743" s="3" t="s">
        <v>2830</v>
      </c>
    </row>
    <row r="744" customFormat="false" ht="15" hidden="false" customHeight="false" outlineLevel="0" collapsed="false">
      <c r="A744" s="2" t="s">
        <v>1627</v>
      </c>
      <c r="B744" s="2" t="s">
        <v>823</v>
      </c>
      <c r="C744" s="2" t="n">
        <v>1975</v>
      </c>
      <c r="D744" s="2" t="s">
        <v>108</v>
      </c>
      <c r="E744" s="2" t="s">
        <v>211</v>
      </c>
      <c r="F744" s="2" t="n">
        <v>3</v>
      </c>
      <c r="G744" s="2" t="s">
        <v>51</v>
      </c>
      <c r="H744" s="2" t="s">
        <v>36</v>
      </c>
      <c r="I744" s="2" t="s">
        <v>2831</v>
      </c>
      <c r="J744" s="2" t="s">
        <v>192</v>
      </c>
      <c r="K744" s="2" t="n">
        <v>2000</v>
      </c>
      <c r="L744" s="2" t="n">
        <v>1200</v>
      </c>
      <c r="M744" s="2" t="n">
        <v>3600</v>
      </c>
      <c r="N744" s="2" t="s">
        <v>2832</v>
      </c>
    </row>
    <row r="745" customFormat="false" ht="15" hidden="false" customHeight="false" outlineLevel="0" collapsed="false">
      <c r="A745" s="3" t="s">
        <v>2833</v>
      </c>
      <c r="B745" s="3" t="s">
        <v>2834</v>
      </c>
      <c r="C745" s="3" t="n">
        <v>1976</v>
      </c>
      <c r="D745" s="3" t="s">
        <v>108</v>
      </c>
      <c r="E745" s="3" t="s">
        <v>902</v>
      </c>
      <c r="F745" s="3" t="n">
        <v>2</v>
      </c>
      <c r="G745" s="3" t="s">
        <v>97</v>
      </c>
      <c r="H745" s="3" t="s">
        <v>59</v>
      </c>
      <c r="I745" s="3" t="s">
        <v>2835</v>
      </c>
      <c r="J745" s="3" t="s">
        <v>61</v>
      </c>
      <c r="K745" s="3" t="n">
        <v>5290</v>
      </c>
      <c r="L745" s="3" t="n">
        <v>1200</v>
      </c>
      <c r="M745" s="3" t="n">
        <v>2400</v>
      </c>
      <c r="N745" s="3" t="s">
        <v>2836</v>
      </c>
    </row>
    <row r="746" customFormat="false" ht="15" hidden="false" customHeight="false" outlineLevel="0" collapsed="false">
      <c r="A746" s="2" t="s">
        <v>2411</v>
      </c>
      <c r="B746" s="2" t="s">
        <v>2837</v>
      </c>
      <c r="C746" s="2" t="n">
        <v>1977</v>
      </c>
      <c r="D746" s="2" t="s">
        <v>16</v>
      </c>
      <c r="E746" s="2" t="s">
        <v>1184</v>
      </c>
      <c r="F746" s="2" t="n">
        <v>2</v>
      </c>
      <c r="G746" s="2" t="s">
        <v>51</v>
      </c>
      <c r="H746" s="2" t="s">
        <v>28</v>
      </c>
      <c r="I746" s="2" t="s">
        <v>2838</v>
      </c>
      <c r="J746" s="2" t="s">
        <v>30</v>
      </c>
      <c r="K746" s="2" t="n">
        <v>2600</v>
      </c>
      <c r="L746" s="2" t="n">
        <v>250</v>
      </c>
      <c r="M746" s="2" t="n">
        <v>500</v>
      </c>
      <c r="N746" s="2" t="s">
        <v>2839</v>
      </c>
    </row>
    <row r="747" customFormat="false" ht="15" hidden="false" customHeight="false" outlineLevel="0" collapsed="false">
      <c r="A747" s="3" t="s">
        <v>1299</v>
      </c>
      <c r="B747" s="3" t="s">
        <v>2840</v>
      </c>
      <c r="C747" s="3" t="n">
        <v>1978</v>
      </c>
      <c r="D747" s="3" t="s">
        <v>49</v>
      </c>
      <c r="E747" s="3" t="s">
        <v>967</v>
      </c>
      <c r="F747" s="3" t="n">
        <v>2</v>
      </c>
      <c r="G747" s="3" t="s">
        <v>97</v>
      </c>
      <c r="H747" s="3" t="s">
        <v>121</v>
      </c>
      <c r="I747" s="3" t="s">
        <v>2841</v>
      </c>
      <c r="J747" s="3" t="s">
        <v>317</v>
      </c>
      <c r="K747" s="3" t="n">
        <v>870</v>
      </c>
      <c r="L747" s="3" t="n">
        <v>250</v>
      </c>
      <c r="M747" s="3" t="n">
        <v>500</v>
      </c>
      <c r="N747" s="3" t="s">
        <v>2842</v>
      </c>
    </row>
    <row r="748" customFormat="false" ht="15" hidden="false" customHeight="false" outlineLevel="0" collapsed="false">
      <c r="A748" s="2" t="s">
        <v>2843</v>
      </c>
      <c r="B748" s="2" t="s">
        <v>1708</v>
      </c>
      <c r="C748" s="2" t="n">
        <v>1979</v>
      </c>
      <c r="D748" s="2" t="s">
        <v>16</v>
      </c>
      <c r="E748" s="2" t="s">
        <v>190</v>
      </c>
      <c r="F748" s="2" t="n">
        <v>3</v>
      </c>
      <c r="G748" s="2" t="s">
        <v>97</v>
      </c>
      <c r="H748" s="2" t="s">
        <v>19</v>
      </c>
      <c r="I748" s="2" t="s">
        <v>2844</v>
      </c>
      <c r="J748" s="2" t="s">
        <v>176</v>
      </c>
      <c r="K748" s="2" t="n">
        <v>6000</v>
      </c>
      <c r="L748" s="2" t="n">
        <v>250</v>
      </c>
      <c r="M748" s="2" t="n">
        <v>750</v>
      </c>
      <c r="N748" s="2" t="s">
        <v>2845</v>
      </c>
    </row>
    <row r="749" customFormat="false" ht="15" hidden="false" customHeight="false" outlineLevel="0" collapsed="false">
      <c r="A749" s="3" t="s">
        <v>1870</v>
      </c>
      <c r="B749" s="3" t="s">
        <v>2083</v>
      </c>
      <c r="C749" s="3" t="n">
        <v>1980</v>
      </c>
      <c r="D749" s="3" t="s">
        <v>108</v>
      </c>
      <c r="E749" s="3" t="s">
        <v>137</v>
      </c>
      <c r="F749" s="3" t="n">
        <v>3</v>
      </c>
      <c r="G749" s="3" t="s">
        <v>18</v>
      </c>
      <c r="H749" s="3" t="s">
        <v>52</v>
      </c>
      <c r="I749" s="3" t="s">
        <v>2846</v>
      </c>
      <c r="J749" s="3" t="s">
        <v>92</v>
      </c>
      <c r="K749" s="3" t="n">
        <v>4870</v>
      </c>
      <c r="L749" s="3" t="n">
        <v>1200</v>
      </c>
      <c r="M749" s="3" t="n">
        <v>3600</v>
      </c>
      <c r="N749" s="3" t="s">
        <v>2847</v>
      </c>
    </row>
    <row r="750" customFormat="false" ht="15" hidden="false" customHeight="false" outlineLevel="0" collapsed="false">
      <c r="A750" s="2" t="s">
        <v>2848</v>
      </c>
      <c r="B750" s="2" t="s">
        <v>649</v>
      </c>
      <c r="C750" s="2" t="n">
        <v>1981</v>
      </c>
      <c r="D750" s="2" t="s">
        <v>108</v>
      </c>
      <c r="E750" s="2" t="s">
        <v>226</v>
      </c>
      <c r="F750" s="2" t="n">
        <v>1</v>
      </c>
      <c r="G750" s="2" t="s">
        <v>51</v>
      </c>
      <c r="H750" s="2" t="s">
        <v>121</v>
      </c>
      <c r="I750" s="2" t="s">
        <v>2849</v>
      </c>
      <c r="J750" s="2" t="s">
        <v>317</v>
      </c>
      <c r="K750" s="2" t="n">
        <v>870</v>
      </c>
      <c r="L750" s="2" t="n">
        <v>1200</v>
      </c>
      <c r="M750" s="2" t="n">
        <v>1200</v>
      </c>
      <c r="N750" s="2" t="s">
        <v>2850</v>
      </c>
    </row>
    <row r="751" customFormat="false" ht="15" hidden="false" customHeight="false" outlineLevel="0" collapsed="false">
      <c r="A751" s="3" t="s">
        <v>873</v>
      </c>
      <c r="B751" s="3" t="s">
        <v>2851</v>
      </c>
      <c r="C751" s="3" t="n">
        <v>1982</v>
      </c>
      <c r="D751" s="3" t="s">
        <v>34</v>
      </c>
      <c r="E751" s="3" t="s">
        <v>148</v>
      </c>
      <c r="F751" s="3" t="n">
        <v>2</v>
      </c>
      <c r="G751" s="3" t="s">
        <v>18</v>
      </c>
      <c r="H751" s="3" t="s">
        <v>121</v>
      </c>
      <c r="I751" s="3" t="s">
        <v>2852</v>
      </c>
      <c r="J751" s="3" t="s">
        <v>317</v>
      </c>
      <c r="K751" s="3" t="n">
        <v>870</v>
      </c>
      <c r="L751" s="3" t="n">
        <v>300</v>
      </c>
      <c r="M751" s="3" t="n">
        <v>600</v>
      </c>
      <c r="N751" s="3" t="s">
        <v>2853</v>
      </c>
    </row>
    <row r="752" customFormat="false" ht="15" hidden="false" customHeight="false" outlineLevel="0" collapsed="false">
      <c r="A752" s="2" t="s">
        <v>1400</v>
      </c>
      <c r="B752" s="2" t="s">
        <v>2854</v>
      </c>
      <c r="C752" s="2" t="n">
        <v>1983</v>
      </c>
      <c r="D752" s="2" t="s">
        <v>25</v>
      </c>
      <c r="E752" s="2" t="s">
        <v>497</v>
      </c>
      <c r="F752" s="2" t="n">
        <v>3</v>
      </c>
      <c r="G752" s="2" t="s">
        <v>27</v>
      </c>
      <c r="H752" s="2" t="s">
        <v>43</v>
      </c>
      <c r="I752" s="2" t="s">
        <v>2855</v>
      </c>
      <c r="J752" s="2" t="s">
        <v>45</v>
      </c>
      <c r="K752" s="2" t="n">
        <v>3350</v>
      </c>
      <c r="L752" s="2" t="n">
        <v>800</v>
      </c>
      <c r="M752" s="2" t="n">
        <v>2400</v>
      </c>
      <c r="N752" s="2" t="s">
        <v>2856</v>
      </c>
    </row>
    <row r="753" customFormat="false" ht="15" hidden="false" customHeight="false" outlineLevel="0" collapsed="false">
      <c r="A753" s="3" t="s">
        <v>2857</v>
      </c>
      <c r="B753" s="3" t="s">
        <v>2858</v>
      </c>
      <c r="C753" s="3" t="n">
        <v>1984</v>
      </c>
      <c r="D753" s="3" t="s">
        <v>108</v>
      </c>
      <c r="E753" s="3" t="s">
        <v>882</v>
      </c>
      <c r="F753" s="3" t="n">
        <v>2</v>
      </c>
      <c r="G753" s="3" t="s">
        <v>27</v>
      </c>
      <c r="H753" s="3" t="s">
        <v>59</v>
      </c>
      <c r="I753" s="3" t="s">
        <v>2859</v>
      </c>
      <c r="J753" s="3" t="s">
        <v>61</v>
      </c>
      <c r="K753" s="3" t="n">
        <v>5290</v>
      </c>
      <c r="L753" s="3" t="n">
        <v>1200</v>
      </c>
      <c r="M753" s="3" t="n">
        <v>2400</v>
      </c>
      <c r="N753" s="3" t="s">
        <v>2860</v>
      </c>
    </row>
    <row r="754" customFormat="false" ht="15" hidden="false" customHeight="false" outlineLevel="0" collapsed="false">
      <c r="A754" s="2" t="s">
        <v>1410</v>
      </c>
      <c r="B754" s="2" t="s">
        <v>2609</v>
      </c>
      <c r="C754" s="2" t="n">
        <v>1985</v>
      </c>
      <c r="D754" s="2" t="s">
        <v>49</v>
      </c>
      <c r="E754" s="2" t="s">
        <v>368</v>
      </c>
      <c r="F754" s="2" t="n">
        <v>3</v>
      </c>
      <c r="G754" s="2" t="s">
        <v>18</v>
      </c>
      <c r="H754" s="2" t="s">
        <v>19</v>
      </c>
      <c r="I754" s="2" t="s">
        <v>2861</v>
      </c>
      <c r="J754" s="2" t="s">
        <v>176</v>
      </c>
      <c r="K754" s="2" t="n">
        <v>6000</v>
      </c>
      <c r="L754" s="2" t="n">
        <v>250</v>
      </c>
      <c r="M754" s="2" t="n">
        <v>750</v>
      </c>
      <c r="N754" s="2" t="s">
        <v>2862</v>
      </c>
    </row>
    <row r="755" customFormat="false" ht="15" hidden="false" customHeight="false" outlineLevel="0" collapsed="false">
      <c r="A755" s="3" t="s">
        <v>2863</v>
      </c>
      <c r="B755" s="3" t="s">
        <v>2864</v>
      </c>
      <c r="C755" s="3" t="n">
        <v>1986</v>
      </c>
      <c r="D755" s="3" t="s">
        <v>25</v>
      </c>
      <c r="E755" s="3" t="s">
        <v>1031</v>
      </c>
      <c r="F755" s="3" t="n">
        <v>2</v>
      </c>
      <c r="G755" s="3" t="s">
        <v>51</v>
      </c>
      <c r="H755" s="3" t="s">
        <v>36</v>
      </c>
      <c r="I755" s="3" t="s">
        <v>2865</v>
      </c>
      <c r="J755" s="3" t="s">
        <v>38</v>
      </c>
      <c r="K755" s="3" t="n">
        <v>2300</v>
      </c>
      <c r="L755" s="3" t="n">
        <v>800</v>
      </c>
      <c r="M755" s="3" t="n">
        <v>1600</v>
      </c>
      <c r="N755" s="3" t="s">
        <v>2866</v>
      </c>
    </row>
    <row r="756" customFormat="false" ht="15" hidden="false" customHeight="false" outlineLevel="0" collapsed="false">
      <c r="A756" s="2" t="s">
        <v>2867</v>
      </c>
      <c r="B756" s="2" t="s">
        <v>2868</v>
      </c>
      <c r="C756" s="2" t="n">
        <v>1987</v>
      </c>
      <c r="D756" s="2" t="s">
        <v>25</v>
      </c>
      <c r="E756" s="2" t="s">
        <v>1270</v>
      </c>
      <c r="F756" s="2" t="n">
        <v>3</v>
      </c>
      <c r="G756" s="2" t="s">
        <v>18</v>
      </c>
      <c r="H756" s="2" t="s">
        <v>28</v>
      </c>
      <c r="I756" s="2" t="s">
        <v>2869</v>
      </c>
      <c r="J756" s="2" t="s">
        <v>30</v>
      </c>
      <c r="K756" s="2" t="n">
        <v>2600</v>
      </c>
      <c r="L756" s="2" t="n">
        <v>800</v>
      </c>
      <c r="M756" s="2" t="n">
        <v>2400</v>
      </c>
      <c r="N756" s="2" t="s">
        <v>2870</v>
      </c>
    </row>
    <row r="757" customFormat="false" ht="15" hidden="false" customHeight="false" outlineLevel="0" collapsed="false">
      <c r="A757" s="3" t="s">
        <v>2871</v>
      </c>
      <c r="B757" s="3" t="s">
        <v>255</v>
      </c>
      <c r="C757" s="3" t="n">
        <v>1988</v>
      </c>
      <c r="D757" s="3" t="s">
        <v>147</v>
      </c>
      <c r="E757" s="3" t="s">
        <v>2087</v>
      </c>
      <c r="F757" s="3" t="n">
        <v>2</v>
      </c>
      <c r="G757" s="3" t="s">
        <v>51</v>
      </c>
      <c r="H757" s="3" t="s">
        <v>121</v>
      </c>
      <c r="I757" s="3" t="s">
        <v>2872</v>
      </c>
      <c r="J757" s="3" t="s">
        <v>317</v>
      </c>
      <c r="K757" s="3" t="n">
        <v>870</v>
      </c>
      <c r="L757" s="3" t="n">
        <v>600</v>
      </c>
      <c r="M757" s="3" t="n">
        <v>1200</v>
      </c>
      <c r="N757" s="3" t="s">
        <v>2873</v>
      </c>
    </row>
    <row r="758" customFormat="false" ht="15" hidden="false" customHeight="false" outlineLevel="0" collapsed="false">
      <c r="A758" s="2" t="s">
        <v>994</v>
      </c>
      <c r="B758" s="2" t="s">
        <v>2864</v>
      </c>
      <c r="C758" s="2" t="n">
        <v>1989</v>
      </c>
      <c r="D758" s="2" t="s">
        <v>147</v>
      </c>
      <c r="E758" s="2" t="s">
        <v>2423</v>
      </c>
      <c r="F758" s="2" t="n">
        <v>3</v>
      </c>
      <c r="G758" s="2" t="s">
        <v>51</v>
      </c>
      <c r="H758" s="2" t="s">
        <v>36</v>
      </c>
      <c r="I758" s="2" t="s">
        <v>2874</v>
      </c>
      <c r="J758" s="2" t="s">
        <v>170</v>
      </c>
      <c r="K758" s="2" t="n">
        <v>2500</v>
      </c>
      <c r="L758" s="2" t="n">
        <v>600</v>
      </c>
      <c r="M758" s="2" t="n">
        <v>1800</v>
      </c>
      <c r="N758" s="2" t="s">
        <v>2875</v>
      </c>
    </row>
    <row r="759" customFormat="false" ht="15" hidden="false" customHeight="false" outlineLevel="0" collapsed="false">
      <c r="A759" s="3" t="s">
        <v>1755</v>
      </c>
      <c r="B759" s="3" t="s">
        <v>2876</v>
      </c>
      <c r="C759" s="3" t="n">
        <v>1990</v>
      </c>
      <c r="D759" s="3" t="s">
        <v>108</v>
      </c>
      <c r="E759" s="3" t="s">
        <v>1009</v>
      </c>
      <c r="F759" s="3" t="n">
        <v>2</v>
      </c>
      <c r="G759" s="3" t="s">
        <v>18</v>
      </c>
      <c r="H759" s="3" t="s">
        <v>19</v>
      </c>
      <c r="I759" s="3" t="s">
        <v>2877</v>
      </c>
      <c r="J759" s="3" t="s">
        <v>73</v>
      </c>
      <c r="K759" s="3" t="n">
        <v>6160</v>
      </c>
      <c r="L759" s="3" t="n">
        <v>1200</v>
      </c>
      <c r="M759" s="3" t="n">
        <v>2400</v>
      </c>
      <c r="N759" s="3" t="s">
        <v>2878</v>
      </c>
    </row>
    <row r="760" customFormat="false" ht="15" hidden="false" customHeight="false" outlineLevel="0" collapsed="false">
      <c r="A760" s="2" t="s">
        <v>101</v>
      </c>
      <c r="B760" s="2" t="s">
        <v>2879</v>
      </c>
      <c r="C760" s="2" t="n">
        <v>1991</v>
      </c>
      <c r="D760" s="2" t="s">
        <v>34</v>
      </c>
      <c r="E760" s="2" t="s">
        <v>1730</v>
      </c>
      <c r="F760" s="2" t="n">
        <v>2</v>
      </c>
      <c r="G760" s="2" t="s">
        <v>18</v>
      </c>
      <c r="H760" s="2" t="s">
        <v>121</v>
      </c>
      <c r="I760" s="2" t="s">
        <v>2880</v>
      </c>
      <c r="J760" s="2" t="s">
        <v>317</v>
      </c>
      <c r="K760" s="2" t="n">
        <v>870</v>
      </c>
      <c r="L760" s="2" t="n">
        <v>300</v>
      </c>
      <c r="M760" s="2" t="n">
        <v>600</v>
      </c>
      <c r="N760" s="2" t="s">
        <v>2881</v>
      </c>
    </row>
    <row r="761" customFormat="false" ht="15" hidden="false" customHeight="false" outlineLevel="0" collapsed="false">
      <c r="A761" s="3" t="s">
        <v>1363</v>
      </c>
      <c r="B761" s="3" t="s">
        <v>2882</v>
      </c>
      <c r="C761" s="3" t="n">
        <v>1992</v>
      </c>
      <c r="D761" s="3" t="s">
        <v>49</v>
      </c>
      <c r="E761" s="3" t="s">
        <v>1402</v>
      </c>
      <c r="F761" s="3" t="n">
        <v>1</v>
      </c>
      <c r="G761" s="3" t="s">
        <v>27</v>
      </c>
      <c r="H761" s="3" t="s">
        <v>52</v>
      </c>
      <c r="I761" s="3" t="s">
        <v>2883</v>
      </c>
      <c r="J761" s="3" t="s">
        <v>54</v>
      </c>
      <c r="K761" s="3" t="n">
        <v>4217</v>
      </c>
      <c r="L761" s="3" t="n">
        <v>250</v>
      </c>
      <c r="M761" s="3" t="n">
        <v>250</v>
      </c>
      <c r="N761" s="3" t="s">
        <v>2884</v>
      </c>
    </row>
    <row r="762" customFormat="false" ht="15" hidden="false" customHeight="false" outlineLevel="0" collapsed="false">
      <c r="A762" s="2" t="s">
        <v>1063</v>
      </c>
      <c r="B762" s="2" t="s">
        <v>915</v>
      </c>
      <c r="C762" s="2" t="n">
        <v>1993</v>
      </c>
      <c r="D762" s="2" t="s">
        <v>16</v>
      </c>
      <c r="E762" s="2" t="s">
        <v>2638</v>
      </c>
      <c r="F762" s="2" t="n">
        <v>1</v>
      </c>
      <c r="G762" s="2" t="s">
        <v>51</v>
      </c>
      <c r="H762" s="2" t="s">
        <v>52</v>
      </c>
      <c r="I762" s="2" t="s">
        <v>2885</v>
      </c>
      <c r="J762" s="2" t="s">
        <v>54</v>
      </c>
      <c r="K762" s="2" t="n">
        <v>4217</v>
      </c>
      <c r="L762" s="2" t="n">
        <v>250</v>
      </c>
      <c r="M762" s="2" t="n">
        <v>250</v>
      </c>
      <c r="N762" s="2" t="s">
        <v>2886</v>
      </c>
    </row>
    <row r="763" customFormat="false" ht="15" hidden="false" customHeight="false" outlineLevel="0" collapsed="false">
      <c r="A763" s="3" t="s">
        <v>2150</v>
      </c>
      <c r="B763" s="3" t="s">
        <v>1198</v>
      </c>
      <c r="C763" s="3" t="n">
        <v>1994</v>
      </c>
      <c r="D763" s="3" t="s">
        <v>108</v>
      </c>
      <c r="E763" s="3" t="s">
        <v>2887</v>
      </c>
      <c r="F763" s="3" t="n">
        <v>2</v>
      </c>
      <c r="G763" s="3" t="s">
        <v>18</v>
      </c>
      <c r="H763" s="3" t="s">
        <v>78</v>
      </c>
      <c r="I763" s="3" t="s">
        <v>2888</v>
      </c>
      <c r="J763" s="3" t="s">
        <v>86</v>
      </c>
      <c r="K763" s="3" t="n">
        <v>7000</v>
      </c>
      <c r="L763" s="3" t="n">
        <v>1200</v>
      </c>
      <c r="M763" s="3" t="n">
        <v>2400</v>
      </c>
      <c r="N763" s="3" t="s">
        <v>2889</v>
      </c>
    </row>
    <row r="764" customFormat="false" ht="15" hidden="false" customHeight="false" outlineLevel="0" collapsed="false">
      <c r="A764" s="2" t="s">
        <v>2890</v>
      </c>
      <c r="B764" s="2" t="s">
        <v>1127</v>
      </c>
      <c r="C764" s="2" t="n">
        <v>1995</v>
      </c>
      <c r="D764" s="2" t="s">
        <v>16</v>
      </c>
      <c r="E764" s="2" t="s">
        <v>2111</v>
      </c>
      <c r="F764" s="2" t="n">
        <v>3</v>
      </c>
      <c r="G764" s="2" t="s">
        <v>18</v>
      </c>
      <c r="H764" s="2" t="s">
        <v>19</v>
      </c>
      <c r="I764" s="2" t="s">
        <v>2891</v>
      </c>
      <c r="J764" s="2" t="s">
        <v>73</v>
      </c>
      <c r="K764" s="2" t="n">
        <v>6160</v>
      </c>
      <c r="L764" s="2" t="n">
        <v>250</v>
      </c>
      <c r="M764" s="2" t="n">
        <v>750</v>
      </c>
      <c r="N764" s="2" t="s">
        <v>2892</v>
      </c>
    </row>
    <row r="765" customFormat="false" ht="15" hidden="false" customHeight="false" outlineLevel="0" collapsed="false">
      <c r="A765" s="3" t="s">
        <v>2893</v>
      </c>
      <c r="B765" s="3" t="s">
        <v>2879</v>
      </c>
      <c r="C765" s="3" t="n">
        <v>1996</v>
      </c>
      <c r="D765" s="3" t="s">
        <v>49</v>
      </c>
      <c r="E765" s="3" t="s">
        <v>71</v>
      </c>
      <c r="F765" s="3" t="n">
        <v>3</v>
      </c>
      <c r="G765" s="3" t="s">
        <v>51</v>
      </c>
      <c r="H765" s="3" t="s">
        <v>52</v>
      </c>
      <c r="I765" s="3" t="s">
        <v>2894</v>
      </c>
      <c r="J765" s="3" t="s">
        <v>92</v>
      </c>
      <c r="K765" s="3" t="n">
        <v>4870</v>
      </c>
      <c r="L765" s="3" t="n">
        <v>250</v>
      </c>
      <c r="M765" s="3" t="n">
        <v>750</v>
      </c>
      <c r="N765" s="3" t="s">
        <v>2895</v>
      </c>
    </row>
    <row r="766" customFormat="false" ht="15" hidden="false" customHeight="false" outlineLevel="0" collapsed="false">
      <c r="A766" s="2" t="s">
        <v>2153</v>
      </c>
      <c r="B766" s="2" t="s">
        <v>2896</v>
      </c>
      <c r="C766" s="2" t="n">
        <v>1997</v>
      </c>
      <c r="D766" s="2" t="s">
        <v>16</v>
      </c>
      <c r="E766" s="2" t="s">
        <v>1022</v>
      </c>
      <c r="F766" s="2" t="n">
        <v>1</v>
      </c>
      <c r="G766" s="2" t="s">
        <v>51</v>
      </c>
      <c r="H766" s="2" t="s">
        <v>78</v>
      </c>
      <c r="I766" s="2" t="s">
        <v>2897</v>
      </c>
      <c r="J766" s="2" t="s">
        <v>80</v>
      </c>
      <c r="K766" s="2" t="n">
        <v>7250</v>
      </c>
      <c r="L766" s="2" t="n">
        <v>250</v>
      </c>
      <c r="M766" s="2" t="n">
        <v>250</v>
      </c>
      <c r="N766" s="2" t="s">
        <v>2898</v>
      </c>
    </row>
    <row r="767" customFormat="false" ht="15" hidden="false" customHeight="false" outlineLevel="0" collapsed="false">
      <c r="A767" s="3" t="s">
        <v>179</v>
      </c>
      <c r="B767" s="3" t="s">
        <v>2899</v>
      </c>
      <c r="C767" s="3" t="n">
        <v>1998</v>
      </c>
      <c r="D767" s="3" t="s">
        <v>108</v>
      </c>
      <c r="E767" s="3" t="s">
        <v>887</v>
      </c>
      <c r="F767" s="3" t="n">
        <v>3</v>
      </c>
      <c r="G767" s="3" t="s">
        <v>97</v>
      </c>
      <c r="H767" s="3" t="s">
        <v>121</v>
      </c>
      <c r="I767" s="3" t="s">
        <v>2900</v>
      </c>
      <c r="J767" s="3" t="s">
        <v>123</v>
      </c>
      <c r="K767" s="3" t="n">
        <v>800</v>
      </c>
      <c r="L767" s="3" t="n">
        <v>1200</v>
      </c>
      <c r="M767" s="3" t="n">
        <v>3600</v>
      </c>
      <c r="N767" s="3" t="s">
        <v>2901</v>
      </c>
    </row>
    <row r="768" customFormat="false" ht="15" hidden="false" customHeight="false" outlineLevel="0" collapsed="false">
      <c r="A768" s="2" t="s">
        <v>1870</v>
      </c>
      <c r="B768" s="2" t="s">
        <v>2882</v>
      </c>
      <c r="C768" s="2" t="n">
        <v>1999</v>
      </c>
      <c r="D768" s="2" t="s">
        <v>49</v>
      </c>
      <c r="E768" s="2" t="s">
        <v>1764</v>
      </c>
      <c r="F768" s="2" t="n">
        <v>3</v>
      </c>
      <c r="G768" s="2" t="s">
        <v>18</v>
      </c>
      <c r="H768" s="2" t="s">
        <v>19</v>
      </c>
      <c r="I768" s="2" t="s">
        <v>2902</v>
      </c>
      <c r="J768" s="2" t="s">
        <v>73</v>
      </c>
      <c r="K768" s="2" t="n">
        <v>6160</v>
      </c>
      <c r="L768" s="2" t="n">
        <v>250</v>
      </c>
      <c r="M768" s="2" t="n">
        <v>750</v>
      </c>
      <c r="N768" s="2" t="s">
        <v>2903</v>
      </c>
    </row>
    <row r="769" customFormat="false" ht="15" hidden="false" customHeight="false" outlineLevel="0" collapsed="false">
      <c r="A769" s="3" t="s">
        <v>2904</v>
      </c>
      <c r="B769" s="3" t="s">
        <v>987</v>
      </c>
      <c r="C769" s="3" t="n">
        <v>2000</v>
      </c>
      <c r="D769" s="3" t="s">
        <v>108</v>
      </c>
      <c r="E769" s="3" t="s">
        <v>593</v>
      </c>
      <c r="F769" s="3" t="n">
        <v>3</v>
      </c>
      <c r="G769" s="3" t="s">
        <v>51</v>
      </c>
      <c r="H769" s="3" t="s">
        <v>19</v>
      </c>
      <c r="I769" s="3" t="s">
        <v>2905</v>
      </c>
      <c r="J769" s="3" t="s">
        <v>176</v>
      </c>
      <c r="K769" s="3" t="n">
        <v>6000</v>
      </c>
      <c r="L769" s="3" t="n">
        <v>1200</v>
      </c>
      <c r="M769" s="3" t="n">
        <v>3600</v>
      </c>
      <c r="N769" s="3" t="s">
        <v>2906</v>
      </c>
    </row>
    <row r="770" customFormat="false" ht="15" hidden="false" customHeight="false" outlineLevel="0" collapsed="false">
      <c r="A770" s="2" t="s">
        <v>264</v>
      </c>
      <c r="B770" s="2" t="s">
        <v>1591</v>
      </c>
      <c r="C770" s="2" t="n">
        <v>2001</v>
      </c>
      <c r="D770" s="2" t="s">
        <v>108</v>
      </c>
      <c r="E770" s="2" t="s">
        <v>65</v>
      </c>
      <c r="F770" s="2" t="n">
        <v>3</v>
      </c>
      <c r="G770" s="2" t="s">
        <v>18</v>
      </c>
      <c r="H770" s="2" t="s">
        <v>36</v>
      </c>
      <c r="I770" s="2" t="s">
        <v>2907</v>
      </c>
      <c r="J770" s="2" t="s">
        <v>170</v>
      </c>
      <c r="K770" s="2" t="n">
        <v>2500</v>
      </c>
      <c r="L770" s="2" t="n">
        <v>1200</v>
      </c>
      <c r="M770" s="2" t="n">
        <v>3600</v>
      </c>
      <c r="N770" s="2" t="s">
        <v>2908</v>
      </c>
    </row>
    <row r="771" customFormat="false" ht="15" hidden="false" customHeight="false" outlineLevel="0" collapsed="false">
      <c r="A771" s="3" t="s">
        <v>954</v>
      </c>
      <c r="B771" s="3" t="s">
        <v>2042</v>
      </c>
      <c r="C771" s="3" t="n">
        <v>2002</v>
      </c>
      <c r="D771" s="3" t="s">
        <v>108</v>
      </c>
      <c r="E771" s="3" t="s">
        <v>820</v>
      </c>
      <c r="F771" s="3" t="n">
        <v>2</v>
      </c>
      <c r="G771" s="3" t="s">
        <v>51</v>
      </c>
      <c r="H771" s="3" t="s">
        <v>43</v>
      </c>
      <c r="I771" s="3" t="s">
        <v>2909</v>
      </c>
      <c r="J771" s="3" t="s">
        <v>45</v>
      </c>
      <c r="K771" s="3" t="n">
        <v>3350</v>
      </c>
      <c r="L771" s="3" t="n">
        <v>1200</v>
      </c>
      <c r="M771" s="3" t="n">
        <v>2400</v>
      </c>
      <c r="N771" s="3" t="s">
        <v>2910</v>
      </c>
    </row>
    <row r="772" customFormat="false" ht="15" hidden="false" customHeight="false" outlineLevel="0" collapsed="false">
      <c r="A772" s="2" t="s">
        <v>617</v>
      </c>
      <c r="B772" s="2" t="s">
        <v>2911</v>
      </c>
      <c r="C772" s="2" t="n">
        <v>2003</v>
      </c>
      <c r="D772" s="2" t="s">
        <v>25</v>
      </c>
      <c r="E772" s="2" t="s">
        <v>549</v>
      </c>
      <c r="F772" s="2" t="n">
        <v>2</v>
      </c>
      <c r="G772" s="2" t="s">
        <v>51</v>
      </c>
      <c r="H772" s="2" t="s">
        <v>36</v>
      </c>
      <c r="I772" s="2" t="s">
        <v>2912</v>
      </c>
      <c r="J772" s="2" t="s">
        <v>170</v>
      </c>
      <c r="K772" s="2" t="n">
        <v>2500</v>
      </c>
      <c r="L772" s="2" t="n">
        <v>800</v>
      </c>
      <c r="M772" s="2" t="n">
        <v>1600</v>
      </c>
      <c r="N772" s="2" t="s">
        <v>2913</v>
      </c>
    </row>
    <row r="773" customFormat="false" ht="15" hidden="false" customHeight="false" outlineLevel="0" collapsed="false">
      <c r="A773" s="3" t="s">
        <v>1702</v>
      </c>
      <c r="B773" s="3" t="s">
        <v>2655</v>
      </c>
      <c r="C773" s="3" t="n">
        <v>2004</v>
      </c>
      <c r="D773" s="3" t="s">
        <v>16</v>
      </c>
      <c r="E773" s="3" t="s">
        <v>1152</v>
      </c>
      <c r="F773" s="3" t="n">
        <v>1</v>
      </c>
      <c r="G773" s="3" t="s">
        <v>51</v>
      </c>
      <c r="H773" s="3" t="s">
        <v>36</v>
      </c>
      <c r="I773" s="3" t="s">
        <v>2914</v>
      </c>
      <c r="J773" s="3" t="s">
        <v>170</v>
      </c>
      <c r="K773" s="3" t="n">
        <v>2500</v>
      </c>
      <c r="L773" s="3" t="n">
        <v>250</v>
      </c>
      <c r="M773" s="3" t="n">
        <v>250</v>
      </c>
      <c r="N773" s="3" t="s">
        <v>2915</v>
      </c>
    </row>
    <row r="774" customFormat="false" ht="15" hidden="false" customHeight="false" outlineLevel="0" collapsed="false">
      <c r="A774" s="2" t="s">
        <v>832</v>
      </c>
      <c r="B774" s="2" t="s">
        <v>2916</v>
      </c>
      <c r="C774" s="2" t="n">
        <v>2005</v>
      </c>
      <c r="D774" s="2" t="s">
        <v>147</v>
      </c>
      <c r="E774" s="2" t="s">
        <v>2917</v>
      </c>
      <c r="F774" s="2" t="n">
        <v>2</v>
      </c>
      <c r="G774" s="2" t="s">
        <v>18</v>
      </c>
      <c r="H774" s="2" t="s">
        <v>59</v>
      </c>
      <c r="I774" s="2" t="s">
        <v>2918</v>
      </c>
      <c r="J774" s="2" t="s">
        <v>61</v>
      </c>
      <c r="K774" s="2" t="n">
        <v>5290</v>
      </c>
      <c r="L774" s="2" t="n">
        <v>600</v>
      </c>
      <c r="M774" s="2" t="n">
        <v>1200</v>
      </c>
      <c r="N774" s="2" t="s">
        <v>2919</v>
      </c>
    </row>
    <row r="775" customFormat="false" ht="15" hidden="false" customHeight="false" outlineLevel="0" collapsed="false">
      <c r="A775" s="3" t="s">
        <v>2262</v>
      </c>
      <c r="B775" s="3" t="s">
        <v>439</v>
      </c>
      <c r="C775" s="3" t="n">
        <v>2006</v>
      </c>
      <c r="D775" s="3" t="s">
        <v>49</v>
      </c>
      <c r="E775" s="3" t="s">
        <v>71</v>
      </c>
      <c r="F775" s="3" t="n">
        <v>1</v>
      </c>
      <c r="G775" s="3" t="s">
        <v>51</v>
      </c>
      <c r="H775" s="3" t="s">
        <v>36</v>
      </c>
      <c r="I775" s="3" t="s">
        <v>2920</v>
      </c>
      <c r="J775" s="3" t="s">
        <v>170</v>
      </c>
      <c r="K775" s="3" t="n">
        <v>2500</v>
      </c>
      <c r="L775" s="3" t="n">
        <v>250</v>
      </c>
      <c r="M775" s="3" t="n">
        <v>250</v>
      </c>
      <c r="N775" s="3" t="s">
        <v>2921</v>
      </c>
    </row>
    <row r="776" customFormat="false" ht="15" hidden="false" customHeight="false" outlineLevel="0" collapsed="false">
      <c r="A776" s="2" t="s">
        <v>954</v>
      </c>
      <c r="B776" s="2" t="s">
        <v>2482</v>
      </c>
      <c r="C776" s="2" t="n">
        <v>2007</v>
      </c>
      <c r="D776" s="2" t="s">
        <v>49</v>
      </c>
      <c r="E776" s="2" t="s">
        <v>425</v>
      </c>
      <c r="F776" s="2" t="n">
        <v>3</v>
      </c>
      <c r="G776" s="2" t="s">
        <v>51</v>
      </c>
      <c r="H776" s="2" t="s">
        <v>36</v>
      </c>
      <c r="I776" s="2" t="s">
        <v>2922</v>
      </c>
      <c r="J776" s="2" t="s">
        <v>38</v>
      </c>
      <c r="K776" s="2" t="n">
        <v>2300</v>
      </c>
      <c r="L776" s="2" t="n">
        <v>250</v>
      </c>
      <c r="M776" s="2" t="n">
        <v>750</v>
      </c>
      <c r="N776" s="2" t="s">
        <v>2923</v>
      </c>
    </row>
    <row r="777" customFormat="false" ht="15" hidden="false" customHeight="false" outlineLevel="0" collapsed="false">
      <c r="A777" s="3" t="s">
        <v>1422</v>
      </c>
      <c r="B777" s="3" t="s">
        <v>76</v>
      </c>
      <c r="C777" s="3" t="n">
        <v>2008</v>
      </c>
      <c r="D777" s="3" t="s">
        <v>25</v>
      </c>
      <c r="E777" s="3" t="s">
        <v>2018</v>
      </c>
      <c r="F777" s="3" t="n">
        <v>1</v>
      </c>
      <c r="G777" s="3" t="s">
        <v>51</v>
      </c>
      <c r="H777" s="3" t="s">
        <v>19</v>
      </c>
      <c r="I777" s="3" t="s">
        <v>2924</v>
      </c>
      <c r="J777" s="3" t="s">
        <v>21</v>
      </c>
      <c r="K777" s="3" t="n">
        <v>6725</v>
      </c>
      <c r="L777" s="3" t="n">
        <v>800</v>
      </c>
      <c r="M777" s="3" t="n">
        <v>800</v>
      </c>
      <c r="N777" s="3" t="s">
        <v>2925</v>
      </c>
    </row>
    <row r="778" customFormat="false" ht="15" hidden="false" customHeight="false" outlineLevel="0" collapsed="false">
      <c r="A778" s="2" t="s">
        <v>15</v>
      </c>
      <c r="B778" s="2" t="s">
        <v>157</v>
      </c>
      <c r="C778" s="2" t="n">
        <v>2009</v>
      </c>
      <c r="D778" s="2" t="s">
        <v>147</v>
      </c>
      <c r="E778" s="2" t="s">
        <v>2926</v>
      </c>
      <c r="F778" s="2" t="n">
        <v>3</v>
      </c>
      <c r="G778" s="2" t="s">
        <v>27</v>
      </c>
      <c r="H778" s="2" t="s">
        <v>59</v>
      </c>
      <c r="I778" s="2" t="s">
        <v>2927</v>
      </c>
      <c r="J778" s="2" t="s">
        <v>61</v>
      </c>
      <c r="K778" s="2" t="n">
        <v>5290</v>
      </c>
      <c r="L778" s="2" t="n">
        <v>600</v>
      </c>
      <c r="M778" s="2" t="n">
        <v>1800</v>
      </c>
      <c r="N778" s="2" t="s">
        <v>2928</v>
      </c>
    </row>
    <row r="779" customFormat="false" ht="15" hidden="false" customHeight="false" outlineLevel="0" collapsed="false">
      <c r="A779" s="3" t="s">
        <v>2929</v>
      </c>
      <c r="B779" s="3" t="s">
        <v>2930</v>
      </c>
      <c r="C779" s="3" t="n">
        <v>2010</v>
      </c>
      <c r="D779" s="3" t="s">
        <v>16</v>
      </c>
      <c r="E779" s="3" t="s">
        <v>1990</v>
      </c>
      <c r="F779" s="3" t="n">
        <v>2</v>
      </c>
      <c r="G779" s="3" t="s">
        <v>51</v>
      </c>
      <c r="H779" s="3" t="s">
        <v>78</v>
      </c>
      <c r="I779" s="3" t="s">
        <v>2931</v>
      </c>
      <c r="J779" s="3" t="s">
        <v>86</v>
      </c>
      <c r="K779" s="3" t="n">
        <v>7000</v>
      </c>
      <c r="L779" s="3" t="n">
        <v>250</v>
      </c>
      <c r="M779" s="3" t="n">
        <v>500</v>
      </c>
      <c r="N779" s="3" t="s">
        <v>2932</v>
      </c>
    </row>
    <row r="780" customFormat="false" ht="15" hidden="false" customHeight="false" outlineLevel="0" collapsed="false">
      <c r="A780" s="2" t="s">
        <v>2703</v>
      </c>
      <c r="B780" s="2" t="s">
        <v>2933</v>
      </c>
      <c r="C780" s="2" t="n">
        <v>2011</v>
      </c>
      <c r="D780" s="2" t="s">
        <v>147</v>
      </c>
      <c r="E780" s="2" t="s">
        <v>2051</v>
      </c>
      <c r="F780" s="2" t="n">
        <v>3</v>
      </c>
      <c r="G780" s="2" t="s">
        <v>18</v>
      </c>
      <c r="H780" s="2" t="s">
        <v>43</v>
      </c>
      <c r="I780" s="2" t="s">
        <v>2934</v>
      </c>
      <c r="J780" s="2" t="s">
        <v>111</v>
      </c>
      <c r="K780" s="2" t="n">
        <v>3000</v>
      </c>
      <c r="L780" s="2" t="n">
        <v>600</v>
      </c>
      <c r="M780" s="2" t="n">
        <v>1800</v>
      </c>
      <c r="N780" s="2" t="s">
        <v>2935</v>
      </c>
    </row>
    <row r="781" customFormat="false" ht="15" hidden="false" customHeight="false" outlineLevel="0" collapsed="false">
      <c r="A781" s="3" t="s">
        <v>2867</v>
      </c>
      <c r="B781" s="3" t="s">
        <v>552</v>
      </c>
      <c r="C781" s="3" t="n">
        <v>2012</v>
      </c>
      <c r="D781" s="3" t="s">
        <v>49</v>
      </c>
      <c r="E781" s="3" t="s">
        <v>236</v>
      </c>
      <c r="F781" s="3" t="n">
        <v>1</v>
      </c>
      <c r="G781" s="3" t="s">
        <v>18</v>
      </c>
      <c r="H781" s="3" t="s">
        <v>121</v>
      </c>
      <c r="I781" s="3" t="s">
        <v>2936</v>
      </c>
      <c r="J781" s="3" t="s">
        <v>123</v>
      </c>
      <c r="K781" s="3" t="n">
        <v>800</v>
      </c>
      <c r="L781" s="3" t="n">
        <v>250</v>
      </c>
      <c r="M781" s="3" t="n">
        <v>250</v>
      </c>
      <c r="N781" s="3" t="s">
        <v>2937</v>
      </c>
    </row>
    <row r="782" customFormat="false" ht="15" hidden="false" customHeight="false" outlineLevel="0" collapsed="false">
      <c r="A782" s="2" t="s">
        <v>1806</v>
      </c>
      <c r="B782" s="2" t="s">
        <v>2938</v>
      </c>
      <c r="C782" s="2" t="n">
        <v>2013</v>
      </c>
      <c r="D782" s="2" t="s">
        <v>108</v>
      </c>
      <c r="E782" s="2" t="s">
        <v>1270</v>
      </c>
      <c r="F782" s="2" t="n">
        <v>1</v>
      </c>
      <c r="G782" s="2" t="s">
        <v>18</v>
      </c>
      <c r="H782" s="2" t="s">
        <v>43</v>
      </c>
      <c r="I782" s="2" t="s">
        <v>2939</v>
      </c>
      <c r="J782" s="2" t="s">
        <v>67</v>
      </c>
      <c r="K782" s="2" t="n">
        <v>3220</v>
      </c>
      <c r="L782" s="2" t="n">
        <v>1200</v>
      </c>
      <c r="M782" s="2" t="n">
        <v>1200</v>
      </c>
      <c r="N782" s="2" t="s">
        <v>2940</v>
      </c>
    </row>
    <row r="783" customFormat="false" ht="15" hidden="false" customHeight="false" outlineLevel="0" collapsed="false">
      <c r="A783" s="3" t="s">
        <v>2941</v>
      </c>
      <c r="B783" s="3" t="s">
        <v>1848</v>
      </c>
      <c r="C783" s="3" t="n">
        <v>2014</v>
      </c>
      <c r="D783" s="3" t="s">
        <v>147</v>
      </c>
      <c r="E783" s="3" t="s">
        <v>1064</v>
      </c>
      <c r="F783" s="3" t="n">
        <v>2</v>
      </c>
      <c r="G783" s="3" t="s">
        <v>18</v>
      </c>
      <c r="H783" s="3" t="s">
        <v>19</v>
      </c>
      <c r="I783" s="3" t="s">
        <v>2942</v>
      </c>
      <c r="J783" s="3" t="s">
        <v>21</v>
      </c>
      <c r="K783" s="3" t="n">
        <v>6725</v>
      </c>
      <c r="L783" s="3" t="n">
        <v>600</v>
      </c>
      <c r="M783" s="3" t="n">
        <v>1200</v>
      </c>
      <c r="N783" s="3" t="s">
        <v>2943</v>
      </c>
    </row>
    <row r="784" customFormat="false" ht="15" hidden="false" customHeight="false" outlineLevel="0" collapsed="false">
      <c r="A784" s="2" t="s">
        <v>2944</v>
      </c>
      <c r="B784" s="2" t="s">
        <v>235</v>
      </c>
      <c r="C784" s="2" t="n">
        <v>2015</v>
      </c>
      <c r="D784" s="2" t="s">
        <v>34</v>
      </c>
      <c r="E784" s="2" t="s">
        <v>1453</v>
      </c>
      <c r="F784" s="2" t="n">
        <v>3</v>
      </c>
      <c r="G784" s="2" t="s">
        <v>18</v>
      </c>
      <c r="H784" s="2" t="s">
        <v>43</v>
      </c>
      <c r="I784" s="2" t="s">
        <v>2945</v>
      </c>
      <c r="J784" s="2" t="s">
        <v>111</v>
      </c>
      <c r="K784" s="2" t="n">
        <v>3000</v>
      </c>
      <c r="L784" s="2" t="n">
        <v>300</v>
      </c>
      <c r="M784" s="2" t="n">
        <v>900</v>
      </c>
      <c r="N784" s="2" t="s">
        <v>2946</v>
      </c>
    </row>
    <row r="785" customFormat="false" ht="15" hidden="false" customHeight="false" outlineLevel="0" collapsed="false">
      <c r="A785" s="3" t="s">
        <v>2947</v>
      </c>
      <c r="B785" s="3" t="s">
        <v>2948</v>
      </c>
      <c r="C785" s="3" t="n">
        <v>2016</v>
      </c>
      <c r="D785" s="3" t="s">
        <v>108</v>
      </c>
      <c r="E785" s="3" t="s">
        <v>2949</v>
      </c>
      <c r="F785" s="3" t="n">
        <v>3</v>
      </c>
      <c r="G785" s="3" t="s">
        <v>18</v>
      </c>
      <c r="H785" s="3" t="s">
        <v>19</v>
      </c>
      <c r="I785" s="3" t="s">
        <v>2950</v>
      </c>
      <c r="J785" s="3" t="s">
        <v>73</v>
      </c>
      <c r="K785" s="3" t="n">
        <v>6160</v>
      </c>
      <c r="L785" s="3" t="n">
        <v>1200</v>
      </c>
      <c r="M785" s="3" t="n">
        <v>3600</v>
      </c>
      <c r="N785" s="3" t="s">
        <v>2951</v>
      </c>
    </row>
    <row r="786" customFormat="false" ht="15" hidden="false" customHeight="false" outlineLevel="0" collapsed="false">
      <c r="A786" s="2" t="s">
        <v>2952</v>
      </c>
      <c r="B786" s="2" t="s">
        <v>2953</v>
      </c>
      <c r="C786" s="2" t="n">
        <v>2017</v>
      </c>
      <c r="D786" s="2" t="s">
        <v>147</v>
      </c>
      <c r="E786" s="2" t="s">
        <v>435</v>
      </c>
      <c r="F786" s="2" t="n">
        <v>2</v>
      </c>
      <c r="G786" s="2" t="s">
        <v>18</v>
      </c>
      <c r="H786" s="2" t="s">
        <v>43</v>
      </c>
      <c r="I786" s="2" t="s">
        <v>2954</v>
      </c>
      <c r="J786" s="2" t="s">
        <v>111</v>
      </c>
      <c r="K786" s="2" t="n">
        <v>3000</v>
      </c>
      <c r="L786" s="2" t="n">
        <v>600</v>
      </c>
      <c r="M786" s="2" t="n">
        <v>1200</v>
      </c>
      <c r="N786" s="2" t="s">
        <v>2955</v>
      </c>
    </row>
    <row r="787" customFormat="false" ht="15" hidden="false" customHeight="false" outlineLevel="0" collapsed="false">
      <c r="A787" s="3" t="s">
        <v>1410</v>
      </c>
      <c r="B787" s="3" t="s">
        <v>2948</v>
      </c>
      <c r="C787" s="3" t="n">
        <v>2018</v>
      </c>
      <c r="D787" s="3" t="s">
        <v>49</v>
      </c>
      <c r="E787" s="3" t="s">
        <v>2553</v>
      </c>
      <c r="F787" s="3" t="n">
        <v>2</v>
      </c>
      <c r="G787" s="3" t="s">
        <v>18</v>
      </c>
      <c r="H787" s="3" t="s">
        <v>52</v>
      </c>
      <c r="I787" s="3" t="s">
        <v>2956</v>
      </c>
      <c r="J787" s="3" t="s">
        <v>54</v>
      </c>
      <c r="K787" s="3" t="n">
        <v>4217</v>
      </c>
      <c r="L787" s="3" t="n">
        <v>250</v>
      </c>
      <c r="M787" s="3" t="n">
        <v>500</v>
      </c>
      <c r="N787" s="3" t="s">
        <v>2957</v>
      </c>
    </row>
    <row r="788" customFormat="false" ht="15" hidden="false" customHeight="false" outlineLevel="0" collapsed="false">
      <c r="A788" s="2" t="s">
        <v>1440</v>
      </c>
      <c r="B788" s="2" t="s">
        <v>2392</v>
      </c>
      <c r="C788" s="2" t="n">
        <v>2019</v>
      </c>
      <c r="D788" s="2" t="s">
        <v>108</v>
      </c>
      <c r="E788" s="2" t="s">
        <v>2080</v>
      </c>
      <c r="F788" s="2" t="n">
        <v>2</v>
      </c>
      <c r="G788" s="2" t="s">
        <v>18</v>
      </c>
      <c r="H788" s="2" t="s">
        <v>36</v>
      </c>
      <c r="I788" s="2" t="s">
        <v>2958</v>
      </c>
      <c r="J788" s="2" t="s">
        <v>38</v>
      </c>
      <c r="K788" s="2" t="n">
        <v>2300</v>
      </c>
      <c r="L788" s="2" t="n">
        <v>1200</v>
      </c>
      <c r="M788" s="2" t="n">
        <v>2400</v>
      </c>
      <c r="N788" s="2" t="s">
        <v>2959</v>
      </c>
    </row>
    <row r="789" customFormat="false" ht="15" hidden="false" customHeight="false" outlineLevel="0" collapsed="false">
      <c r="A789" s="3" t="s">
        <v>1417</v>
      </c>
      <c r="B789" s="3" t="s">
        <v>2245</v>
      </c>
      <c r="C789" s="3" t="n">
        <v>2020</v>
      </c>
      <c r="D789" s="3" t="s">
        <v>16</v>
      </c>
      <c r="E789" s="3" t="s">
        <v>1764</v>
      </c>
      <c r="F789" s="3" t="n">
        <v>1</v>
      </c>
      <c r="G789" s="3" t="s">
        <v>51</v>
      </c>
      <c r="H789" s="3" t="s">
        <v>59</v>
      </c>
      <c r="I789" s="3" t="s">
        <v>2960</v>
      </c>
      <c r="J789" s="3" t="s">
        <v>61</v>
      </c>
      <c r="K789" s="3" t="n">
        <v>5290</v>
      </c>
      <c r="L789" s="3" t="n">
        <v>250</v>
      </c>
      <c r="M789" s="3" t="n">
        <v>250</v>
      </c>
      <c r="N789" s="3" t="s">
        <v>2961</v>
      </c>
    </row>
    <row r="790" customFormat="false" ht="15" hidden="false" customHeight="false" outlineLevel="0" collapsed="false">
      <c r="A790" s="2" t="s">
        <v>2962</v>
      </c>
      <c r="B790" s="2" t="s">
        <v>2105</v>
      </c>
      <c r="C790" s="2" t="n">
        <v>2021</v>
      </c>
      <c r="D790" s="2" t="s">
        <v>34</v>
      </c>
      <c r="E790" s="2" t="s">
        <v>392</v>
      </c>
      <c r="F790" s="2" t="n">
        <v>1</v>
      </c>
      <c r="G790" s="2" t="s">
        <v>27</v>
      </c>
      <c r="H790" s="2" t="s">
        <v>52</v>
      </c>
      <c r="I790" s="2" t="s">
        <v>2963</v>
      </c>
      <c r="J790" s="2" t="s">
        <v>92</v>
      </c>
      <c r="K790" s="2" t="n">
        <v>4870</v>
      </c>
      <c r="L790" s="2" t="n">
        <v>300</v>
      </c>
      <c r="M790" s="2" t="n">
        <v>300</v>
      </c>
      <c r="N790" s="2" t="s">
        <v>2964</v>
      </c>
    </row>
    <row r="791" customFormat="false" ht="15" hidden="false" customHeight="false" outlineLevel="0" collapsed="false">
      <c r="A791" s="3" t="s">
        <v>2965</v>
      </c>
      <c r="B791" s="3" t="s">
        <v>525</v>
      </c>
      <c r="C791" s="3" t="n">
        <v>2022</v>
      </c>
      <c r="D791" s="3" t="s">
        <v>25</v>
      </c>
      <c r="E791" s="3" t="s">
        <v>349</v>
      </c>
      <c r="F791" s="3" t="n">
        <v>1</v>
      </c>
      <c r="G791" s="3" t="s">
        <v>51</v>
      </c>
      <c r="H791" s="3" t="s">
        <v>28</v>
      </c>
      <c r="I791" s="3" t="s">
        <v>2966</v>
      </c>
      <c r="J791" s="3" t="s">
        <v>30</v>
      </c>
      <c r="K791" s="3" t="n">
        <v>2600</v>
      </c>
      <c r="L791" s="3" t="n">
        <v>800</v>
      </c>
      <c r="M791" s="3" t="n">
        <v>800</v>
      </c>
      <c r="N791" s="3" t="s">
        <v>2967</v>
      </c>
    </row>
    <row r="792" customFormat="false" ht="15" hidden="false" customHeight="false" outlineLevel="0" collapsed="false">
      <c r="A792" s="2" t="s">
        <v>2968</v>
      </c>
      <c r="B792" s="2" t="s">
        <v>2969</v>
      </c>
      <c r="C792" s="2" t="n">
        <v>2023</v>
      </c>
      <c r="D792" s="2" t="s">
        <v>147</v>
      </c>
      <c r="E792" s="2" t="s">
        <v>1796</v>
      </c>
      <c r="F792" s="2" t="n">
        <v>3</v>
      </c>
      <c r="G792" s="2" t="s">
        <v>51</v>
      </c>
      <c r="H792" s="2" t="s">
        <v>78</v>
      </c>
      <c r="I792" s="2" t="s">
        <v>2970</v>
      </c>
      <c r="J792" s="2" t="s">
        <v>80</v>
      </c>
      <c r="K792" s="2" t="n">
        <v>7250</v>
      </c>
      <c r="L792" s="2" t="n">
        <v>600</v>
      </c>
      <c r="M792" s="2" t="n">
        <v>1800</v>
      </c>
      <c r="N792" s="2" t="s">
        <v>2971</v>
      </c>
    </row>
    <row r="793" customFormat="false" ht="15" hidden="false" customHeight="false" outlineLevel="0" collapsed="false">
      <c r="A793" s="3" t="s">
        <v>2439</v>
      </c>
      <c r="B793" s="3" t="s">
        <v>2224</v>
      </c>
      <c r="C793" s="3" t="n">
        <v>2024</v>
      </c>
      <c r="D793" s="3" t="s">
        <v>108</v>
      </c>
      <c r="E793" s="3" t="s">
        <v>387</v>
      </c>
      <c r="F793" s="3" t="n">
        <v>1</v>
      </c>
      <c r="G793" s="3" t="s">
        <v>97</v>
      </c>
      <c r="H793" s="3" t="s">
        <v>78</v>
      </c>
      <c r="I793" s="3" t="s">
        <v>2972</v>
      </c>
      <c r="J793" s="3" t="s">
        <v>80</v>
      </c>
      <c r="K793" s="3" t="n">
        <v>7250</v>
      </c>
      <c r="L793" s="3" t="n">
        <v>1200</v>
      </c>
      <c r="M793" s="3" t="n">
        <v>1200</v>
      </c>
      <c r="N793" s="3" t="s">
        <v>2973</v>
      </c>
    </row>
    <row r="794" customFormat="false" ht="15" hidden="false" customHeight="false" outlineLevel="0" collapsed="false">
      <c r="A794" s="2" t="s">
        <v>2974</v>
      </c>
      <c r="B794" s="2" t="s">
        <v>1514</v>
      </c>
      <c r="C794" s="2" t="n">
        <v>2025</v>
      </c>
      <c r="D794" s="2" t="s">
        <v>108</v>
      </c>
      <c r="E794" s="2" t="s">
        <v>336</v>
      </c>
      <c r="F794" s="2" t="n">
        <v>3</v>
      </c>
      <c r="G794" s="2" t="s">
        <v>18</v>
      </c>
      <c r="H794" s="2" t="s">
        <v>43</v>
      </c>
      <c r="I794" s="2" t="s">
        <v>2975</v>
      </c>
      <c r="J794" s="2" t="s">
        <v>45</v>
      </c>
      <c r="K794" s="2" t="n">
        <v>3350</v>
      </c>
      <c r="L794" s="2" t="n">
        <v>1200</v>
      </c>
      <c r="M794" s="2" t="n">
        <v>3600</v>
      </c>
      <c r="N794" s="2" t="s">
        <v>2976</v>
      </c>
    </row>
    <row r="795" customFormat="false" ht="15" hidden="false" customHeight="false" outlineLevel="0" collapsed="false">
      <c r="A795" s="3" t="s">
        <v>1748</v>
      </c>
      <c r="B795" s="3" t="s">
        <v>2311</v>
      </c>
      <c r="C795" s="3" t="n">
        <v>2026</v>
      </c>
      <c r="D795" s="3" t="s">
        <v>147</v>
      </c>
      <c r="E795" s="3" t="s">
        <v>2268</v>
      </c>
      <c r="F795" s="3" t="n">
        <v>3</v>
      </c>
      <c r="G795" s="3" t="s">
        <v>18</v>
      </c>
      <c r="H795" s="3" t="s">
        <v>52</v>
      </c>
      <c r="I795" s="3" t="s">
        <v>2977</v>
      </c>
      <c r="J795" s="3" t="s">
        <v>92</v>
      </c>
      <c r="K795" s="3" t="n">
        <v>4870</v>
      </c>
      <c r="L795" s="3" t="n">
        <v>600</v>
      </c>
      <c r="M795" s="3" t="n">
        <v>1800</v>
      </c>
      <c r="N795" s="3" t="s">
        <v>2978</v>
      </c>
    </row>
    <row r="796" customFormat="false" ht="15" hidden="false" customHeight="false" outlineLevel="0" collapsed="false">
      <c r="A796" s="2" t="s">
        <v>2979</v>
      </c>
      <c r="B796" s="2" t="s">
        <v>2980</v>
      </c>
      <c r="C796" s="2" t="n">
        <v>2027</v>
      </c>
      <c r="D796" s="2" t="s">
        <v>108</v>
      </c>
      <c r="E796" s="2" t="s">
        <v>2981</v>
      </c>
      <c r="F796" s="2" t="n">
        <v>3</v>
      </c>
      <c r="G796" s="2" t="s">
        <v>18</v>
      </c>
      <c r="H796" s="2" t="s">
        <v>121</v>
      </c>
      <c r="I796" s="2" t="s">
        <v>2982</v>
      </c>
      <c r="J796" s="2" t="s">
        <v>317</v>
      </c>
      <c r="K796" s="2" t="n">
        <v>870</v>
      </c>
      <c r="L796" s="2" t="n">
        <v>1200</v>
      </c>
      <c r="M796" s="2" t="n">
        <v>3600</v>
      </c>
      <c r="N796" s="2" t="s">
        <v>2983</v>
      </c>
    </row>
    <row r="797" customFormat="false" ht="15" hidden="false" customHeight="false" outlineLevel="0" collapsed="false">
      <c r="A797" s="3" t="s">
        <v>2984</v>
      </c>
      <c r="B797" s="3" t="s">
        <v>1860</v>
      </c>
      <c r="C797" s="3" t="n">
        <v>2028</v>
      </c>
      <c r="D797" s="3" t="s">
        <v>16</v>
      </c>
      <c r="E797" s="3" t="s">
        <v>1624</v>
      </c>
      <c r="F797" s="3" t="n">
        <v>3</v>
      </c>
      <c r="G797" s="3" t="s">
        <v>18</v>
      </c>
      <c r="H797" s="3" t="s">
        <v>121</v>
      </c>
      <c r="I797" s="3" t="s">
        <v>2985</v>
      </c>
      <c r="J797" s="3" t="s">
        <v>317</v>
      </c>
      <c r="K797" s="3" t="n">
        <v>870</v>
      </c>
      <c r="L797" s="3" t="n">
        <v>250</v>
      </c>
      <c r="M797" s="3" t="n">
        <v>750</v>
      </c>
      <c r="N797" s="3" t="s">
        <v>2986</v>
      </c>
    </row>
    <row r="798" customFormat="false" ht="15" hidden="false" customHeight="false" outlineLevel="0" collapsed="false">
      <c r="A798" s="2" t="s">
        <v>2987</v>
      </c>
      <c r="B798" s="2" t="s">
        <v>2988</v>
      </c>
      <c r="C798" s="2" t="n">
        <v>2029</v>
      </c>
      <c r="D798" s="2" t="s">
        <v>16</v>
      </c>
      <c r="E798" s="2" t="s">
        <v>1262</v>
      </c>
      <c r="F798" s="2" t="n">
        <v>3</v>
      </c>
      <c r="G798" s="2" t="s">
        <v>51</v>
      </c>
      <c r="H798" s="2" t="s">
        <v>19</v>
      </c>
      <c r="I798" s="2" t="s">
        <v>2989</v>
      </c>
      <c r="J798" s="2" t="s">
        <v>73</v>
      </c>
      <c r="K798" s="2" t="n">
        <v>6160</v>
      </c>
      <c r="L798" s="2" t="n">
        <v>250</v>
      </c>
      <c r="M798" s="2" t="n">
        <v>750</v>
      </c>
      <c r="N798" s="2" t="s">
        <v>2990</v>
      </c>
    </row>
    <row r="799" customFormat="false" ht="15" hidden="false" customHeight="false" outlineLevel="0" collapsed="false">
      <c r="A799" s="3" t="s">
        <v>1843</v>
      </c>
      <c r="B799" s="3" t="s">
        <v>1885</v>
      </c>
      <c r="C799" s="3" t="n">
        <v>2030</v>
      </c>
      <c r="D799" s="3" t="s">
        <v>108</v>
      </c>
      <c r="E799" s="3" t="s">
        <v>692</v>
      </c>
      <c r="F799" s="3" t="n">
        <v>2</v>
      </c>
      <c r="G799" s="3" t="s">
        <v>51</v>
      </c>
      <c r="H799" s="3" t="s">
        <v>43</v>
      </c>
      <c r="I799" s="3" t="s">
        <v>2991</v>
      </c>
      <c r="J799" s="3" t="s">
        <v>111</v>
      </c>
      <c r="K799" s="3" t="n">
        <v>3000</v>
      </c>
      <c r="L799" s="3" t="n">
        <v>1200</v>
      </c>
      <c r="M799" s="3" t="n">
        <v>2400</v>
      </c>
      <c r="N799" s="3" t="s">
        <v>2992</v>
      </c>
    </row>
    <row r="800" customFormat="false" ht="15" hidden="false" customHeight="false" outlineLevel="0" collapsed="false">
      <c r="A800" s="2" t="s">
        <v>1751</v>
      </c>
      <c r="B800" s="2" t="s">
        <v>2993</v>
      </c>
      <c r="C800" s="2" t="n">
        <v>2031</v>
      </c>
      <c r="D800" s="2" t="s">
        <v>16</v>
      </c>
      <c r="E800" s="2" t="s">
        <v>2994</v>
      </c>
      <c r="F800" s="2" t="n">
        <v>1</v>
      </c>
      <c r="G800" s="2" t="s">
        <v>18</v>
      </c>
      <c r="H800" s="2" t="s">
        <v>43</v>
      </c>
      <c r="I800" s="2" t="s">
        <v>2995</v>
      </c>
      <c r="J800" s="2" t="s">
        <v>67</v>
      </c>
      <c r="K800" s="2" t="n">
        <v>3220</v>
      </c>
      <c r="L800" s="2" t="n">
        <v>250</v>
      </c>
      <c r="M800" s="2" t="n">
        <v>250</v>
      </c>
      <c r="N800" s="2" t="s">
        <v>2996</v>
      </c>
    </row>
    <row r="801" customFormat="false" ht="15" hidden="false" customHeight="false" outlineLevel="0" collapsed="false">
      <c r="A801" s="3" t="s">
        <v>2248</v>
      </c>
      <c r="B801" s="3" t="s">
        <v>2680</v>
      </c>
      <c r="C801" s="3" t="n">
        <v>2032</v>
      </c>
      <c r="D801" s="3" t="s">
        <v>34</v>
      </c>
      <c r="E801" s="3" t="s">
        <v>807</v>
      </c>
      <c r="F801" s="3" t="n">
        <v>3</v>
      </c>
      <c r="G801" s="3" t="s">
        <v>18</v>
      </c>
      <c r="H801" s="3" t="s">
        <v>28</v>
      </c>
      <c r="I801" s="3" t="s">
        <v>2997</v>
      </c>
      <c r="J801" s="3" t="s">
        <v>30</v>
      </c>
      <c r="K801" s="3" t="n">
        <v>2600</v>
      </c>
      <c r="L801" s="3" t="n">
        <v>300</v>
      </c>
      <c r="M801" s="3" t="n">
        <v>900</v>
      </c>
      <c r="N801" s="3" t="s">
        <v>2998</v>
      </c>
    </row>
    <row r="802" customFormat="false" ht="15" hidden="false" customHeight="false" outlineLevel="0" collapsed="false">
      <c r="A802" s="2" t="s">
        <v>2904</v>
      </c>
      <c r="B802" s="2" t="s">
        <v>2253</v>
      </c>
      <c r="C802" s="2" t="n">
        <v>2033</v>
      </c>
      <c r="D802" s="2" t="s">
        <v>34</v>
      </c>
      <c r="E802" s="2" t="s">
        <v>1569</v>
      </c>
      <c r="F802" s="2" t="n">
        <v>2</v>
      </c>
      <c r="G802" s="2" t="s">
        <v>51</v>
      </c>
      <c r="H802" s="2" t="s">
        <v>43</v>
      </c>
      <c r="I802" s="2" t="s">
        <v>2999</v>
      </c>
      <c r="J802" s="2" t="s">
        <v>111</v>
      </c>
      <c r="K802" s="2" t="n">
        <v>3000</v>
      </c>
      <c r="L802" s="2" t="n">
        <v>300</v>
      </c>
      <c r="M802" s="2" t="n">
        <v>600</v>
      </c>
      <c r="N802" s="2" t="s">
        <v>3000</v>
      </c>
    </row>
    <row r="803" customFormat="false" ht="15" hidden="false" customHeight="false" outlineLevel="0" collapsed="false">
      <c r="A803" s="3" t="s">
        <v>2416</v>
      </c>
      <c r="B803" s="3" t="s">
        <v>743</v>
      </c>
      <c r="C803" s="3" t="n">
        <v>2034</v>
      </c>
      <c r="D803" s="3" t="s">
        <v>25</v>
      </c>
      <c r="E803" s="3" t="s">
        <v>1152</v>
      </c>
      <c r="F803" s="3" t="n">
        <v>2</v>
      </c>
      <c r="G803" s="3" t="s">
        <v>51</v>
      </c>
      <c r="H803" s="3" t="s">
        <v>19</v>
      </c>
      <c r="I803" s="3" t="s">
        <v>3001</v>
      </c>
      <c r="J803" s="3" t="s">
        <v>176</v>
      </c>
      <c r="K803" s="3" t="n">
        <v>6000</v>
      </c>
      <c r="L803" s="3" t="n">
        <v>800</v>
      </c>
      <c r="M803" s="3" t="n">
        <v>1600</v>
      </c>
      <c r="N803" s="3" t="s">
        <v>3002</v>
      </c>
    </row>
    <row r="804" customFormat="false" ht="15" hidden="false" customHeight="false" outlineLevel="0" collapsed="false">
      <c r="A804" s="2" t="s">
        <v>1584</v>
      </c>
      <c r="B804" s="2" t="s">
        <v>2253</v>
      </c>
      <c r="C804" s="2" t="n">
        <v>2035</v>
      </c>
      <c r="D804" s="2" t="s">
        <v>108</v>
      </c>
      <c r="E804" s="2" t="s">
        <v>753</v>
      </c>
      <c r="F804" s="2" t="n">
        <v>2</v>
      </c>
      <c r="G804" s="2" t="s">
        <v>18</v>
      </c>
      <c r="H804" s="2" t="s">
        <v>19</v>
      </c>
      <c r="I804" s="2" t="s">
        <v>3003</v>
      </c>
      <c r="J804" s="2" t="s">
        <v>73</v>
      </c>
      <c r="K804" s="2" t="n">
        <v>6160</v>
      </c>
      <c r="L804" s="2" t="n">
        <v>1200</v>
      </c>
      <c r="M804" s="2" t="n">
        <v>2400</v>
      </c>
      <c r="N804" s="2" t="s">
        <v>3004</v>
      </c>
    </row>
    <row r="805" customFormat="false" ht="15" hidden="false" customHeight="false" outlineLevel="0" collapsed="false">
      <c r="A805" s="3" t="s">
        <v>3005</v>
      </c>
      <c r="B805" s="3" t="s">
        <v>3006</v>
      </c>
      <c r="C805" s="3" t="n">
        <v>2036</v>
      </c>
      <c r="D805" s="3" t="s">
        <v>108</v>
      </c>
      <c r="E805" s="3" t="s">
        <v>3007</v>
      </c>
      <c r="F805" s="3" t="n">
        <v>1</v>
      </c>
      <c r="G805" s="3" t="s">
        <v>51</v>
      </c>
      <c r="H805" s="3" t="s">
        <v>28</v>
      </c>
      <c r="I805" s="3" t="s">
        <v>3008</v>
      </c>
      <c r="J805" s="3" t="s">
        <v>30</v>
      </c>
      <c r="K805" s="3" t="n">
        <v>2600</v>
      </c>
      <c r="L805" s="3" t="n">
        <v>1200</v>
      </c>
      <c r="M805" s="3" t="n">
        <v>1200</v>
      </c>
      <c r="N805" s="3" t="s">
        <v>3009</v>
      </c>
    </row>
    <row r="806" customFormat="false" ht="15" hidden="false" customHeight="false" outlineLevel="0" collapsed="false">
      <c r="A806" s="2" t="s">
        <v>3010</v>
      </c>
      <c r="B806" s="2" t="s">
        <v>3011</v>
      </c>
      <c r="C806" s="2" t="n">
        <v>2037</v>
      </c>
      <c r="D806" s="2" t="s">
        <v>34</v>
      </c>
      <c r="E806" s="2" t="s">
        <v>345</v>
      </c>
      <c r="F806" s="2" t="n">
        <v>3</v>
      </c>
      <c r="G806" s="2" t="s">
        <v>51</v>
      </c>
      <c r="H806" s="2" t="s">
        <v>78</v>
      </c>
      <c r="I806" s="2" t="s">
        <v>3012</v>
      </c>
      <c r="J806" s="2" t="s">
        <v>86</v>
      </c>
      <c r="K806" s="2" t="n">
        <v>7000</v>
      </c>
      <c r="L806" s="2" t="n">
        <v>300</v>
      </c>
      <c r="M806" s="2" t="n">
        <v>900</v>
      </c>
      <c r="N806" s="2" t="s">
        <v>3013</v>
      </c>
    </row>
    <row r="807" customFormat="false" ht="15" hidden="false" customHeight="false" outlineLevel="0" collapsed="false">
      <c r="A807" s="3" t="s">
        <v>1780</v>
      </c>
      <c r="B807" s="3" t="s">
        <v>2422</v>
      </c>
      <c r="C807" s="3" t="n">
        <v>2038</v>
      </c>
      <c r="D807" s="3" t="s">
        <v>34</v>
      </c>
      <c r="E807" s="3" t="s">
        <v>1764</v>
      </c>
      <c r="F807" s="3" t="n">
        <v>3</v>
      </c>
      <c r="G807" s="3" t="s">
        <v>18</v>
      </c>
      <c r="H807" s="3" t="s">
        <v>121</v>
      </c>
      <c r="I807" s="3" t="s">
        <v>3014</v>
      </c>
      <c r="J807" s="3" t="s">
        <v>317</v>
      </c>
      <c r="K807" s="3" t="n">
        <v>870</v>
      </c>
      <c r="L807" s="3" t="n">
        <v>300</v>
      </c>
      <c r="M807" s="3" t="n">
        <v>900</v>
      </c>
      <c r="N807" s="3" t="s">
        <v>3015</v>
      </c>
    </row>
    <row r="808" customFormat="false" ht="15" hidden="false" customHeight="false" outlineLevel="0" collapsed="false">
      <c r="A808" s="2" t="s">
        <v>2789</v>
      </c>
      <c r="B808" s="2" t="s">
        <v>1104</v>
      </c>
      <c r="C808" s="2" t="n">
        <v>2039</v>
      </c>
      <c r="D808" s="2" t="s">
        <v>147</v>
      </c>
      <c r="E808" s="2" t="s">
        <v>216</v>
      </c>
      <c r="F808" s="2" t="n">
        <v>3</v>
      </c>
      <c r="G808" s="2" t="s">
        <v>51</v>
      </c>
      <c r="H808" s="2" t="s">
        <v>52</v>
      </c>
      <c r="I808" s="2" t="s">
        <v>3016</v>
      </c>
      <c r="J808" s="2" t="s">
        <v>54</v>
      </c>
      <c r="K808" s="2" t="n">
        <v>4217</v>
      </c>
      <c r="L808" s="2" t="n">
        <v>600</v>
      </c>
      <c r="M808" s="2" t="n">
        <v>1800</v>
      </c>
      <c r="N808" s="2" t="s">
        <v>3017</v>
      </c>
    </row>
    <row r="809" customFormat="false" ht="15" hidden="false" customHeight="false" outlineLevel="0" collapsed="false">
      <c r="A809" s="3" t="s">
        <v>3018</v>
      </c>
      <c r="B809" s="3" t="s">
        <v>652</v>
      </c>
      <c r="C809" s="3" t="n">
        <v>2040</v>
      </c>
      <c r="D809" s="3" t="s">
        <v>49</v>
      </c>
      <c r="E809" s="3" t="s">
        <v>196</v>
      </c>
      <c r="F809" s="3" t="n">
        <v>2</v>
      </c>
      <c r="G809" s="3" t="s">
        <v>97</v>
      </c>
      <c r="H809" s="3" t="s">
        <v>36</v>
      </c>
      <c r="I809" s="3" t="s">
        <v>3019</v>
      </c>
      <c r="J809" s="3" t="s">
        <v>192</v>
      </c>
      <c r="K809" s="3" t="n">
        <v>2000</v>
      </c>
      <c r="L809" s="3" t="n">
        <v>250</v>
      </c>
      <c r="M809" s="3" t="n">
        <v>500</v>
      </c>
      <c r="N809" s="3" t="s">
        <v>3020</v>
      </c>
    </row>
    <row r="810" customFormat="false" ht="15" hidden="false" customHeight="false" outlineLevel="0" collapsed="false">
      <c r="A810" s="2" t="s">
        <v>3021</v>
      </c>
      <c r="B810" s="2" t="s">
        <v>3022</v>
      </c>
      <c r="C810" s="2" t="n">
        <v>2041</v>
      </c>
      <c r="D810" s="2" t="s">
        <v>25</v>
      </c>
      <c r="E810" s="2" t="s">
        <v>1976</v>
      </c>
      <c r="F810" s="2" t="n">
        <v>1</v>
      </c>
      <c r="G810" s="2" t="s">
        <v>18</v>
      </c>
      <c r="H810" s="2" t="s">
        <v>59</v>
      </c>
      <c r="I810" s="2" t="s">
        <v>3023</v>
      </c>
      <c r="J810" s="2" t="s">
        <v>61</v>
      </c>
      <c r="K810" s="2" t="n">
        <v>5290</v>
      </c>
      <c r="L810" s="2" t="n">
        <v>800</v>
      </c>
      <c r="M810" s="2" t="n">
        <v>800</v>
      </c>
      <c r="N810" s="2" t="s">
        <v>3024</v>
      </c>
    </row>
    <row r="811" customFormat="false" ht="15" hidden="false" customHeight="false" outlineLevel="0" collapsed="false">
      <c r="A811" s="3" t="s">
        <v>1832</v>
      </c>
      <c r="B811" s="3" t="s">
        <v>420</v>
      </c>
      <c r="C811" s="3" t="n">
        <v>2042</v>
      </c>
      <c r="D811" s="3" t="s">
        <v>34</v>
      </c>
      <c r="E811" s="3" t="s">
        <v>3025</v>
      </c>
      <c r="F811" s="3" t="n">
        <v>1</v>
      </c>
      <c r="G811" s="3" t="s">
        <v>18</v>
      </c>
      <c r="H811" s="3" t="s">
        <v>78</v>
      </c>
      <c r="I811" s="3" t="s">
        <v>3026</v>
      </c>
      <c r="J811" s="3" t="s">
        <v>408</v>
      </c>
      <c r="K811" s="3" t="n">
        <v>7310</v>
      </c>
      <c r="L811" s="3" t="n">
        <v>300</v>
      </c>
      <c r="M811" s="3" t="n">
        <v>300</v>
      </c>
      <c r="N811" s="3" t="s">
        <v>3027</v>
      </c>
    </row>
    <row r="812" customFormat="false" ht="15" hidden="false" customHeight="false" outlineLevel="0" collapsed="false">
      <c r="A812" s="2" t="s">
        <v>3028</v>
      </c>
      <c r="B812" s="2" t="s">
        <v>3029</v>
      </c>
      <c r="C812" s="2" t="n">
        <v>2043</v>
      </c>
      <c r="D812" s="2" t="s">
        <v>49</v>
      </c>
      <c r="E812" s="2" t="s">
        <v>757</v>
      </c>
      <c r="F812" s="2" t="n">
        <v>2</v>
      </c>
      <c r="G812" s="2" t="s">
        <v>27</v>
      </c>
      <c r="H812" s="2" t="s">
        <v>36</v>
      </c>
      <c r="I812" s="2" t="s">
        <v>3030</v>
      </c>
      <c r="J812" s="2" t="s">
        <v>38</v>
      </c>
      <c r="K812" s="2" t="n">
        <v>2300</v>
      </c>
      <c r="L812" s="2" t="n">
        <v>250</v>
      </c>
      <c r="M812" s="2" t="n">
        <v>500</v>
      </c>
      <c r="N812" s="2" t="s">
        <v>3031</v>
      </c>
    </row>
    <row r="813" customFormat="false" ht="15" hidden="false" customHeight="false" outlineLevel="0" collapsed="false">
      <c r="A813" s="3" t="s">
        <v>439</v>
      </c>
      <c r="B813" s="3" t="s">
        <v>3032</v>
      </c>
      <c r="C813" s="3" t="n">
        <v>2044</v>
      </c>
      <c r="D813" s="3" t="s">
        <v>16</v>
      </c>
      <c r="E813" s="3" t="s">
        <v>311</v>
      </c>
      <c r="F813" s="3" t="n">
        <v>2</v>
      </c>
      <c r="G813" s="3" t="s">
        <v>18</v>
      </c>
      <c r="H813" s="3" t="s">
        <v>43</v>
      </c>
      <c r="I813" s="3" t="s">
        <v>3033</v>
      </c>
      <c r="J813" s="3" t="s">
        <v>67</v>
      </c>
      <c r="K813" s="3" t="n">
        <v>3220</v>
      </c>
      <c r="L813" s="3" t="n">
        <v>250</v>
      </c>
      <c r="M813" s="3" t="n">
        <v>500</v>
      </c>
      <c r="N813" s="3" t="s">
        <v>3034</v>
      </c>
    </row>
    <row r="814" customFormat="false" ht="15" hidden="false" customHeight="false" outlineLevel="0" collapsed="false">
      <c r="A814" s="2" t="s">
        <v>3035</v>
      </c>
      <c r="B814" s="2" t="s">
        <v>1327</v>
      </c>
      <c r="C814" s="2" t="n">
        <v>2045</v>
      </c>
      <c r="D814" s="2" t="s">
        <v>25</v>
      </c>
      <c r="E814" s="2" t="s">
        <v>2167</v>
      </c>
      <c r="F814" s="2" t="n">
        <v>3</v>
      </c>
      <c r="G814" s="2" t="s">
        <v>18</v>
      </c>
      <c r="H814" s="2" t="s">
        <v>36</v>
      </c>
      <c r="I814" s="2" t="s">
        <v>3036</v>
      </c>
      <c r="J814" s="2" t="s">
        <v>170</v>
      </c>
      <c r="K814" s="2" t="n">
        <v>2500</v>
      </c>
      <c r="L814" s="2" t="n">
        <v>800</v>
      </c>
      <c r="M814" s="2" t="n">
        <v>2400</v>
      </c>
      <c r="N814" s="2" t="s">
        <v>3037</v>
      </c>
    </row>
    <row r="815" customFormat="false" ht="15" hidden="false" customHeight="false" outlineLevel="0" collapsed="false">
      <c r="A815" s="3" t="s">
        <v>2174</v>
      </c>
      <c r="B815" s="3" t="s">
        <v>3038</v>
      </c>
      <c r="C815" s="3" t="n">
        <v>2046</v>
      </c>
      <c r="D815" s="3" t="s">
        <v>147</v>
      </c>
      <c r="E815" s="3" t="s">
        <v>3039</v>
      </c>
      <c r="F815" s="3" t="n">
        <v>1</v>
      </c>
      <c r="G815" s="3" t="s">
        <v>97</v>
      </c>
      <c r="H815" s="3" t="s">
        <v>43</v>
      </c>
      <c r="I815" s="3" t="s">
        <v>3040</v>
      </c>
      <c r="J815" s="3" t="s">
        <v>111</v>
      </c>
      <c r="K815" s="3" t="n">
        <v>3000</v>
      </c>
      <c r="L815" s="3" t="n">
        <v>600</v>
      </c>
      <c r="M815" s="3" t="n">
        <v>600</v>
      </c>
      <c r="N815" s="3" t="s">
        <v>3041</v>
      </c>
    </row>
    <row r="816" customFormat="false" ht="15" hidden="false" customHeight="false" outlineLevel="0" collapsed="false">
      <c r="A816" s="2" t="s">
        <v>3042</v>
      </c>
      <c r="B816" s="2" t="s">
        <v>2070</v>
      </c>
      <c r="C816" s="2" t="n">
        <v>2047</v>
      </c>
      <c r="D816" s="2" t="s">
        <v>25</v>
      </c>
      <c r="E816" s="2" t="s">
        <v>2643</v>
      </c>
      <c r="F816" s="2" t="n">
        <v>1</v>
      </c>
      <c r="G816" s="2" t="s">
        <v>51</v>
      </c>
      <c r="H816" s="2" t="s">
        <v>36</v>
      </c>
      <c r="I816" s="2" t="s">
        <v>3043</v>
      </c>
      <c r="J816" s="2" t="s">
        <v>38</v>
      </c>
      <c r="K816" s="2" t="n">
        <v>2300</v>
      </c>
      <c r="L816" s="2" t="n">
        <v>800</v>
      </c>
      <c r="M816" s="2" t="n">
        <v>800</v>
      </c>
      <c r="N816" s="2" t="s">
        <v>3044</v>
      </c>
    </row>
    <row r="817" customFormat="false" ht="15" hidden="false" customHeight="false" outlineLevel="0" collapsed="false">
      <c r="A817" s="3" t="s">
        <v>69</v>
      </c>
      <c r="B817" s="3" t="s">
        <v>3045</v>
      </c>
      <c r="C817" s="3" t="n">
        <v>2048</v>
      </c>
      <c r="D817" s="3" t="s">
        <v>25</v>
      </c>
      <c r="E817" s="3" t="s">
        <v>1397</v>
      </c>
      <c r="F817" s="3" t="n">
        <v>2</v>
      </c>
      <c r="G817" s="3" t="s">
        <v>97</v>
      </c>
      <c r="H817" s="3" t="s">
        <v>52</v>
      </c>
      <c r="I817" s="3" t="s">
        <v>3046</v>
      </c>
      <c r="J817" s="3" t="s">
        <v>92</v>
      </c>
      <c r="K817" s="3" t="n">
        <v>4870</v>
      </c>
      <c r="L817" s="3" t="n">
        <v>800</v>
      </c>
      <c r="M817" s="3" t="n">
        <v>1600</v>
      </c>
      <c r="N817" s="3" t="s">
        <v>3047</v>
      </c>
    </row>
    <row r="818" customFormat="false" ht="15" hidden="false" customHeight="false" outlineLevel="0" collapsed="false">
      <c r="A818" s="2" t="s">
        <v>781</v>
      </c>
      <c r="B818" s="2" t="s">
        <v>3048</v>
      </c>
      <c r="C818" s="2" t="n">
        <v>2049</v>
      </c>
      <c r="D818" s="2" t="s">
        <v>108</v>
      </c>
      <c r="E818" s="2" t="s">
        <v>280</v>
      </c>
      <c r="F818" s="2" t="n">
        <v>2</v>
      </c>
      <c r="G818" s="2" t="s">
        <v>51</v>
      </c>
      <c r="H818" s="2" t="s">
        <v>52</v>
      </c>
      <c r="I818" s="2" t="s">
        <v>3049</v>
      </c>
      <c r="J818" s="2" t="s">
        <v>92</v>
      </c>
      <c r="K818" s="2" t="n">
        <v>4870</v>
      </c>
      <c r="L818" s="2" t="n">
        <v>1200</v>
      </c>
      <c r="M818" s="2" t="n">
        <v>2400</v>
      </c>
      <c r="N818" s="2" t="s">
        <v>3050</v>
      </c>
    </row>
    <row r="819" customFormat="false" ht="15" hidden="false" customHeight="false" outlineLevel="0" collapsed="false">
      <c r="A819" s="3" t="s">
        <v>3051</v>
      </c>
      <c r="B819" s="3" t="s">
        <v>3052</v>
      </c>
      <c r="C819" s="3" t="n">
        <v>2050</v>
      </c>
      <c r="D819" s="3" t="s">
        <v>108</v>
      </c>
      <c r="E819" s="3" t="s">
        <v>368</v>
      </c>
      <c r="F819" s="3" t="n">
        <v>2</v>
      </c>
      <c r="G819" s="3" t="s">
        <v>27</v>
      </c>
      <c r="H819" s="3" t="s">
        <v>52</v>
      </c>
      <c r="I819" s="3" t="s">
        <v>3053</v>
      </c>
      <c r="J819" s="3" t="s">
        <v>54</v>
      </c>
      <c r="K819" s="3" t="n">
        <v>4217</v>
      </c>
      <c r="L819" s="3" t="n">
        <v>1200</v>
      </c>
      <c r="M819" s="3" t="n">
        <v>2400</v>
      </c>
      <c r="N819" s="3" t="s">
        <v>3054</v>
      </c>
    </row>
    <row r="820" customFormat="false" ht="15" hidden="false" customHeight="false" outlineLevel="0" collapsed="false">
      <c r="A820" s="2" t="s">
        <v>3055</v>
      </c>
      <c r="B820" s="2" t="s">
        <v>2700</v>
      </c>
      <c r="C820" s="2" t="n">
        <v>2051</v>
      </c>
      <c r="D820" s="2" t="s">
        <v>16</v>
      </c>
      <c r="E820" s="2" t="s">
        <v>226</v>
      </c>
      <c r="F820" s="2" t="n">
        <v>1</v>
      </c>
      <c r="G820" s="2" t="s">
        <v>18</v>
      </c>
      <c r="H820" s="2" t="s">
        <v>28</v>
      </c>
      <c r="I820" s="2" t="s">
        <v>3056</v>
      </c>
      <c r="J820" s="2" t="s">
        <v>30</v>
      </c>
      <c r="K820" s="2" t="n">
        <v>2600</v>
      </c>
      <c r="L820" s="2" t="n">
        <v>250</v>
      </c>
      <c r="M820" s="2" t="n">
        <v>250</v>
      </c>
      <c r="N820" s="2" t="s">
        <v>3057</v>
      </c>
    </row>
    <row r="821" customFormat="false" ht="15" hidden="false" customHeight="false" outlineLevel="0" collapsed="false">
      <c r="A821" s="3" t="s">
        <v>467</v>
      </c>
      <c r="B821" s="3" t="s">
        <v>3058</v>
      </c>
      <c r="C821" s="3" t="n">
        <v>2052</v>
      </c>
      <c r="D821" s="3" t="s">
        <v>49</v>
      </c>
      <c r="E821" s="3" t="s">
        <v>148</v>
      </c>
      <c r="F821" s="3" t="n">
        <v>3</v>
      </c>
      <c r="G821" s="3" t="s">
        <v>18</v>
      </c>
      <c r="H821" s="3" t="s">
        <v>59</v>
      </c>
      <c r="I821" s="3" t="s">
        <v>3059</v>
      </c>
      <c r="J821" s="3" t="s">
        <v>99</v>
      </c>
      <c r="K821" s="3" t="n">
        <v>5000</v>
      </c>
      <c r="L821" s="3" t="n">
        <v>250</v>
      </c>
      <c r="M821" s="3" t="n">
        <v>750</v>
      </c>
      <c r="N821" s="3" t="s">
        <v>3060</v>
      </c>
    </row>
    <row r="822" customFormat="false" ht="15" hidden="false" customHeight="false" outlineLevel="0" collapsed="false">
      <c r="A822" s="2" t="s">
        <v>3061</v>
      </c>
      <c r="B822" s="2" t="s">
        <v>3062</v>
      </c>
      <c r="C822" s="2" t="n">
        <v>2053</v>
      </c>
      <c r="D822" s="2" t="s">
        <v>25</v>
      </c>
      <c r="E822" s="2" t="s">
        <v>435</v>
      </c>
      <c r="F822" s="2" t="n">
        <v>1</v>
      </c>
      <c r="G822" s="2" t="s">
        <v>27</v>
      </c>
      <c r="H822" s="2" t="s">
        <v>52</v>
      </c>
      <c r="I822" s="2" t="s">
        <v>3063</v>
      </c>
      <c r="J822" s="2" t="s">
        <v>54</v>
      </c>
      <c r="K822" s="2" t="n">
        <v>4217</v>
      </c>
      <c r="L822" s="2" t="n">
        <v>800</v>
      </c>
      <c r="M822" s="2" t="n">
        <v>800</v>
      </c>
      <c r="N822" s="2" t="s">
        <v>3064</v>
      </c>
    </row>
    <row r="823" customFormat="false" ht="15" hidden="false" customHeight="false" outlineLevel="0" collapsed="false">
      <c r="A823" s="3" t="s">
        <v>3065</v>
      </c>
      <c r="B823" s="3" t="s">
        <v>2135</v>
      </c>
      <c r="C823" s="3" t="n">
        <v>2054</v>
      </c>
      <c r="D823" s="3" t="s">
        <v>49</v>
      </c>
      <c r="E823" s="3" t="s">
        <v>720</v>
      </c>
      <c r="F823" s="3" t="n">
        <v>1</v>
      </c>
      <c r="G823" s="3" t="s">
        <v>51</v>
      </c>
      <c r="H823" s="3" t="s">
        <v>78</v>
      </c>
      <c r="I823" s="3" t="s">
        <v>3066</v>
      </c>
      <c r="J823" s="3" t="s">
        <v>408</v>
      </c>
      <c r="K823" s="3" t="n">
        <v>7310</v>
      </c>
      <c r="L823" s="3" t="n">
        <v>250</v>
      </c>
      <c r="M823" s="3" t="n">
        <v>250</v>
      </c>
      <c r="N823" s="3" t="s">
        <v>3067</v>
      </c>
    </row>
    <row r="824" customFormat="false" ht="15" hidden="false" customHeight="false" outlineLevel="0" collapsed="false">
      <c r="A824" s="2" t="s">
        <v>3068</v>
      </c>
      <c r="B824" s="2" t="s">
        <v>1714</v>
      </c>
      <c r="C824" s="2" t="n">
        <v>2055</v>
      </c>
      <c r="D824" s="2" t="s">
        <v>34</v>
      </c>
      <c r="E824" s="2" t="s">
        <v>2111</v>
      </c>
      <c r="F824" s="2" t="n">
        <v>1</v>
      </c>
      <c r="G824" s="2" t="s">
        <v>18</v>
      </c>
      <c r="H824" s="2" t="s">
        <v>43</v>
      </c>
      <c r="I824" s="2" t="s">
        <v>3069</v>
      </c>
      <c r="J824" s="2" t="s">
        <v>45</v>
      </c>
      <c r="K824" s="2" t="n">
        <v>3350</v>
      </c>
      <c r="L824" s="2" t="n">
        <v>300</v>
      </c>
      <c r="M824" s="2" t="n">
        <v>300</v>
      </c>
      <c r="N824" s="2" t="s">
        <v>3070</v>
      </c>
    </row>
    <row r="825" customFormat="false" ht="15" hidden="false" customHeight="false" outlineLevel="0" collapsed="false">
      <c r="A825" s="3" t="s">
        <v>1698</v>
      </c>
      <c r="B825" s="3" t="s">
        <v>1585</v>
      </c>
      <c r="C825" s="3" t="n">
        <v>2056</v>
      </c>
      <c r="D825" s="3" t="s">
        <v>49</v>
      </c>
      <c r="E825" s="3" t="s">
        <v>469</v>
      </c>
      <c r="F825" s="3" t="n">
        <v>2</v>
      </c>
      <c r="G825" s="3" t="s">
        <v>18</v>
      </c>
      <c r="H825" s="3" t="s">
        <v>78</v>
      </c>
      <c r="I825" s="3" t="s">
        <v>3071</v>
      </c>
      <c r="J825" s="3" t="s">
        <v>408</v>
      </c>
      <c r="K825" s="3" t="n">
        <v>7310</v>
      </c>
      <c r="L825" s="3" t="n">
        <v>250</v>
      </c>
      <c r="M825" s="3" t="n">
        <v>500</v>
      </c>
      <c r="N825" s="3" t="s">
        <v>3072</v>
      </c>
    </row>
    <row r="826" customFormat="false" ht="15" hidden="false" customHeight="false" outlineLevel="0" collapsed="false">
      <c r="A826" s="2" t="s">
        <v>1905</v>
      </c>
      <c r="B826" s="2" t="s">
        <v>229</v>
      </c>
      <c r="C826" s="2" t="n">
        <v>2057</v>
      </c>
      <c r="D826" s="2" t="s">
        <v>34</v>
      </c>
      <c r="E826" s="2" t="s">
        <v>1624</v>
      </c>
      <c r="F826" s="2" t="n">
        <v>2</v>
      </c>
      <c r="G826" s="2" t="s">
        <v>51</v>
      </c>
      <c r="H826" s="2" t="s">
        <v>52</v>
      </c>
      <c r="I826" s="2" t="s">
        <v>3073</v>
      </c>
      <c r="J826" s="2" t="s">
        <v>92</v>
      </c>
      <c r="K826" s="2" t="n">
        <v>4870</v>
      </c>
      <c r="L826" s="2" t="n">
        <v>300</v>
      </c>
      <c r="M826" s="2" t="n">
        <v>600</v>
      </c>
      <c r="N826" s="2" t="s">
        <v>3074</v>
      </c>
    </row>
    <row r="827" customFormat="false" ht="15" hidden="false" customHeight="false" outlineLevel="0" collapsed="false">
      <c r="A827" s="3" t="s">
        <v>3075</v>
      </c>
      <c r="B827" s="3" t="s">
        <v>3076</v>
      </c>
      <c r="C827" s="3" t="n">
        <v>2058</v>
      </c>
      <c r="D827" s="3" t="s">
        <v>108</v>
      </c>
      <c r="E827" s="3" t="s">
        <v>153</v>
      </c>
      <c r="F827" s="3" t="n">
        <v>1</v>
      </c>
      <c r="G827" s="3" t="s">
        <v>51</v>
      </c>
      <c r="H827" s="3" t="s">
        <v>36</v>
      </c>
      <c r="I827" s="3" t="s">
        <v>3077</v>
      </c>
      <c r="J827" s="3" t="s">
        <v>192</v>
      </c>
      <c r="K827" s="3" t="n">
        <v>2000</v>
      </c>
      <c r="L827" s="3" t="n">
        <v>1200</v>
      </c>
      <c r="M827" s="3" t="n">
        <v>1200</v>
      </c>
      <c r="N827" s="3" t="s">
        <v>3078</v>
      </c>
    </row>
    <row r="828" customFormat="false" ht="15" hidden="false" customHeight="false" outlineLevel="0" collapsed="false">
      <c r="A828" s="2" t="s">
        <v>2374</v>
      </c>
      <c r="B828" s="2" t="s">
        <v>99</v>
      </c>
      <c r="C828" s="2" t="n">
        <v>2059</v>
      </c>
      <c r="D828" s="2" t="s">
        <v>49</v>
      </c>
      <c r="E828" s="2" t="s">
        <v>2600</v>
      </c>
      <c r="F828" s="2" t="n">
        <v>2</v>
      </c>
      <c r="G828" s="2" t="s">
        <v>18</v>
      </c>
      <c r="H828" s="2" t="s">
        <v>36</v>
      </c>
      <c r="I828" s="2" t="s">
        <v>3079</v>
      </c>
      <c r="J828" s="2" t="s">
        <v>170</v>
      </c>
      <c r="K828" s="2" t="n">
        <v>2500</v>
      </c>
      <c r="L828" s="2" t="n">
        <v>250</v>
      </c>
      <c r="M828" s="2" t="n">
        <v>500</v>
      </c>
      <c r="N828" s="2" t="s">
        <v>3080</v>
      </c>
    </row>
    <row r="829" customFormat="false" ht="15" hidden="false" customHeight="false" outlineLevel="0" collapsed="false">
      <c r="A829" s="3" t="s">
        <v>1363</v>
      </c>
      <c r="B829" s="3" t="s">
        <v>950</v>
      </c>
      <c r="C829" s="3" t="n">
        <v>2060</v>
      </c>
      <c r="D829" s="3" t="s">
        <v>49</v>
      </c>
      <c r="E829" s="3" t="s">
        <v>1048</v>
      </c>
      <c r="F829" s="3" t="n">
        <v>1</v>
      </c>
      <c r="G829" s="3" t="s">
        <v>97</v>
      </c>
      <c r="H829" s="3" t="s">
        <v>43</v>
      </c>
      <c r="I829" s="3" t="s">
        <v>3081</v>
      </c>
      <c r="J829" s="3" t="s">
        <v>45</v>
      </c>
      <c r="K829" s="3" t="n">
        <v>3350</v>
      </c>
      <c r="L829" s="3" t="n">
        <v>250</v>
      </c>
      <c r="M829" s="3" t="n">
        <v>250</v>
      </c>
      <c r="N829" s="3" t="s">
        <v>3082</v>
      </c>
    </row>
    <row r="830" customFormat="false" ht="15" hidden="false" customHeight="false" outlineLevel="0" collapsed="false">
      <c r="A830" s="2" t="s">
        <v>366</v>
      </c>
      <c r="B830" s="2" t="s">
        <v>3083</v>
      </c>
      <c r="C830" s="2" t="n">
        <v>2061</v>
      </c>
      <c r="D830" s="2" t="s">
        <v>108</v>
      </c>
      <c r="E830" s="2" t="s">
        <v>1620</v>
      </c>
      <c r="F830" s="2" t="n">
        <v>1</v>
      </c>
      <c r="G830" s="2" t="s">
        <v>27</v>
      </c>
      <c r="H830" s="2" t="s">
        <v>52</v>
      </c>
      <c r="I830" s="2" t="s">
        <v>3084</v>
      </c>
      <c r="J830" s="2" t="s">
        <v>92</v>
      </c>
      <c r="K830" s="2" t="n">
        <v>4870</v>
      </c>
      <c r="L830" s="2" t="n">
        <v>1200</v>
      </c>
      <c r="M830" s="2" t="n">
        <v>1200</v>
      </c>
      <c r="N830" s="2" t="s">
        <v>3085</v>
      </c>
    </row>
    <row r="831" customFormat="false" ht="15" hidden="false" customHeight="false" outlineLevel="0" collapsed="false">
      <c r="A831" s="3" t="s">
        <v>3086</v>
      </c>
      <c r="B831" s="3" t="s">
        <v>3087</v>
      </c>
      <c r="C831" s="3" t="n">
        <v>2062</v>
      </c>
      <c r="D831" s="3" t="s">
        <v>108</v>
      </c>
      <c r="E831" s="3" t="s">
        <v>401</v>
      </c>
      <c r="F831" s="3" t="n">
        <v>1</v>
      </c>
      <c r="G831" s="3" t="s">
        <v>51</v>
      </c>
      <c r="H831" s="3" t="s">
        <v>19</v>
      </c>
      <c r="I831" s="3" t="s">
        <v>3088</v>
      </c>
      <c r="J831" s="3" t="s">
        <v>21</v>
      </c>
      <c r="K831" s="3" t="n">
        <v>6725</v>
      </c>
      <c r="L831" s="3" t="n">
        <v>1200</v>
      </c>
      <c r="M831" s="3" t="n">
        <v>1200</v>
      </c>
      <c r="N831" s="3" t="s">
        <v>3089</v>
      </c>
    </row>
    <row r="832" customFormat="false" ht="15" hidden="false" customHeight="false" outlineLevel="0" collapsed="false">
      <c r="A832" s="2" t="s">
        <v>428</v>
      </c>
      <c r="B832" s="2" t="s">
        <v>3090</v>
      </c>
      <c r="C832" s="2" t="n">
        <v>2063</v>
      </c>
      <c r="D832" s="2" t="s">
        <v>25</v>
      </c>
      <c r="E832" s="2" t="s">
        <v>3091</v>
      </c>
      <c r="F832" s="2" t="n">
        <v>3</v>
      </c>
      <c r="G832" s="2" t="s">
        <v>51</v>
      </c>
      <c r="H832" s="2" t="s">
        <v>36</v>
      </c>
      <c r="I832" s="2" t="s">
        <v>3092</v>
      </c>
      <c r="J832" s="2" t="s">
        <v>38</v>
      </c>
      <c r="K832" s="2" t="n">
        <v>2300</v>
      </c>
      <c r="L832" s="2" t="n">
        <v>800</v>
      </c>
      <c r="M832" s="2" t="n">
        <v>2400</v>
      </c>
      <c r="N832" s="2" t="s">
        <v>3093</v>
      </c>
    </row>
    <row r="833" customFormat="false" ht="15" hidden="false" customHeight="false" outlineLevel="0" collapsed="false">
      <c r="A833" s="3" t="s">
        <v>2374</v>
      </c>
      <c r="B833" s="3" t="s">
        <v>1741</v>
      </c>
      <c r="C833" s="3" t="n">
        <v>2064</v>
      </c>
      <c r="D833" s="3" t="s">
        <v>108</v>
      </c>
      <c r="E833" s="3" t="s">
        <v>1004</v>
      </c>
      <c r="F833" s="3" t="n">
        <v>2</v>
      </c>
      <c r="G833" s="3" t="s">
        <v>51</v>
      </c>
      <c r="H833" s="3" t="s">
        <v>36</v>
      </c>
      <c r="I833" s="3" t="s">
        <v>3094</v>
      </c>
      <c r="J833" s="3" t="s">
        <v>192</v>
      </c>
      <c r="K833" s="3" t="n">
        <v>2000</v>
      </c>
      <c r="L833" s="3" t="n">
        <v>1200</v>
      </c>
      <c r="M833" s="3" t="n">
        <v>2400</v>
      </c>
      <c r="N833" s="3" t="s">
        <v>3095</v>
      </c>
    </row>
    <row r="834" customFormat="false" ht="15" hidden="false" customHeight="false" outlineLevel="0" collapsed="false">
      <c r="A834" s="2" t="s">
        <v>1741</v>
      </c>
      <c r="B834" s="2" t="s">
        <v>3096</v>
      </c>
      <c r="C834" s="2" t="n">
        <v>2065</v>
      </c>
      <c r="D834" s="2" t="s">
        <v>25</v>
      </c>
      <c r="E834" s="2" t="s">
        <v>590</v>
      </c>
      <c r="F834" s="2" t="n">
        <v>1</v>
      </c>
      <c r="G834" s="2" t="s">
        <v>18</v>
      </c>
      <c r="H834" s="2" t="s">
        <v>52</v>
      </c>
      <c r="I834" s="2" t="s">
        <v>3097</v>
      </c>
      <c r="J834" s="2" t="s">
        <v>92</v>
      </c>
      <c r="K834" s="2" t="n">
        <v>4870</v>
      </c>
      <c r="L834" s="2" t="n">
        <v>800</v>
      </c>
      <c r="M834" s="2" t="n">
        <v>800</v>
      </c>
      <c r="N834" s="2" t="s">
        <v>3098</v>
      </c>
    </row>
    <row r="835" customFormat="false" ht="15" hidden="false" customHeight="false" outlineLevel="0" collapsed="false">
      <c r="A835" s="3" t="s">
        <v>1541</v>
      </c>
      <c r="B835" s="3" t="s">
        <v>429</v>
      </c>
      <c r="C835" s="3" t="n">
        <v>2066</v>
      </c>
      <c r="D835" s="3" t="s">
        <v>108</v>
      </c>
      <c r="E835" s="3" t="s">
        <v>995</v>
      </c>
      <c r="F835" s="3" t="n">
        <v>3</v>
      </c>
      <c r="G835" s="3" t="s">
        <v>27</v>
      </c>
      <c r="H835" s="3" t="s">
        <v>121</v>
      </c>
      <c r="I835" s="3" t="s">
        <v>3099</v>
      </c>
      <c r="J835" s="3" t="s">
        <v>123</v>
      </c>
      <c r="K835" s="3" t="n">
        <v>800</v>
      </c>
      <c r="L835" s="3" t="n">
        <v>1200</v>
      </c>
      <c r="M835" s="3" t="n">
        <v>3600</v>
      </c>
      <c r="N835" s="3" t="s">
        <v>3100</v>
      </c>
    </row>
    <row r="836" customFormat="false" ht="15" hidden="false" customHeight="false" outlineLevel="0" collapsed="false">
      <c r="A836" s="2" t="s">
        <v>3101</v>
      </c>
      <c r="B836" s="2" t="s">
        <v>3102</v>
      </c>
      <c r="C836" s="2" t="n">
        <v>2067</v>
      </c>
      <c r="D836" s="2" t="s">
        <v>108</v>
      </c>
      <c r="E836" s="2" t="s">
        <v>581</v>
      </c>
      <c r="F836" s="2" t="n">
        <v>1</v>
      </c>
      <c r="G836" s="2" t="s">
        <v>97</v>
      </c>
      <c r="H836" s="2" t="s">
        <v>19</v>
      </c>
      <c r="I836" s="2" t="s">
        <v>3103</v>
      </c>
      <c r="J836" s="2" t="s">
        <v>176</v>
      </c>
      <c r="K836" s="2" t="n">
        <v>6000</v>
      </c>
      <c r="L836" s="2" t="n">
        <v>1200</v>
      </c>
      <c r="M836" s="2" t="n">
        <v>1200</v>
      </c>
      <c r="N836" s="2" t="s">
        <v>3104</v>
      </c>
    </row>
    <row r="837" customFormat="false" ht="15" hidden="false" customHeight="false" outlineLevel="0" collapsed="false">
      <c r="A837" s="3" t="s">
        <v>3105</v>
      </c>
      <c r="B837" s="3" t="s">
        <v>3106</v>
      </c>
      <c r="C837" s="3" t="n">
        <v>2068</v>
      </c>
      <c r="D837" s="3" t="s">
        <v>49</v>
      </c>
      <c r="E837" s="3" t="s">
        <v>1730</v>
      </c>
      <c r="F837" s="3" t="n">
        <v>1</v>
      </c>
      <c r="G837" s="3" t="s">
        <v>18</v>
      </c>
      <c r="H837" s="3" t="s">
        <v>19</v>
      </c>
      <c r="I837" s="3" t="s">
        <v>3107</v>
      </c>
      <c r="J837" s="3" t="s">
        <v>73</v>
      </c>
      <c r="K837" s="3" t="n">
        <v>6160</v>
      </c>
      <c r="L837" s="3" t="n">
        <v>250</v>
      </c>
      <c r="M837" s="3" t="n">
        <v>250</v>
      </c>
      <c r="N837" s="3" t="s">
        <v>3108</v>
      </c>
    </row>
    <row r="838" customFormat="false" ht="15" hidden="false" customHeight="false" outlineLevel="0" collapsed="false">
      <c r="A838" s="2" t="s">
        <v>1874</v>
      </c>
      <c r="B838" s="2" t="s">
        <v>3109</v>
      </c>
      <c r="C838" s="2" t="n">
        <v>2069</v>
      </c>
      <c r="D838" s="2" t="s">
        <v>108</v>
      </c>
      <c r="E838" s="2" t="s">
        <v>2553</v>
      </c>
      <c r="F838" s="2" t="n">
        <v>1</v>
      </c>
      <c r="G838" s="2" t="s">
        <v>51</v>
      </c>
      <c r="H838" s="2" t="s">
        <v>28</v>
      </c>
      <c r="I838" s="2" t="s">
        <v>3110</v>
      </c>
      <c r="J838" s="2" t="s">
        <v>30</v>
      </c>
      <c r="K838" s="2" t="n">
        <v>2600</v>
      </c>
      <c r="L838" s="2" t="n">
        <v>1200</v>
      </c>
      <c r="M838" s="2" t="n">
        <v>1200</v>
      </c>
      <c r="N838" s="2" t="s">
        <v>3111</v>
      </c>
    </row>
    <row r="839" customFormat="false" ht="15" hidden="false" customHeight="false" outlineLevel="0" collapsed="false">
      <c r="A839" s="3" t="s">
        <v>3112</v>
      </c>
      <c r="B839" s="3" t="s">
        <v>89</v>
      </c>
      <c r="C839" s="3" t="n">
        <v>2070</v>
      </c>
      <c r="D839" s="3" t="s">
        <v>25</v>
      </c>
      <c r="E839" s="3" t="s">
        <v>692</v>
      </c>
      <c r="F839" s="3" t="n">
        <v>1</v>
      </c>
      <c r="G839" s="3" t="s">
        <v>51</v>
      </c>
      <c r="H839" s="3" t="s">
        <v>19</v>
      </c>
      <c r="I839" s="3" t="s">
        <v>3113</v>
      </c>
      <c r="J839" s="3" t="s">
        <v>176</v>
      </c>
      <c r="K839" s="3" t="n">
        <v>6000</v>
      </c>
      <c r="L839" s="3" t="n">
        <v>800</v>
      </c>
      <c r="M839" s="3" t="n">
        <v>800</v>
      </c>
      <c r="N839" s="3" t="s">
        <v>3114</v>
      </c>
    </row>
    <row r="840" customFormat="false" ht="15" hidden="false" customHeight="false" outlineLevel="0" collapsed="false">
      <c r="A840" s="2" t="s">
        <v>3115</v>
      </c>
      <c r="B840" s="2" t="s">
        <v>189</v>
      </c>
      <c r="C840" s="2" t="n">
        <v>2071</v>
      </c>
      <c r="D840" s="2" t="s">
        <v>108</v>
      </c>
      <c r="E840" s="2" t="s">
        <v>190</v>
      </c>
      <c r="F840" s="2" t="n">
        <v>2</v>
      </c>
      <c r="G840" s="2" t="s">
        <v>51</v>
      </c>
      <c r="H840" s="2" t="s">
        <v>19</v>
      </c>
      <c r="I840" s="2" t="s">
        <v>3116</v>
      </c>
      <c r="J840" s="2" t="s">
        <v>176</v>
      </c>
      <c r="K840" s="2" t="n">
        <v>6000</v>
      </c>
      <c r="L840" s="2" t="n">
        <v>1200</v>
      </c>
      <c r="M840" s="2" t="n">
        <v>2400</v>
      </c>
      <c r="N840" s="2" t="s">
        <v>3117</v>
      </c>
    </row>
    <row r="841" customFormat="false" ht="15" hidden="false" customHeight="false" outlineLevel="0" collapsed="false">
      <c r="A841" s="3" t="s">
        <v>534</v>
      </c>
      <c r="B841" s="3" t="s">
        <v>179</v>
      </c>
      <c r="C841" s="3" t="n">
        <v>2072</v>
      </c>
      <c r="D841" s="3" t="s">
        <v>108</v>
      </c>
      <c r="E841" s="3" t="s">
        <v>1171</v>
      </c>
      <c r="F841" s="3" t="n">
        <v>2</v>
      </c>
      <c r="G841" s="3" t="s">
        <v>51</v>
      </c>
      <c r="H841" s="3" t="s">
        <v>59</v>
      </c>
      <c r="I841" s="3" t="s">
        <v>3118</v>
      </c>
      <c r="J841" s="3" t="s">
        <v>99</v>
      </c>
      <c r="K841" s="3" t="n">
        <v>5000</v>
      </c>
      <c r="L841" s="3" t="n">
        <v>1200</v>
      </c>
      <c r="M841" s="3" t="n">
        <v>2400</v>
      </c>
      <c r="N841" s="3" t="s">
        <v>3119</v>
      </c>
    </row>
    <row r="842" customFormat="false" ht="15" hidden="false" customHeight="false" outlineLevel="0" collapsed="false">
      <c r="A842" s="2" t="s">
        <v>1691</v>
      </c>
      <c r="B842" s="2" t="s">
        <v>3120</v>
      </c>
      <c r="C842" s="2" t="n">
        <v>2073</v>
      </c>
      <c r="D842" s="2" t="s">
        <v>16</v>
      </c>
      <c r="E842" s="2" t="s">
        <v>526</v>
      </c>
      <c r="F842" s="2" t="n">
        <v>3</v>
      </c>
      <c r="G842" s="2" t="s">
        <v>18</v>
      </c>
      <c r="H842" s="2" t="s">
        <v>36</v>
      </c>
      <c r="I842" s="2" t="s">
        <v>3121</v>
      </c>
      <c r="J842" s="2" t="s">
        <v>192</v>
      </c>
      <c r="K842" s="2" t="n">
        <v>2000</v>
      </c>
      <c r="L842" s="2" t="n">
        <v>250</v>
      </c>
      <c r="M842" s="2" t="n">
        <v>750</v>
      </c>
      <c r="N842" s="2" t="s">
        <v>3122</v>
      </c>
    </row>
    <row r="843" customFormat="false" ht="15" hidden="false" customHeight="false" outlineLevel="0" collapsed="false">
      <c r="A843" s="3" t="s">
        <v>1479</v>
      </c>
      <c r="B843" s="3" t="s">
        <v>1875</v>
      </c>
      <c r="C843" s="3" t="n">
        <v>2074</v>
      </c>
      <c r="D843" s="3" t="s">
        <v>16</v>
      </c>
      <c r="E843" s="3" t="s">
        <v>266</v>
      </c>
      <c r="F843" s="3" t="n">
        <v>2</v>
      </c>
      <c r="G843" s="3" t="s">
        <v>27</v>
      </c>
      <c r="H843" s="3" t="s">
        <v>43</v>
      </c>
      <c r="I843" s="3" t="s">
        <v>3123</v>
      </c>
      <c r="J843" s="3" t="s">
        <v>45</v>
      </c>
      <c r="K843" s="3" t="n">
        <v>3350</v>
      </c>
      <c r="L843" s="3" t="n">
        <v>250</v>
      </c>
      <c r="M843" s="3" t="n">
        <v>500</v>
      </c>
      <c r="N843" s="3" t="s">
        <v>3124</v>
      </c>
    </row>
    <row r="844" customFormat="false" ht="15" hidden="false" customHeight="false" outlineLevel="0" collapsed="false">
      <c r="A844" s="2" t="s">
        <v>1691</v>
      </c>
      <c r="B844" s="2" t="s">
        <v>3125</v>
      </c>
      <c r="C844" s="2" t="n">
        <v>2075</v>
      </c>
      <c r="D844" s="2" t="s">
        <v>147</v>
      </c>
      <c r="E844" s="2" t="s">
        <v>3126</v>
      </c>
      <c r="F844" s="2" t="n">
        <v>2</v>
      </c>
      <c r="G844" s="2" t="s">
        <v>97</v>
      </c>
      <c r="H844" s="2" t="s">
        <v>121</v>
      </c>
      <c r="I844" s="2" t="s">
        <v>3127</v>
      </c>
      <c r="J844" s="2" t="s">
        <v>317</v>
      </c>
      <c r="K844" s="2" t="n">
        <v>870</v>
      </c>
      <c r="L844" s="2" t="n">
        <v>600</v>
      </c>
      <c r="M844" s="2" t="n">
        <v>1200</v>
      </c>
      <c r="N844" s="2" t="s">
        <v>3128</v>
      </c>
    </row>
    <row r="845" customFormat="false" ht="15" hidden="false" customHeight="false" outlineLevel="0" collapsed="false">
      <c r="A845" s="3" t="s">
        <v>3129</v>
      </c>
      <c r="B845" s="3" t="s">
        <v>2488</v>
      </c>
      <c r="C845" s="3" t="n">
        <v>2076</v>
      </c>
      <c r="D845" s="3" t="s">
        <v>147</v>
      </c>
      <c r="E845" s="3" t="s">
        <v>757</v>
      </c>
      <c r="F845" s="3" t="n">
        <v>3</v>
      </c>
      <c r="G845" s="3" t="s">
        <v>51</v>
      </c>
      <c r="H845" s="3" t="s">
        <v>36</v>
      </c>
      <c r="I845" s="3" t="s">
        <v>3130</v>
      </c>
      <c r="J845" s="3" t="s">
        <v>170</v>
      </c>
      <c r="K845" s="3" t="n">
        <v>2500</v>
      </c>
      <c r="L845" s="3" t="n">
        <v>600</v>
      </c>
      <c r="M845" s="3" t="n">
        <v>1800</v>
      </c>
      <c r="N845" s="3" t="s">
        <v>3131</v>
      </c>
    </row>
    <row r="846" customFormat="false" ht="15" hidden="false" customHeight="false" outlineLevel="0" collapsed="false">
      <c r="A846" s="2" t="s">
        <v>3132</v>
      </c>
      <c r="B846" s="2" t="s">
        <v>3133</v>
      </c>
      <c r="C846" s="2" t="n">
        <v>2077</v>
      </c>
      <c r="D846" s="2" t="s">
        <v>34</v>
      </c>
      <c r="E846" s="2" t="s">
        <v>1628</v>
      </c>
      <c r="F846" s="2" t="n">
        <v>2</v>
      </c>
      <c r="G846" s="2" t="s">
        <v>18</v>
      </c>
      <c r="H846" s="2" t="s">
        <v>36</v>
      </c>
      <c r="I846" s="2" t="s">
        <v>3134</v>
      </c>
      <c r="J846" s="2" t="s">
        <v>170</v>
      </c>
      <c r="K846" s="2" t="n">
        <v>2500</v>
      </c>
      <c r="L846" s="2" t="n">
        <v>300</v>
      </c>
      <c r="M846" s="2" t="n">
        <v>600</v>
      </c>
      <c r="N846" s="2" t="s">
        <v>3135</v>
      </c>
    </row>
    <row r="847" customFormat="false" ht="15" hidden="false" customHeight="false" outlineLevel="0" collapsed="false">
      <c r="A847" s="3" t="s">
        <v>1007</v>
      </c>
      <c r="B847" s="3" t="s">
        <v>1699</v>
      </c>
      <c r="C847" s="3" t="n">
        <v>2078</v>
      </c>
      <c r="D847" s="3" t="s">
        <v>108</v>
      </c>
      <c r="E847" s="3" t="s">
        <v>246</v>
      </c>
      <c r="F847" s="3" t="n">
        <v>1</v>
      </c>
      <c r="G847" s="3" t="s">
        <v>97</v>
      </c>
      <c r="H847" s="3" t="s">
        <v>78</v>
      </c>
      <c r="I847" s="3" t="s">
        <v>3136</v>
      </c>
      <c r="J847" s="3" t="s">
        <v>80</v>
      </c>
      <c r="K847" s="3" t="n">
        <v>7250</v>
      </c>
      <c r="L847" s="3" t="n">
        <v>1200</v>
      </c>
      <c r="M847" s="3" t="n">
        <v>1200</v>
      </c>
      <c r="N847" s="3" t="s">
        <v>3137</v>
      </c>
    </row>
    <row r="848" customFormat="false" ht="15" hidden="false" customHeight="false" outlineLevel="0" collapsed="false">
      <c r="A848" s="2" t="s">
        <v>3138</v>
      </c>
      <c r="B848" s="2" t="s">
        <v>1848</v>
      </c>
      <c r="C848" s="2" t="n">
        <v>2079</v>
      </c>
      <c r="D848" s="2" t="s">
        <v>147</v>
      </c>
      <c r="E848" s="2" t="s">
        <v>778</v>
      </c>
      <c r="F848" s="2" t="n">
        <v>2</v>
      </c>
      <c r="G848" s="2" t="s">
        <v>27</v>
      </c>
      <c r="H848" s="2" t="s">
        <v>59</v>
      </c>
      <c r="I848" s="2" t="s">
        <v>3139</v>
      </c>
      <c r="J848" s="2" t="s">
        <v>61</v>
      </c>
      <c r="K848" s="2" t="n">
        <v>5290</v>
      </c>
      <c r="L848" s="2" t="n">
        <v>600</v>
      </c>
      <c r="M848" s="2" t="n">
        <v>1200</v>
      </c>
      <c r="N848" s="2" t="s">
        <v>3140</v>
      </c>
    </row>
    <row r="849" customFormat="false" ht="15" hidden="false" customHeight="false" outlineLevel="0" collapsed="false">
      <c r="A849" s="3" t="s">
        <v>1180</v>
      </c>
      <c r="B849" s="3" t="s">
        <v>3141</v>
      </c>
      <c r="C849" s="3" t="n">
        <v>2080</v>
      </c>
      <c r="D849" s="3" t="s">
        <v>34</v>
      </c>
      <c r="E849" s="3" t="s">
        <v>142</v>
      </c>
      <c r="F849" s="3" t="n">
        <v>3</v>
      </c>
      <c r="G849" s="3" t="s">
        <v>51</v>
      </c>
      <c r="H849" s="3" t="s">
        <v>43</v>
      </c>
      <c r="I849" s="3" t="s">
        <v>3142</v>
      </c>
      <c r="J849" s="3" t="s">
        <v>67</v>
      </c>
      <c r="K849" s="3" t="n">
        <v>3220</v>
      </c>
      <c r="L849" s="3" t="n">
        <v>300</v>
      </c>
      <c r="M849" s="3" t="n">
        <v>900</v>
      </c>
      <c r="N849" s="3" t="s">
        <v>3143</v>
      </c>
    </row>
    <row r="850" customFormat="false" ht="15" hidden="false" customHeight="false" outlineLevel="0" collapsed="false">
      <c r="A850" s="2" t="s">
        <v>3144</v>
      </c>
      <c r="B850" s="2" t="s">
        <v>305</v>
      </c>
      <c r="C850" s="2" t="n">
        <v>2081</v>
      </c>
      <c r="D850" s="2" t="s">
        <v>49</v>
      </c>
      <c r="E850" s="2" t="s">
        <v>735</v>
      </c>
      <c r="F850" s="2" t="n">
        <v>1</v>
      </c>
      <c r="G850" s="2" t="s">
        <v>27</v>
      </c>
      <c r="H850" s="2" t="s">
        <v>19</v>
      </c>
      <c r="I850" s="2" t="s">
        <v>3145</v>
      </c>
      <c r="J850" s="2" t="s">
        <v>21</v>
      </c>
      <c r="K850" s="2" t="n">
        <v>6725</v>
      </c>
      <c r="L850" s="2" t="n">
        <v>250</v>
      </c>
      <c r="M850" s="2" t="n">
        <v>250</v>
      </c>
      <c r="N850" s="2" t="s">
        <v>3146</v>
      </c>
    </row>
    <row r="851" customFormat="false" ht="15" hidden="false" customHeight="false" outlineLevel="0" collapsed="false">
      <c r="A851" s="3" t="s">
        <v>1986</v>
      </c>
      <c r="B851" s="3" t="s">
        <v>3147</v>
      </c>
      <c r="C851" s="3" t="n">
        <v>2082</v>
      </c>
      <c r="D851" s="3" t="s">
        <v>108</v>
      </c>
      <c r="E851" s="3" t="s">
        <v>586</v>
      </c>
      <c r="F851" s="3" t="n">
        <v>2</v>
      </c>
      <c r="G851" s="3" t="s">
        <v>51</v>
      </c>
      <c r="H851" s="3" t="s">
        <v>36</v>
      </c>
      <c r="I851" s="3" t="s">
        <v>3148</v>
      </c>
      <c r="J851" s="3" t="s">
        <v>170</v>
      </c>
      <c r="K851" s="3" t="n">
        <v>2500</v>
      </c>
      <c r="L851" s="3" t="n">
        <v>1200</v>
      </c>
      <c r="M851" s="3" t="n">
        <v>2400</v>
      </c>
      <c r="N851" s="3" t="s">
        <v>3149</v>
      </c>
    </row>
    <row r="852" customFormat="false" ht="15" hidden="false" customHeight="false" outlineLevel="0" collapsed="false">
      <c r="A852" s="2" t="s">
        <v>3150</v>
      </c>
      <c r="B852" s="2" t="s">
        <v>733</v>
      </c>
      <c r="C852" s="2" t="n">
        <v>2083</v>
      </c>
      <c r="D852" s="2" t="s">
        <v>108</v>
      </c>
      <c r="E852" s="2" t="s">
        <v>2043</v>
      </c>
      <c r="F852" s="2" t="n">
        <v>2</v>
      </c>
      <c r="G852" s="2" t="s">
        <v>97</v>
      </c>
      <c r="H852" s="2" t="s">
        <v>78</v>
      </c>
      <c r="I852" s="2" t="s">
        <v>3151</v>
      </c>
      <c r="J852" s="2" t="s">
        <v>408</v>
      </c>
      <c r="K852" s="2" t="n">
        <v>7310</v>
      </c>
      <c r="L852" s="2" t="n">
        <v>1200</v>
      </c>
      <c r="M852" s="2" t="n">
        <v>2400</v>
      </c>
      <c r="N852" s="2" t="s">
        <v>3152</v>
      </c>
    </row>
    <row r="853" customFormat="false" ht="15" hidden="false" customHeight="false" outlineLevel="0" collapsed="false">
      <c r="A853" s="3" t="s">
        <v>3153</v>
      </c>
      <c r="B853" s="3" t="s">
        <v>1221</v>
      </c>
      <c r="C853" s="3" t="n">
        <v>2084</v>
      </c>
      <c r="D853" s="3" t="s">
        <v>16</v>
      </c>
      <c r="E853" s="3" t="s">
        <v>671</v>
      </c>
      <c r="F853" s="3" t="n">
        <v>3</v>
      </c>
      <c r="G853" s="3" t="s">
        <v>18</v>
      </c>
      <c r="H853" s="3" t="s">
        <v>52</v>
      </c>
      <c r="I853" s="3" t="s">
        <v>3154</v>
      </c>
      <c r="J853" s="3" t="s">
        <v>92</v>
      </c>
      <c r="K853" s="3" t="n">
        <v>4870</v>
      </c>
      <c r="L853" s="3" t="n">
        <v>250</v>
      </c>
      <c r="M853" s="3" t="n">
        <v>750</v>
      </c>
      <c r="N853" s="3" t="s">
        <v>3155</v>
      </c>
    </row>
    <row r="854" customFormat="false" ht="15" hidden="false" customHeight="false" outlineLevel="0" collapsed="false">
      <c r="A854" s="2" t="s">
        <v>3156</v>
      </c>
      <c r="B854" s="2" t="s">
        <v>3157</v>
      </c>
      <c r="C854" s="2" t="n">
        <v>2085</v>
      </c>
      <c r="D854" s="2" t="s">
        <v>16</v>
      </c>
      <c r="E854" s="2" t="s">
        <v>1813</v>
      </c>
      <c r="F854" s="2" t="n">
        <v>3</v>
      </c>
      <c r="G854" s="2" t="s">
        <v>27</v>
      </c>
      <c r="H854" s="2" t="s">
        <v>19</v>
      </c>
      <c r="I854" s="2" t="s">
        <v>3158</v>
      </c>
      <c r="J854" s="2" t="s">
        <v>21</v>
      </c>
      <c r="K854" s="2" t="n">
        <v>6725</v>
      </c>
      <c r="L854" s="2" t="n">
        <v>250</v>
      </c>
      <c r="M854" s="2" t="n">
        <v>750</v>
      </c>
      <c r="N854" s="2" t="s">
        <v>3159</v>
      </c>
    </row>
    <row r="855" customFormat="false" ht="15" hidden="false" customHeight="false" outlineLevel="0" collapsed="false">
      <c r="A855" s="3" t="s">
        <v>978</v>
      </c>
      <c r="B855" s="3" t="s">
        <v>2969</v>
      </c>
      <c r="C855" s="3" t="n">
        <v>2086</v>
      </c>
      <c r="D855" s="3" t="s">
        <v>147</v>
      </c>
      <c r="E855" s="3" t="s">
        <v>1292</v>
      </c>
      <c r="F855" s="3" t="n">
        <v>3</v>
      </c>
      <c r="G855" s="3" t="s">
        <v>51</v>
      </c>
      <c r="H855" s="3" t="s">
        <v>43</v>
      </c>
      <c r="I855" s="3" t="s">
        <v>3160</v>
      </c>
      <c r="J855" s="3" t="s">
        <v>67</v>
      </c>
      <c r="K855" s="3" t="n">
        <v>3220</v>
      </c>
      <c r="L855" s="3" t="n">
        <v>600</v>
      </c>
      <c r="M855" s="3" t="n">
        <v>1800</v>
      </c>
      <c r="N855" s="3" t="s">
        <v>3161</v>
      </c>
    </row>
    <row r="856" customFormat="false" ht="15" hidden="false" customHeight="false" outlineLevel="0" collapsed="false">
      <c r="A856" s="2" t="s">
        <v>3105</v>
      </c>
      <c r="B856" s="2" t="s">
        <v>734</v>
      </c>
      <c r="C856" s="2" t="n">
        <v>2087</v>
      </c>
      <c r="D856" s="2" t="s">
        <v>49</v>
      </c>
      <c r="E856" s="2" t="s">
        <v>1695</v>
      </c>
      <c r="F856" s="2" t="n">
        <v>1</v>
      </c>
      <c r="G856" s="2" t="s">
        <v>18</v>
      </c>
      <c r="H856" s="2" t="s">
        <v>52</v>
      </c>
      <c r="I856" s="2" t="s">
        <v>3162</v>
      </c>
      <c r="J856" s="2" t="s">
        <v>92</v>
      </c>
      <c r="K856" s="2" t="n">
        <v>4870</v>
      </c>
      <c r="L856" s="2" t="n">
        <v>250</v>
      </c>
      <c r="M856" s="2" t="n">
        <v>250</v>
      </c>
      <c r="N856" s="2" t="s">
        <v>3163</v>
      </c>
    </row>
    <row r="857" customFormat="false" ht="15" hidden="false" customHeight="false" outlineLevel="0" collapsed="false">
      <c r="A857" s="3" t="s">
        <v>3164</v>
      </c>
      <c r="B857" s="3" t="s">
        <v>3165</v>
      </c>
      <c r="C857" s="3" t="n">
        <v>2088</v>
      </c>
      <c r="D857" s="3" t="s">
        <v>16</v>
      </c>
      <c r="E857" s="3" t="s">
        <v>449</v>
      </c>
      <c r="F857" s="3" t="n">
        <v>2</v>
      </c>
      <c r="G857" s="3" t="s">
        <v>18</v>
      </c>
      <c r="H857" s="3" t="s">
        <v>43</v>
      </c>
      <c r="I857" s="3" t="s">
        <v>3166</v>
      </c>
      <c r="J857" s="3" t="s">
        <v>45</v>
      </c>
      <c r="K857" s="3" t="n">
        <v>3350</v>
      </c>
      <c r="L857" s="3" t="n">
        <v>250</v>
      </c>
      <c r="M857" s="3" t="n">
        <v>500</v>
      </c>
      <c r="N857" s="3" t="s">
        <v>3167</v>
      </c>
    </row>
    <row r="858" customFormat="false" ht="15" hidden="false" customHeight="false" outlineLevel="0" collapsed="false">
      <c r="A858" s="2" t="s">
        <v>1759</v>
      </c>
      <c r="B858" s="2" t="s">
        <v>3168</v>
      </c>
      <c r="C858" s="2" t="n">
        <v>2089</v>
      </c>
      <c r="D858" s="2" t="s">
        <v>16</v>
      </c>
      <c r="E858" s="2" t="s">
        <v>1411</v>
      </c>
      <c r="F858" s="2" t="n">
        <v>1</v>
      </c>
      <c r="G858" s="2" t="s">
        <v>97</v>
      </c>
      <c r="H858" s="2" t="s">
        <v>43</v>
      </c>
      <c r="I858" s="2" t="s">
        <v>3169</v>
      </c>
      <c r="J858" s="2" t="s">
        <v>111</v>
      </c>
      <c r="K858" s="2" t="n">
        <v>3000</v>
      </c>
      <c r="L858" s="2" t="n">
        <v>250</v>
      </c>
      <c r="M858" s="2" t="n">
        <v>250</v>
      </c>
      <c r="N858" s="2" t="s">
        <v>3170</v>
      </c>
    </row>
    <row r="859" customFormat="false" ht="15" hidden="false" customHeight="false" outlineLevel="0" collapsed="false">
      <c r="A859" s="3" t="s">
        <v>3171</v>
      </c>
      <c r="B859" s="3" t="s">
        <v>2715</v>
      </c>
      <c r="C859" s="3" t="n">
        <v>2090</v>
      </c>
      <c r="D859" s="3" t="s">
        <v>25</v>
      </c>
      <c r="E859" s="3" t="s">
        <v>396</v>
      </c>
      <c r="F859" s="3" t="n">
        <v>2</v>
      </c>
      <c r="G859" s="3" t="s">
        <v>18</v>
      </c>
      <c r="H859" s="3" t="s">
        <v>19</v>
      </c>
      <c r="I859" s="3" t="s">
        <v>3172</v>
      </c>
      <c r="J859" s="3" t="s">
        <v>73</v>
      </c>
      <c r="K859" s="3" t="n">
        <v>6160</v>
      </c>
      <c r="L859" s="3" t="n">
        <v>800</v>
      </c>
      <c r="M859" s="3" t="n">
        <v>1600</v>
      </c>
      <c r="N859" s="3" t="s">
        <v>3173</v>
      </c>
    </row>
    <row r="860" customFormat="false" ht="15" hidden="false" customHeight="false" outlineLevel="0" collapsed="false">
      <c r="A860" s="2" t="s">
        <v>1557</v>
      </c>
      <c r="B860" s="2" t="s">
        <v>1558</v>
      </c>
      <c r="C860" s="2" t="n">
        <v>1588</v>
      </c>
      <c r="D860" s="2" t="s">
        <v>34</v>
      </c>
      <c r="E860" s="2" t="s">
        <v>109</v>
      </c>
      <c r="F860" s="2" t="n">
        <v>2</v>
      </c>
      <c r="G860" s="2" t="s">
        <v>51</v>
      </c>
      <c r="H860" s="2" t="s">
        <v>52</v>
      </c>
      <c r="I860" s="2" t="s">
        <v>3174</v>
      </c>
      <c r="J860" s="2" t="s">
        <v>182</v>
      </c>
      <c r="K860" s="2" t="n">
        <v>4000</v>
      </c>
      <c r="L860" s="2" t="n">
        <v>300</v>
      </c>
      <c r="M860" s="2" t="n">
        <v>600</v>
      </c>
      <c r="N860" s="2" t="s">
        <v>3175</v>
      </c>
    </row>
    <row r="861" customFormat="false" ht="15" hidden="false" customHeight="false" outlineLevel="0" collapsed="false">
      <c r="A861" s="3" t="s">
        <v>3176</v>
      </c>
      <c r="B861" s="3" t="s">
        <v>358</v>
      </c>
      <c r="C861" s="3" t="n">
        <v>2091</v>
      </c>
      <c r="D861" s="3" t="s">
        <v>108</v>
      </c>
      <c r="E861" s="3" t="s">
        <v>301</v>
      </c>
      <c r="F861" s="3" t="n">
        <v>2</v>
      </c>
      <c r="G861" s="3" t="s">
        <v>97</v>
      </c>
      <c r="H861" s="3" t="s">
        <v>28</v>
      </c>
      <c r="I861" s="3" t="s">
        <v>3177</v>
      </c>
      <c r="J861" s="3" t="s">
        <v>30</v>
      </c>
      <c r="K861" s="3" t="n">
        <v>2600</v>
      </c>
      <c r="L861" s="3" t="n">
        <v>1200</v>
      </c>
      <c r="M861" s="3" t="n">
        <v>2400</v>
      </c>
      <c r="N861" s="3" t="s">
        <v>3178</v>
      </c>
    </row>
    <row r="862" customFormat="false" ht="15" hidden="false" customHeight="false" outlineLevel="0" collapsed="false">
      <c r="A862" s="2" t="s">
        <v>3179</v>
      </c>
      <c r="B862" s="2" t="s">
        <v>3180</v>
      </c>
      <c r="C862" s="2" t="n">
        <v>2092</v>
      </c>
      <c r="D862" s="2" t="s">
        <v>16</v>
      </c>
      <c r="E862" s="2" t="s">
        <v>3181</v>
      </c>
      <c r="F862" s="2" t="n">
        <v>2</v>
      </c>
      <c r="G862" s="2" t="s">
        <v>18</v>
      </c>
      <c r="H862" s="2" t="s">
        <v>28</v>
      </c>
      <c r="I862" s="2" t="s">
        <v>3182</v>
      </c>
      <c r="J862" s="2" t="s">
        <v>30</v>
      </c>
      <c r="K862" s="2" t="n">
        <v>2600</v>
      </c>
      <c r="L862" s="2" t="n">
        <v>250</v>
      </c>
      <c r="M862" s="2" t="n">
        <v>500</v>
      </c>
      <c r="N862" s="2" t="s">
        <v>3183</v>
      </c>
    </row>
    <row r="863" customFormat="false" ht="15" hidden="false" customHeight="false" outlineLevel="0" collapsed="false">
      <c r="A863" s="3" t="s">
        <v>3184</v>
      </c>
      <c r="B863" s="3" t="s">
        <v>1347</v>
      </c>
      <c r="C863" s="3" t="n">
        <v>2093</v>
      </c>
      <c r="D863" s="3" t="s">
        <v>49</v>
      </c>
      <c r="E863" s="3" t="s">
        <v>1256</v>
      </c>
      <c r="F863" s="3" t="n">
        <v>2</v>
      </c>
      <c r="G863" s="3" t="s">
        <v>18</v>
      </c>
      <c r="H863" s="3" t="s">
        <v>59</v>
      </c>
      <c r="I863" s="3" t="s">
        <v>3185</v>
      </c>
      <c r="J863" s="3" t="s">
        <v>99</v>
      </c>
      <c r="K863" s="3" t="n">
        <v>5000</v>
      </c>
      <c r="L863" s="3" t="n">
        <v>250</v>
      </c>
      <c r="M863" s="3" t="n">
        <v>500</v>
      </c>
      <c r="N863" s="3" t="s">
        <v>3186</v>
      </c>
    </row>
    <row r="864" customFormat="false" ht="15" hidden="false" customHeight="false" outlineLevel="0" collapsed="false">
      <c r="A864" s="2" t="s">
        <v>760</v>
      </c>
      <c r="B864" s="2" t="s">
        <v>2476</v>
      </c>
      <c r="C864" s="2" t="n">
        <v>2094</v>
      </c>
      <c r="D864" s="2" t="s">
        <v>34</v>
      </c>
      <c r="E864" s="2" t="s">
        <v>201</v>
      </c>
      <c r="F864" s="2" t="n">
        <v>1</v>
      </c>
      <c r="G864" s="2" t="s">
        <v>18</v>
      </c>
      <c r="H864" s="2" t="s">
        <v>59</v>
      </c>
      <c r="I864" s="2" t="s">
        <v>3187</v>
      </c>
      <c r="J864" s="2" t="s">
        <v>61</v>
      </c>
      <c r="K864" s="2" t="n">
        <v>5290</v>
      </c>
      <c r="L864" s="2" t="n">
        <v>300</v>
      </c>
      <c r="M864" s="2" t="n">
        <v>300</v>
      </c>
      <c r="N864" s="2" t="s">
        <v>3188</v>
      </c>
    </row>
    <row r="865" customFormat="false" ht="15" hidden="false" customHeight="false" outlineLevel="0" collapsed="false">
      <c r="A865" s="3" t="s">
        <v>3189</v>
      </c>
      <c r="B865" s="3" t="s">
        <v>1522</v>
      </c>
      <c r="C865" s="3" t="n">
        <v>2095</v>
      </c>
      <c r="D865" s="3" t="s">
        <v>16</v>
      </c>
      <c r="E865" s="3" t="s">
        <v>137</v>
      </c>
      <c r="F865" s="3" t="n">
        <v>2</v>
      </c>
      <c r="G865" s="3" t="s">
        <v>18</v>
      </c>
      <c r="H865" s="3" t="s">
        <v>28</v>
      </c>
      <c r="I865" s="3" t="s">
        <v>3190</v>
      </c>
      <c r="J865" s="3" t="s">
        <v>30</v>
      </c>
      <c r="K865" s="3" t="n">
        <v>2600</v>
      </c>
      <c r="L865" s="3" t="n">
        <v>250</v>
      </c>
      <c r="M865" s="3" t="n">
        <v>500</v>
      </c>
      <c r="N865" s="3" t="s">
        <v>3191</v>
      </c>
    </row>
    <row r="866" customFormat="false" ht="15" hidden="false" customHeight="false" outlineLevel="0" collapsed="false">
      <c r="A866" s="2" t="s">
        <v>1618</v>
      </c>
      <c r="B866" s="2" t="s">
        <v>752</v>
      </c>
      <c r="C866" s="2" t="n">
        <v>2096</v>
      </c>
      <c r="D866" s="2" t="s">
        <v>16</v>
      </c>
      <c r="E866" s="2" t="s">
        <v>798</v>
      </c>
      <c r="F866" s="2" t="n">
        <v>1</v>
      </c>
      <c r="G866" s="2" t="s">
        <v>18</v>
      </c>
      <c r="H866" s="2" t="s">
        <v>78</v>
      </c>
      <c r="I866" s="2" t="s">
        <v>3192</v>
      </c>
      <c r="J866" s="2" t="s">
        <v>86</v>
      </c>
      <c r="K866" s="2" t="n">
        <v>7000</v>
      </c>
      <c r="L866" s="2" t="n">
        <v>250</v>
      </c>
      <c r="M866" s="2" t="n">
        <v>250</v>
      </c>
      <c r="N866" s="2" t="s">
        <v>3193</v>
      </c>
    </row>
    <row r="867" customFormat="false" ht="15" hidden="false" customHeight="false" outlineLevel="0" collapsed="false">
      <c r="A867" s="3" t="s">
        <v>135</v>
      </c>
      <c r="B867" s="3" t="s">
        <v>1363</v>
      </c>
      <c r="C867" s="3" t="n">
        <v>2097</v>
      </c>
      <c r="D867" s="3" t="s">
        <v>34</v>
      </c>
      <c r="E867" s="3" t="s">
        <v>2119</v>
      </c>
      <c r="F867" s="3" t="n">
        <v>2</v>
      </c>
      <c r="G867" s="3" t="s">
        <v>97</v>
      </c>
      <c r="H867" s="3" t="s">
        <v>78</v>
      </c>
      <c r="I867" s="3" t="s">
        <v>3194</v>
      </c>
      <c r="J867" s="3" t="s">
        <v>80</v>
      </c>
      <c r="K867" s="3" t="n">
        <v>7250</v>
      </c>
      <c r="L867" s="3" t="n">
        <v>300</v>
      </c>
      <c r="M867" s="3" t="n">
        <v>600</v>
      </c>
      <c r="N867" s="3" t="s">
        <v>3195</v>
      </c>
    </row>
    <row r="868" customFormat="false" ht="15" hidden="false" customHeight="false" outlineLevel="0" collapsed="false">
      <c r="A868" s="2" t="s">
        <v>1549</v>
      </c>
      <c r="B868" s="2" t="s">
        <v>1960</v>
      </c>
      <c r="C868" s="2" t="n">
        <v>2098</v>
      </c>
      <c r="D868" s="2" t="s">
        <v>108</v>
      </c>
      <c r="E868" s="2" t="s">
        <v>507</v>
      </c>
      <c r="F868" s="2" t="n">
        <v>1</v>
      </c>
      <c r="G868" s="2" t="s">
        <v>18</v>
      </c>
      <c r="H868" s="2" t="s">
        <v>28</v>
      </c>
      <c r="I868" s="2" t="s">
        <v>3196</v>
      </c>
      <c r="J868" s="2" t="s">
        <v>30</v>
      </c>
      <c r="K868" s="2" t="n">
        <v>2600</v>
      </c>
      <c r="L868" s="2" t="n">
        <v>1200</v>
      </c>
      <c r="M868" s="2" t="n">
        <v>1200</v>
      </c>
      <c r="N868" s="2" t="s">
        <v>3197</v>
      </c>
    </row>
    <row r="869" customFormat="false" ht="15" hidden="false" customHeight="false" outlineLevel="0" collapsed="false">
      <c r="A869" s="3" t="s">
        <v>1740</v>
      </c>
      <c r="B869" s="3" t="s">
        <v>3198</v>
      </c>
      <c r="C869" s="3" t="n">
        <v>2099</v>
      </c>
      <c r="D869" s="3" t="s">
        <v>25</v>
      </c>
      <c r="E869" s="3" t="s">
        <v>1764</v>
      </c>
      <c r="F869" s="3" t="n">
        <v>2</v>
      </c>
      <c r="G869" s="3" t="s">
        <v>97</v>
      </c>
      <c r="H869" s="3" t="s">
        <v>52</v>
      </c>
      <c r="I869" s="3" t="s">
        <v>3199</v>
      </c>
      <c r="J869" s="3" t="s">
        <v>92</v>
      </c>
      <c r="K869" s="3" t="n">
        <v>4870</v>
      </c>
      <c r="L869" s="3" t="n">
        <v>800</v>
      </c>
      <c r="M869" s="3" t="n">
        <v>1600</v>
      </c>
      <c r="N869" s="3" t="s">
        <v>3200</v>
      </c>
    </row>
    <row r="870" customFormat="false" ht="15" hidden="false" customHeight="false" outlineLevel="0" collapsed="false">
      <c r="A870" s="2" t="s">
        <v>1801</v>
      </c>
      <c r="B870" s="2" t="s">
        <v>1643</v>
      </c>
      <c r="C870" s="2" t="n">
        <v>2100</v>
      </c>
      <c r="D870" s="2" t="s">
        <v>108</v>
      </c>
      <c r="E870" s="2" t="s">
        <v>2926</v>
      </c>
      <c r="F870" s="2" t="n">
        <v>3</v>
      </c>
      <c r="G870" s="2" t="s">
        <v>27</v>
      </c>
      <c r="H870" s="2" t="s">
        <v>59</v>
      </c>
      <c r="I870" s="2" t="s">
        <v>3201</v>
      </c>
      <c r="J870" s="2" t="s">
        <v>99</v>
      </c>
      <c r="K870" s="2" t="n">
        <v>5000</v>
      </c>
      <c r="L870" s="2" t="n">
        <v>1200</v>
      </c>
      <c r="M870" s="2" t="n">
        <v>3600</v>
      </c>
      <c r="N870" s="2" t="s">
        <v>3202</v>
      </c>
    </row>
    <row r="871" customFormat="false" ht="15" hidden="false" customHeight="false" outlineLevel="0" collapsed="false">
      <c r="A871" s="3" t="s">
        <v>788</v>
      </c>
      <c r="B871" s="3" t="s">
        <v>3203</v>
      </c>
      <c r="C871" s="3" t="n">
        <v>2101</v>
      </c>
      <c r="D871" s="3" t="s">
        <v>108</v>
      </c>
      <c r="E871" s="3" t="s">
        <v>1730</v>
      </c>
      <c r="F871" s="3" t="n">
        <v>1</v>
      </c>
      <c r="G871" s="3" t="s">
        <v>51</v>
      </c>
      <c r="H871" s="3" t="s">
        <v>59</v>
      </c>
      <c r="I871" s="3" t="s">
        <v>3204</v>
      </c>
      <c r="J871" s="3" t="s">
        <v>61</v>
      </c>
      <c r="K871" s="3" t="n">
        <v>5290</v>
      </c>
      <c r="L871" s="3" t="n">
        <v>1200</v>
      </c>
      <c r="M871" s="3" t="n">
        <v>1200</v>
      </c>
      <c r="N871" s="3" t="s">
        <v>3205</v>
      </c>
    </row>
    <row r="872" customFormat="false" ht="15" hidden="false" customHeight="false" outlineLevel="0" collapsed="false">
      <c r="A872" s="2" t="s">
        <v>3206</v>
      </c>
      <c r="B872" s="2" t="s">
        <v>357</v>
      </c>
      <c r="C872" s="2" t="n">
        <v>2102</v>
      </c>
      <c r="D872" s="2" t="s">
        <v>34</v>
      </c>
      <c r="E872" s="2" t="s">
        <v>1278</v>
      </c>
      <c r="F872" s="2" t="n">
        <v>3</v>
      </c>
      <c r="G872" s="2" t="s">
        <v>18</v>
      </c>
      <c r="H872" s="2" t="s">
        <v>43</v>
      </c>
      <c r="I872" s="2" t="s">
        <v>3207</v>
      </c>
      <c r="J872" s="2" t="s">
        <v>45</v>
      </c>
      <c r="K872" s="2" t="n">
        <v>3350</v>
      </c>
      <c r="L872" s="2" t="n">
        <v>300</v>
      </c>
      <c r="M872" s="2" t="n">
        <v>900</v>
      </c>
      <c r="N872" s="2" t="s">
        <v>3208</v>
      </c>
    </row>
    <row r="873" customFormat="false" ht="15" hidden="false" customHeight="false" outlineLevel="0" collapsed="false">
      <c r="A873" s="3" t="s">
        <v>324</v>
      </c>
      <c r="B873" s="3" t="s">
        <v>3209</v>
      </c>
      <c r="C873" s="3" t="n">
        <v>2103</v>
      </c>
      <c r="D873" s="3" t="s">
        <v>108</v>
      </c>
      <c r="E873" s="3" t="s">
        <v>201</v>
      </c>
      <c r="F873" s="3" t="n">
        <v>1</v>
      </c>
      <c r="G873" s="3" t="s">
        <v>51</v>
      </c>
      <c r="H873" s="3" t="s">
        <v>78</v>
      </c>
      <c r="I873" s="3" t="s">
        <v>3210</v>
      </c>
      <c r="J873" s="3" t="s">
        <v>80</v>
      </c>
      <c r="K873" s="3" t="n">
        <v>7250</v>
      </c>
      <c r="L873" s="3" t="n">
        <v>1200</v>
      </c>
      <c r="M873" s="3" t="n">
        <v>1200</v>
      </c>
      <c r="N873" s="3" t="s">
        <v>3211</v>
      </c>
    </row>
    <row r="874" customFormat="false" ht="15" hidden="false" customHeight="false" outlineLevel="0" collapsed="false">
      <c r="A874" s="2" t="s">
        <v>1195</v>
      </c>
      <c r="B874" s="2" t="s">
        <v>2574</v>
      </c>
      <c r="C874" s="2" t="n">
        <v>2104</v>
      </c>
      <c r="D874" s="2" t="s">
        <v>49</v>
      </c>
      <c r="E874" s="2" t="s">
        <v>1407</v>
      </c>
      <c r="F874" s="2" t="n">
        <v>1</v>
      </c>
      <c r="G874" s="2" t="s">
        <v>18</v>
      </c>
      <c r="H874" s="2" t="s">
        <v>36</v>
      </c>
      <c r="I874" s="2" t="s">
        <v>3212</v>
      </c>
      <c r="J874" s="2" t="s">
        <v>192</v>
      </c>
      <c r="K874" s="2" t="n">
        <v>2000</v>
      </c>
      <c r="L874" s="2" t="n">
        <v>250</v>
      </c>
      <c r="M874" s="2" t="n">
        <v>250</v>
      </c>
      <c r="N874" s="2" t="s">
        <v>3213</v>
      </c>
    </row>
    <row r="875" customFormat="false" ht="15" hidden="false" customHeight="false" outlineLevel="0" collapsed="false">
      <c r="A875" s="3" t="s">
        <v>1436</v>
      </c>
      <c r="B875" s="3" t="s">
        <v>3214</v>
      </c>
      <c r="C875" s="3" t="n">
        <v>2105</v>
      </c>
      <c r="D875" s="3" t="s">
        <v>108</v>
      </c>
      <c r="E875" s="3" t="s">
        <v>502</v>
      </c>
      <c r="F875" s="3" t="n">
        <v>3</v>
      </c>
      <c r="G875" s="3" t="s">
        <v>27</v>
      </c>
      <c r="H875" s="3" t="s">
        <v>78</v>
      </c>
      <c r="I875" s="3" t="s">
        <v>3215</v>
      </c>
      <c r="J875" s="3" t="s">
        <v>408</v>
      </c>
      <c r="K875" s="3" t="n">
        <v>7310</v>
      </c>
      <c r="L875" s="3" t="n">
        <v>1200</v>
      </c>
      <c r="M875" s="3" t="n">
        <v>3600</v>
      </c>
      <c r="N875" s="3" t="s">
        <v>3216</v>
      </c>
    </row>
    <row r="876" customFormat="false" ht="15" hidden="false" customHeight="false" outlineLevel="0" collapsed="false">
      <c r="A876" s="2" t="s">
        <v>3217</v>
      </c>
      <c r="B876" s="2" t="s">
        <v>1956</v>
      </c>
      <c r="C876" s="2" t="n">
        <v>2106</v>
      </c>
      <c r="D876" s="2" t="s">
        <v>34</v>
      </c>
      <c r="E876" s="2" t="s">
        <v>1543</v>
      </c>
      <c r="F876" s="2" t="n">
        <v>1</v>
      </c>
      <c r="G876" s="2" t="s">
        <v>97</v>
      </c>
      <c r="H876" s="2" t="s">
        <v>78</v>
      </c>
      <c r="I876" s="2" t="s">
        <v>3218</v>
      </c>
      <c r="J876" s="2" t="s">
        <v>80</v>
      </c>
      <c r="K876" s="2" t="n">
        <v>7250</v>
      </c>
      <c r="L876" s="2" t="n">
        <v>300</v>
      </c>
      <c r="M876" s="2" t="n">
        <v>300</v>
      </c>
      <c r="N876" s="2" t="s">
        <v>3219</v>
      </c>
    </row>
    <row r="877" customFormat="false" ht="15" hidden="false" customHeight="false" outlineLevel="0" collapsed="false">
      <c r="A877" s="3" t="s">
        <v>1935</v>
      </c>
      <c r="B877" s="3" t="s">
        <v>3220</v>
      </c>
      <c r="C877" s="3" t="n">
        <v>2107</v>
      </c>
      <c r="D877" s="3" t="s">
        <v>16</v>
      </c>
      <c r="E877" s="3" t="s">
        <v>315</v>
      </c>
      <c r="F877" s="3" t="n">
        <v>3</v>
      </c>
      <c r="G877" s="3" t="s">
        <v>27</v>
      </c>
      <c r="H877" s="3" t="s">
        <v>28</v>
      </c>
      <c r="I877" s="3" t="s">
        <v>3221</v>
      </c>
      <c r="J877" s="3" t="s">
        <v>30</v>
      </c>
      <c r="K877" s="3" t="n">
        <v>2600</v>
      </c>
      <c r="L877" s="3" t="n">
        <v>250</v>
      </c>
      <c r="M877" s="3" t="n">
        <v>750</v>
      </c>
      <c r="N877" s="3" t="s">
        <v>3222</v>
      </c>
    </row>
    <row r="878" customFormat="false" ht="15" hidden="false" customHeight="false" outlineLevel="0" collapsed="false">
      <c r="A878" s="2" t="s">
        <v>3223</v>
      </c>
      <c r="B878" s="2" t="s">
        <v>3224</v>
      </c>
      <c r="C878" s="2" t="n">
        <v>2108</v>
      </c>
      <c r="D878" s="2" t="s">
        <v>49</v>
      </c>
      <c r="E878" s="2" t="s">
        <v>3225</v>
      </c>
      <c r="F878" s="2" t="n">
        <v>3</v>
      </c>
      <c r="G878" s="2" t="s">
        <v>51</v>
      </c>
      <c r="H878" s="2" t="s">
        <v>28</v>
      </c>
      <c r="I878" s="2" t="s">
        <v>3226</v>
      </c>
      <c r="J878" s="2" t="s">
        <v>30</v>
      </c>
      <c r="K878" s="2" t="n">
        <v>2600</v>
      </c>
      <c r="L878" s="2" t="n">
        <v>250</v>
      </c>
      <c r="M878" s="2" t="n">
        <v>750</v>
      </c>
      <c r="N878" s="2" t="s">
        <v>3227</v>
      </c>
    </row>
    <row r="879" customFormat="false" ht="15" hidden="false" customHeight="false" outlineLevel="0" collapsed="false">
      <c r="A879" s="3" t="s">
        <v>853</v>
      </c>
      <c r="B879" s="3" t="s">
        <v>3228</v>
      </c>
      <c r="C879" s="3" t="n">
        <v>2109</v>
      </c>
      <c r="D879" s="3" t="s">
        <v>147</v>
      </c>
      <c r="E879" s="3" t="s">
        <v>502</v>
      </c>
      <c r="F879" s="3" t="n">
        <v>3</v>
      </c>
      <c r="G879" s="3" t="s">
        <v>18</v>
      </c>
      <c r="H879" s="3" t="s">
        <v>28</v>
      </c>
      <c r="I879" s="3" t="s">
        <v>3229</v>
      </c>
      <c r="J879" s="3" t="s">
        <v>30</v>
      </c>
      <c r="K879" s="3" t="n">
        <v>2600</v>
      </c>
      <c r="L879" s="3" t="n">
        <v>600</v>
      </c>
      <c r="M879" s="3" t="n">
        <v>1800</v>
      </c>
      <c r="N879" s="3" t="s">
        <v>3230</v>
      </c>
    </row>
    <row r="880" customFormat="false" ht="15" hidden="false" customHeight="false" outlineLevel="0" collapsed="false">
      <c r="A880" s="2" t="s">
        <v>1247</v>
      </c>
      <c r="B880" s="2" t="s">
        <v>1074</v>
      </c>
      <c r="C880" s="2" t="n">
        <v>2110</v>
      </c>
      <c r="D880" s="2" t="s">
        <v>108</v>
      </c>
      <c r="E880" s="2" t="s">
        <v>1624</v>
      </c>
      <c r="F880" s="2" t="n">
        <v>1</v>
      </c>
      <c r="G880" s="2" t="s">
        <v>51</v>
      </c>
      <c r="H880" s="2" t="s">
        <v>19</v>
      </c>
      <c r="I880" s="2" t="s">
        <v>3231</v>
      </c>
      <c r="J880" s="2" t="s">
        <v>176</v>
      </c>
      <c r="K880" s="2" t="n">
        <v>6000</v>
      </c>
      <c r="L880" s="2" t="n">
        <v>1200</v>
      </c>
      <c r="M880" s="2" t="n">
        <v>1200</v>
      </c>
      <c r="N880" s="2" t="s">
        <v>3232</v>
      </c>
    </row>
    <row r="881" customFormat="false" ht="15" hidden="false" customHeight="false" outlineLevel="0" collapsed="false">
      <c r="A881" s="3" t="s">
        <v>3233</v>
      </c>
      <c r="B881" s="3" t="s">
        <v>3234</v>
      </c>
      <c r="C881" s="3" t="n">
        <v>2111</v>
      </c>
      <c r="D881" s="3" t="s">
        <v>108</v>
      </c>
      <c r="E881" s="3" t="s">
        <v>3091</v>
      </c>
      <c r="F881" s="3" t="n">
        <v>3</v>
      </c>
      <c r="G881" s="3" t="s">
        <v>97</v>
      </c>
      <c r="H881" s="3" t="s">
        <v>52</v>
      </c>
      <c r="I881" s="3" t="s">
        <v>3235</v>
      </c>
      <c r="J881" s="3" t="s">
        <v>54</v>
      </c>
      <c r="K881" s="3" t="n">
        <v>4217</v>
      </c>
      <c r="L881" s="3" t="n">
        <v>1200</v>
      </c>
      <c r="M881" s="3" t="n">
        <v>3600</v>
      </c>
      <c r="N881" s="3" t="s">
        <v>3236</v>
      </c>
    </row>
    <row r="882" customFormat="false" ht="15" hidden="false" customHeight="false" outlineLevel="0" collapsed="false">
      <c r="A882" s="2" t="s">
        <v>3237</v>
      </c>
      <c r="B882" s="2" t="s">
        <v>3238</v>
      </c>
      <c r="C882" s="2" t="n">
        <v>2112</v>
      </c>
      <c r="D882" s="2" t="s">
        <v>49</v>
      </c>
      <c r="E882" s="2" t="s">
        <v>401</v>
      </c>
      <c r="F882" s="2" t="n">
        <v>2</v>
      </c>
      <c r="G882" s="2" t="s">
        <v>51</v>
      </c>
      <c r="H882" s="2" t="s">
        <v>19</v>
      </c>
      <c r="I882" s="2" t="s">
        <v>3239</v>
      </c>
      <c r="J882" s="2" t="s">
        <v>176</v>
      </c>
      <c r="K882" s="2" t="n">
        <v>6000</v>
      </c>
      <c r="L882" s="2" t="n">
        <v>250</v>
      </c>
      <c r="M882" s="2" t="n">
        <v>500</v>
      </c>
      <c r="N882" s="2" t="s">
        <v>3240</v>
      </c>
    </row>
    <row r="883" customFormat="false" ht="15" hidden="false" customHeight="false" outlineLevel="0" collapsed="false">
      <c r="A883" s="3" t="s">
        <v>3241</v>
      </c>
      <c r="B883" s="3" t="s">
        <v>3242</v>
      </c>
      <c r="C883" s="3" t="n">
        <v>2113</v>
      </c>
      <c r="D883" s="3" t="s">
        <v>108</v>
      </c>
      <c r="E883" s="3" t="s">
        <v>882</v>
      </c>
      <c r="F883" s="3" t="n">
        <v>1</v>
      </c>
      <c r="G883" s="3" t="s">
        <v>51</v>
      </c>
      <c r="H883" s="3" t="s">
        <v>43</v>
      </c>
      <c r="I883" s="3" t="s">
        <v>3243</v>
      </c>
      <c r="J883" s="3" t="s">
        <v>111</v>
      </c>
      <c r="K883" s="3" t="n">
        <v>3000</v>
      </c>
      <c r="L883" s="3" t="n">
        <v>1200</v>
      </c>
      <c r="M883" s="3" t="n">
        <v>1200</v>
      </c>
      <c r="N883" s="3" t="s">
        <v>3244</v>
      </c>
    </row>
    <row r="884" customFormat="false" ht="15" hidden="false" customHeight="false" outlineLevel="0" collapsed="false">
      <c r="A884" s="2" t="s">
        <v>1915</v>
      </c>
      <c r="B884" s="2" t="s">
        <v>597</v>
      </c>
      <c r="C884" s="2" t="n">
        <v>2114</v>
      </c>
      <c r="D884" s="2" t="s">
        <v>16</v>
      </c>
      <c r="E884" s="2" t="s">
        <v>1457</v>
      </c>
      <c r="F884" s="2" t="n">
        <v>1</v>
      </c>
      <c r="G884" s="2" t="s">
        <v>18</v>
      </c>
      <c r="H884" s="2" t="s">
        <v>36</v>
      </c>
      <c r="I884" s="2" t="s">
        <v>3245</v>
      </c>
      <c r="J884" s="2" t="s">
        <v>38</v>
      </c>
      <c r="K884" s="2" t="n">
        <v>2300</v>
      </c>
      <c r="L884" s="2" t="n">
        <v>250</v>
      </c>
      <c r="M884" s="2" t="n">
        <v>250</v>
      </c>
      <c r="N884" s="2" t="s">
        <v>3246</v>
      </c>
    </row>
    <row r="885" customFormat="false" ht="15" hidden="false" customHeight="false" outlineLevel="0" collapsed="false">
      <c r="A885" s="3" t="s">
        <v>1231</v>
      </c>
      <c r="B885" s="3" t="s">
        <v>2526</v>
      </c>
      <c r="C885" s="3" t="n">
        <v>2115</v>
      </c>
      <c r="D885" s="3" t="s">
        <v>34</v>
      </c>
      <c r="E885" s="3" t="s">
        <v>753</v>
      </c>
      <c r="F885" s="3" t="n">
        <v>2</v>
      </c>
      <c r="G885" s="3" t="s">
        <v>18</v>
      </c>
      <c r="H885" s="3" t="s">
        <v>52</v>
      </c>
      <c r="I885" s="3" t="s">
        <v>3247</v>
      </c>
      <c r="J885" s="3" t="s">
        <v>182</v>
      </c>
      <c r="K885" s="3" t="n">
        <v>4000</v>
      </c>
      <c r="L885" s="3" t="n">
        <v>300</v>
      </c>
      <c r="M885" s="3" t="n">
        <v>600</v>
      </c>
      <c r="N885" s="3" t="s">
        <v>3248</v>
      </c>
    </row>
    <row r="886" customFormat="false" ht="15" hidden="false" customHeight="false" outlineLevel="0" collapsed="false">
      <c r="A886" s="2" t="s">
        <v>3249</v>
      </c>
      <c r="B886" s="2" t="s">
        <v>3250</v>
      </c>
      <c r="C886" s="2" t="n">
        <v>2116</v>
      </c>
      <c r="D886" s="2" t="s">
        <v>108</v>
      </c>
      <c r="E886" s="2" t="s">
        <v>216</v>
      </c>
      <c r="F886" s="2" t="n">
        <v>2</v>
      </c>
      <c r="G886" s="2" t="s">
        <v>18</v>
      </c>
      <c r="H886" s="2" t="s">
        <v>36</v>
      </c>
      <c r="I886" s="2" t="s">
        <v>3251</v>
      </c>
      <c r="J886" s="2" t="s">
        <v>192</v>
      </c>
      <c r="K886" s="2" t="n">
        <v>2000</v>
      </c>
      <c r="L886" s="2" t="n">
        <v>1200</v>
      </c>
      <c r="M886" s="2" t="n">
        <v>2400</v>
      </c>
      <c r="N886" s="2" t="s">
        <v>3252</v>
      </c>
    </row>
    <row r="887" customFormat="false" ht="15" hidden="false" customHeight="false" outlineLevel="0" collapsed="false">
      <c r="A887" s="3" t="s">
        <v>3253</v>
      </c>
      <c r="B887" s="3" t="s">
        <v>2938</v>
      </c>
      <c r="C887" s="3" t="n">
        <v>2117</v>
      </c>
      <c r="D887" s="3" t="s">
        <v>16</v>
      </c>
      <c r="E887" s="3" t="s">
        <v>211</v>
      </c>
      <c r="F887" s="3" t="n">
        <v>2</v>
      </c>
      <c r="G887" s="3" t="s">
        <v>97</v>
      </c>
      <c r="H887" s="3" t="s">
        <v>43</v>
      </c>
      <c r="I887" s="3" t="s">
        <v>3254</v>
      </c>
      <c r="J887" s="3" t="s">
        <v>111</v>
      </c>
      <c r="K887" s="3" t="n">
        <v>3000</v>
      </c>
      <c r="L887" s="3" t="n">
        <v>250</v>
      </c>
      <c r="M887" s="3" t="n">
        <v>500</v>
      </c>
      <c r="N887" s="3" t="s">
        <v>3255</v>
      </c>
    </row>
    <row r="888" customFormat="false" ht="15" hidden="false" customHeight="false" outlineLevel="0" collapsed="false">
      <c r="A888" s="2" t="s">
        <v>3256</v>
      </c>
      <c r="B888" s="2" t="s">
        <v>2042</v>
      </c>
      <c r="C888" s="2" t="n">
        <v>2118</v>
      </c>
      <c r="D888" s="2" t="s">
        <v>147</v>
      </c>
      <c r="E888" s="2" t="s">
        <v>479</v>
      </c>
      <c r="F888" s="2" t="n">
        <v>1</v>
      </c>
      <c r="G888" s="2" t="s">
        <v>27</v>
      </c>
      <c r="H888" s="2" t="s">
        <v>78</v>
      </c>
      <c r="I888" s="2" t="s">
        <v>3257</v>
      </c>
      <c r="J888" s="2" t="s">
        <v>408</v>
      </c>
      <c r="K888" s="2" t="n">
        <v>7310</v>
      </c>
      <c r="L888" s="2" t="n">
        <v>600</v>
      </c>
      <c r="M888" s="2" t="n">
        <v>600</v>
      </c>
      <c r="N888" s="2" t="s">
        <v>3258</v>
      </c>
    </row>
    <row r="889" customFormat="false" ht="15" hidden="false" customHeight="false" outlineLevel="0" collapsed="false">
      <c r="A889" s="3" t="s">
        <v>1721</v>
      </c>
      <c r="B889" s="3" t="s">
        <v>520</v>
      </c>
      <c r="C889" s="3" t="n">
        <v>2119</v>
      </c>
      <c r="D889" s="3" t="s">
        <v>49</v>
      </c>
      <c r="E889" s="3" t="s">
        <v>368</v>
      </c>
      <c r="F889" s="3" t="n">
        <v>3</v>
      </c>
      <c r="G889" s="3" t="s">
        <v>27</v>
      </c>
      <c r="H889" s="3" t="s">
        <v>36</v>
      </c>
      <c r="I889" s="3" t="s">
        <v>3259</v>
      </c>
      <c r="J889" s="3" t="s">
        <v>38</v>
      </c>
      <c r="K889" s="3" t="n">
        <v>2300</v>
      </c>
      <c r="L889" s="3" t="n">
        <v>250</v>
      </c>
      <c r="M889" s="3" t="n">
        <v>750</v>
      </c>
      <c r="N889" s="3" t="s">
        <v>3260</v>
      </c>
    </row>
    <row r="890" customFormat="false" ht="15" hidden="false" customHeight="false" outlineLevel="0" collapsed="false">
      <c r="A890" s="2" t="s">
        <v>467</v>
      </c>
      <c r="B890" s="2" t="s">
        <v>3261</v>
      </c>
      <c r="C890" s="2" t="n">
        <v>2120</v>
      </c>
      <c r="D890" s="2" t="s">
        <v>108</v>
      </c>
      <c r="E890" s="2" t="s">
        <v>321</v>
      </c>
      <c r="F890" s="2" t="n">
        <v>2</v>
      </c>
      <c r="G890" s="2" t="s">
        <v>51</v>
      </c>
      <c r="H890" s="2" t="s">
        <v>36</v>
      </c>
      <c r="I890" s="2" t="s">
        <v>3262</v>
      </c>
      <c r="J890" s="2" t="s">
        <v>170</v>
      </c>
      <c r="K890" s="2" t="n">
        <v>2500</v>
      </c>
      <c r="L890" s="2" t="n">
        <v>1200</v>
      </c>
      <c r="M890" s="2" t="n">
        <v>2400</v>
      </c>
      <c r="N890" s="2" t="s">
        <v>3263</v>
      </c>
    </row>
    <row r="891" customFormat="false" ht="15" hidden="false" customHeight="false" outlineLevel="0" collapsed="false">
      <c r="A891" s="3" t="s">
        <v>135</v>
      </c>
      <c r="B891" s="3" t="s">
        <v>1823</v>
      </c>
      <c r="C891" s="3" t="n">
        <v>2121</v>
      </c>
      <c r="D891" s="3" t="s">
        <v>34</v>
      </c>
      <c r="E891" s="3" t="s">
        <v>1287</v>
      </c>
      <c r="F891" s="3" t="n">
        <v>2</v>
      </c>
      <c r="G891" s="3" t="s">
        <v>18</v>
      </c>
      <c r="H891" s="3" t="s">
        <v>78</v>
      </c>
      <c r="I891" s="3" t="s">
        <v>3264</v>
      </c>
      <c r="J891" s="3" t="s">
        <v>80</v>
      </c>
      <c r="K891" s="3" t="n">
        <v>7250</v>
      </c>
      <c r="L891" s="3" t="n">
        <v>300</v>
      </c>
      <c r="M891" s="3" t="n">
        <v>600</v>
      </c>
      <c r="N891" s="3" t="s">
        <v>3265</v>
      </c>
    </row>
    <row r="892" customFormat="false" ht="15" hidden="false" customHeight="false" outlineLevel="0" collapsed="false">
      <c r="A892" s="2" t="s">
        <v>3266</v>
      </c>
      <c r="B892" s="2" t="s">
        <v>3267</v>
      </c>
      <c r="C892" s="2" t="n">
        <v>2122</v>
      </c>
      <c r="D892" s="2" t="s">
        <v>34</v>
      </c>
      <c r="E892" s="2" t="s">
        <v>1578</v>
      </c>
      <c r="F892" s="2" t="n">
        <v>3</v>
      </c>
      <c r="G892" s="2" t="s">
        <v>18</v>
      </c>
      <c r="H892" s="2" t="s">
        <v>43</v>
      </c>
      <c r="I892" s="2" t="s">
        <v>3268</v>
      </c>
      <c r="J892" s="2" t="s">
        <v>111</v>
      </c>
      <c r="K892" s="2" t="n">
        <v>3000</v>
      </c>
      <c r="L892" s="2" t="n">
        <v>300</v>
      </c>
      <c r="M892" s="2" t="n">
        <v>900</v>
      </c>
      <c r="N892" s="2" t="s">
        <v>3269</v>
      </c>
    </row>
    <row r="893" customFormat="false" ht="15" hidden="false" customHeight="false" outlineLevel="0" collapsed="false">
      <c r="A893" s="3" t="s">
        <v>3270</v>
      </c>
      <c r="B893" s="3" t="s">
        <v>3271</v>
      </c>
      <c r="C893" s="3" t="n">
        <v>2123</v>
      </c>
      <c r="D893" s="3" t="s">
        <v>108</v>
      </c>
      <c r="E893" s="3" t="s">
        <v>662</v>
      </c>
      <c r="F893" s="3" t="n">
        <v>3</v>
      </c>
      <c r="G893" s="3" t="s">
        <v>18</v>
      </c>
      <c r="H893" s="3" t="s">
        <v>28</v>
      </c>
      <c r="I893" s="3" t="s">
        <v>3272</v>
      </c>
      <c r="J893" s="3" t="s">
        <v>30</v>
      </c>
      <c r="K893" s="3" t="n">
        <v>2600</v>
      </c>
      <c r="L893" s="3" t="n">
        <v>1200</v>
      </c>
      <c r="M893" s="3" t="n">
        <v>3600</v>
      </c>
      <c r="N893" s="3" t="s">
        <v>3273</v>
      </c>
    </row>
    <row r="894" customFormat="false" ht="15" hidden="false" customHeight="false" outlineLevel="0" collapsed="false">
      <c r="A894" s="2" t="s">
        <v>358</v>
      </c>
      <c r="B894" s="2" t="s">
        <v>3274</v>
      </c>
      <c r="C894" s="2" t="n">
        <v>2124</v>
      </c>
      <c r="D894" s="2" t="s">
        <v>16</v>
      </c>
      <c r="E894" s="2" t="s">
        <v>421</v>
      </c>
      <c r="F894" s="2" t="n">
        <v>2</v>
      </c>
      <c r="G894" s="2" t="s">
        <v>51</v>
      </c>
      <c r="H894" s="2" t="s">
        <v>19</v>
      </c>
      <c r="I894" s="2" t="s">
        <v>3275</v>
      </c>
      <c r="J894" s="2" t="s">
        <v>73</v>
      </c>
      <c r="K894" s="2" t="n">
        <v>6160</v>
      </c>
      <c r="L894" s="2" t="n">
        <v>250</v>
      </c>
      <c r="M894" s="2" t="n">
        <v>500</v>
      </c>
      <c r="N894" s="2" t="s">
        <v>3276</v>
      </c>
    </row>
    <row r="895" customFormat="false" ht="15" hidden="false" customHeight="false" outlineLevel="0" collapsed="false">
      <c r="A895" s="3" t="s">
        <v>3277</v>
      </c>
      <c r="B895" s="3" t="s">
        <v>3278</v>
      </c>
      <c r="C895" s="3" t="n">
        <v>2125</v>
      </c>
      <c r="D895" s="3" t="s">
        <v>49</v>
      </c>
      <c r="E895" s="3" t="s">
        <v>526</v>
      </c>
      <c r="F895" s="3" t="n">
        <v>1</v>
      </c>
      <c r="G895" s="3" t="s">
        <v>18</v>
      </c>
      <c r="H895" s="3" t="s">
        <v>36</v>
      </c>
      <c r="I895" s="3" t="s">
        <v>3279</v>
      </c>
      <c r="J895" s="3" t="s">
        <v>170</v>
      </c>
      <c r="K895" s="3" t="n">
        <v>2500</v>
      </c>
      <c r="L895" s="3" t="n">
        <v>250</v>
      </c>
      <c r="M895" s="3" t="n">
        <v>250</v>
      </c>
      <c r="N895" s="3" t="s">
        <v>3280</v>
      </c>
    </row>
    <row r="896" customFormat="false" ht="15" hidden="false" customHeight="false" outlineLevel="0" collapsed="false">
      <c r="A896" s="2" t="s">
        <v>3281</v>
      </c>
      <c r="B896" s="2" t="s">
        <v>2685</v>
      </c>
      <c r="C896" s="2" t="n">
        <v>2126</v>
      </c>
      <c r="D896" s="2" t="s">
        <v>49</v>
      </c>
      <c r="E896" s="2" t="s">
        <v>1990</v>
      </c>
      <c r="F896" s="2" t="n">
        <v>3</v>
      </c>
      <c r="G896" s="2" t="s">
        <v>97</v>
      </c>
      <c r="H896" s="2" t="s">
        <v>36</v>
      </c>
      <c r="I896" s="2" t="s">
        <v>3282</v>
      </c>
      <c r="J896" s="2" t="s">
        <v>170</v>
      </c>
      <c r="K896" s="2" t="n">
        <v>2500</v>
      </c>
      <c r="L896" s="2" t="n">
        <v>250</v>
      </c>
      <c r="M896" s="2" t="n">
        <v>750</v>
      </c>
      <c r="N896" s="2" t="s">
        <v>3283</v>
      </c>
    </row>
    <row r="897" customFormat="false" ht="15" hidden="false" customHeight="false" outlineLevel="0" collapsed="false">
      <c r="A897" s="3" t="s">
        <v>2574</v>
      </c>
      <c r="B897" s="3" t="s">
        <v>906</v>
      </c>
      <c r="C897" s="3" t="n">
        <v>2127</v>
      </c>
      <c r="D897" s="3" t="s">
        <v>34</v>
      </c>
      <c r="E897" s="3" t="s">
        <v>624</v>
      </c>
      <c r="F897" s="3" t="n">
        <v>3</v>
      </c>
      <c r="G897" s="3" t="s">
        <v>27</v>
      </c>
      <c r="H897" s="3" t="s">
        <v>121</v>
      </c>
      <c r="I897" s="3" t="s">
        <v>3284</v>
      </c>
      <c r="J897" s="3" t="s">
        <v>317</v>
      </c>
      <c r="K897" s="3" t="n">
        <v>870</v>
      </c>
      <c r="L897" s="3" t="n">
        <v>300</v>
      </c>
      <c r="M897" s="3" t="n">
        <v>900</v>
      </c>
      <c r="N897" s="3" t="s">
        <v>3285</v>
      </c>
    </row>
    <row r="898" customFormat="false" ht="15" hidden="false" customHeight="false" outlineLevel="0" collapsed="false">
      <c r="A898" s="2" t="s">
        <v>3286</v>
      </c>
      <c r="B898" s="2" t="s">
        <v>1074</v>
      </c>
      <c r="C898" s="2" t="n">
        <v>2128</v>
      </c>
      <c r="D898" s="2" t="s">
        <v>25</v>
      </c>
      <c r="E898" s="2" t="s">
        <v>2567</v>
      </c>
      <c r="F898" s="2" t="n">
        <v>1</v>
      </c>
      <c r="G898" s="2" t="s">
        <v>18</v>
      </c>
      <c r="H898" s="2" t="s">
        <v>59</v>
      </c>
      <c r="I898" s="2" t="s">
        <v>3287</v>
      </c>
      <c r="J898" s="2" t="s">
        <v>61</v>
      </c>
      <c r="K898" s="2" t="n">
        <v>5290</v>
      </c>
      <c r="L898" s="2" t="n">
        <v>800</v>
      </c>
      <c r="M898" s="2" t="n">
        <v>800</v>
      </c>
      <c r="N898" s="2" t="s">
        <v>3288</v>
      </c>
    </row>
    <row r="899" customFormat="false" ht="15" hidden="false" customHeight="false" outlineLevel="0" collapsed="false">
      <c r="A899" s="3" t="s">
        <v>101</v>
      </c>
      <c r="B899" s="3" t="s">
        <v>230</v>
      </c>
      <c r="C899" s="3" t="n">
        <v>2129</v>
      </c>
      <c r="D899" s="3" t="s">
        <v>49</v>
      </c>
      <c r="E899" s="3" t="s">
        <v>920</v>
      </c>
      <c r="F899" s="3" t="n">
        <v>3</v>
      </c>
      <c r="G899" s="3" t="s">
        <v>18</v>
      </c>
      <c r="H899" s="3" t="s">
        <v>59</v>
      </c>
      <c r="I899" s="3" t="s">
        <v>3289</v>
      </c>
      <c r="J899" s="3" t="s">
        <v>292</v>
      </c>
      <c r="K899" s="3" t="n">
        <v>5600</v>
      </c>
      <c r="L899" s="3" t="n">
        <v>250</v>
      </c>
      <c r="M899" s="3" t="n">
        <v>750</v>
      </c>
      <c r="N899" s="3" t="s">
        <v>3290</v>
      </c>
    </row>
    <row r="900" customFormat="false" ht="15" hidden="false" customHeight="false" outlineLevel="0" collapsed="false">
      <c r="A900" s="2" t="s">
        <v>3291</v>
      </c>
      <c r="B900" s="2" t="s">
        <v>1090</v>
      </c>
      <c r="C900" s="2" t="n">
        <v>2130</v>
      </c>
      <c r="D900" s="2" t="s">
        <v>108</v>
      </c>
      <c r="E900" s="2" t="s">
        <v>3292</v>
      </c>
      <c r="F900" s="2" t="n">
        <v>3</v>
      </c>
      <c r="G900" s="2" t="s">
        <v>97</v>
      </c>
      <c r="H900" s="2" t="s">
        <v>52</v>
      </c>
      <c r="I900" s="2" t="s">
        <v>3293</v>
      </c>
      <c r="J900" s="2" t="s">
        <v>92</v>
      </c>
      <c r="K900" s="2" t="n">
        <v>4870</v>
      </c>
      <c r="L900" s="2" t="n">
        <v>1200</v>
      </c>
      <c r="M900" s="2" t="n">
        <v>3600</v>
      </c>
      <c r="N900" s="2" t="s">
        <v>3294</v>
      </c>
    </row>
    <row r="901" customFormat="false" ht="15" hidden="false" customHeight="false" outlineLevel="0" collapsed="false">
      <c r="A901" s="3" t="s">
        <v>3295</v>
      </c>
      <c r="B901" s="3" t="s">
        <v>3296</v>
      </c>
      <c r="C901" s="3" t="n">
        <v>2131</v>
      </c>
      <c r="D901" s="3" t="s">
        <v>25</v>
      </c>
      <c r="E901" s="3" t="s">
        <v>2179</v>
      </c>
      <c r="F901" s="3" t="n">
        <v>2</v>
      </c>
      <c r="G901" s="3" t="s">
        <v>51</v>
      </c>
      <c r="H901" s="3" t="s">
        <v>52</v>
      </c>
      <c r="I901" s="3" t="s">
        <v>3297</v>
      </c>
      <c r="J901" s="3" t="s">
        <v>54</v>
      </c>
      <c r="K901" s="3" t="n">
        <v>4217</v>
      </c>
      <c r="L901" s="3" t="n">
        <v>800</v>
      </c>
      <c r="M901" s="3" t="n">
        <v>1600</v>
      </c>
      <c r="N901" s="3" t="s">
        <v>3298</v>
      </c>
    </row>
    <row r="902" customFormat="false" ht="15" hidden="false" customHeight="false" outlineLevel="0" collapsed="false">
      <c r="A902" s="2" t="s">
        <v>3299</v>
      </c>
      <c r="B902" s="2" t="s">
        <v>3300</v>
      </c>
      <c r="C902" s="2" t="n">
        <v>2132</v>
      </c>
      <c r="D902" s="2" t="s">
        <v>108</v>
      </c>
      <c r="E902" s="2" t="s">
        <v>1906</v>
      </c>
      <c r="F902" s="2" t="n">
        <v>1</v>
      </c>
      <c r="G902" s="2" t="s">
        <v>18</v>
      </c>
      <c r="H902" s="2" t="s">
        <v>28</v>
      </c>
      <c r="I902" s="2" t="s">
        <v>3301</v>
      </c>
      <c r="J902" s="2" t="s">
        <v>30</v>
      </c>
      <c r="K902" s="2" t="n">
        <v>2600</v>
      </c>
      <c r="L902" s="2" t="n">
        <v>1200</v>
      </c>
      <c r="M902" s="2" t="n">
        <v>1200</v>
      </c>
      <c r="N902" s="2" t="s">
        <v>3302</v>
      </c>
    </row>
    <row r="903" customFormat="false" ht="15" hidden="false" customHeight="false" outlineLevel="0" collapsed="false">
      <c r="A903" s="3" t="s">
        <v>2241</v>
      </c>
      <c r="B903" s="3" t="s">
        <v>189</v>
      </c>
      <c r="C903" s="3" t="n">
        <v>2133</v>
      </c>
      <c r="D903" s="3" t="s">
        <v>108</v>
      </c>
      <c r="E903" s="3" t="s">
        <v>271</v>
      </c>
      <c r="F903" s="3" t="n">
        <v>2</v>
      </c>
      <c r="G903" s="3" t="s">
        <v>18</v>
      </c>
      <c r="H903" s="3" t="s">
        <v>121</v>
      </c>
      <c r="I903" s="3" t="s">
        <v>3303</v>
      </c>
      <c r="J903" s="3" t="s">
        <v>317</v>
      </c>
      <c r="K903" s="3" t="n">
        <v>870</v>
      </c>
      <c r="L903" s="3" t="n">
        <v>1200</v>
      </c>
      <c r="M903" s="3" t="n">
        <v>2400</v>
      </c>
      <c r="N903" s="3" t="s">
        <v>3304</v>
      </c>
    </row>
    <row r="904" customFormat="false" ht="15" hidden="false" customHeight="false" outlineLevel="0" collapsed="false">
      <c r="A904" s="2" t="s">
        <v>3305</v>
      </c>
      <c r="B904" s="2" t="s">
        <v>3306</v>
      </c>
      <c r="C904" s="2" t="n">
        <v>2134</v>
      </c>
      <c r="D904" s="2" t="s">
        <v>34</v>
      </c>
      <c r="E904" s="2" t="s">
        <v>1523</v>
      </c>
      <c r="F904" s="2" t="n">
        <v>2</v>
      </c>
      <c r="G904" s="2" t="s">
        <v>51</v>
      </c>
      <c r="H904" s="2" t="s">
        <v>19</v>
      </c>
      <c r="I904" s="2" t="s">
        <v>3307</v>
      </c>
      <c r="J904" s="2" t="s">
        <v>176</v>
      </c>
      <c r="K904" s="2" t="n">
        <v>6000</v>
      </c>
      <c r="L904" s="2" t="n">
        <v>300</v>
      </c>
      <c r="M904" s="2" t="n">
        <v>600</v>
      </c>
      <c r="N904" s="2" t="s">
        <v>3308</v>
      </c>
    </row>
    <row r="905" customFormat="false" ht="15" hidden="false" customHeight="false" outlineLevel="0" collapsed="false">
      <c r="A905" s="3" t="s">
        <v>157</v>
      </c>
      <c r="B905" s="3" t="s">
        <v>173</v>
      </c>
      <c r="C905" s="3" t="n">
        <v>2135</v>
      </c>
      <c r="D905" s="3" t="s">
        <v>16</v>
      </c>
      <c r="E905" s="3" t="s">
        <v>435</v>
      </c>
      <c r="F905" s="3" t="n">
        <v>3</v>
      </c>
      <c r="G905" s="3" t="s">
        <v>51</v>
      </c>
      <c r="H905" s="3" t="s">
        <v>36</v>
      </c>
      <c r="I905" s="3" t="s">
        <v>3309</v>
      </c>
      <c r="J905" s="3" t="s">
        <v>38</v>
      </c>
      <c r="K905" s="3" t="n">
        <v>2300</v>
      </c>
      <c r="L905" s="3" t="n">
        <v>250</v>
      </c>
      <c r="M905" s="3" t="n">
        <v>750</v>
      </c>
      <c r="N905" s="3" t="s">
        <v>3310</v>
      </c>
    </row>
    <row r="906" customFormat="false" ht="15" hidden="false" customHeight="false" outlineLevel="0" collapsed="false">
      <c r="A906" s="2" t="s">
        <v>3311</v>
      </c>
      <c r="B906" s="2" t="s">
        <v>3312</v>
      </c>
      <c r="C906" s="2" t="n">
        <v>2136</v>
      </c>
      <c r="D906" s="2" t="s">
        <v>108</v>
      </c>
      <c r="E906" s="2" t="s">
        <v>2638</v>
      </c>
      <c r="F906" s="2" t="n">
        <v>2</v>
      </c>
      <c r="G906" s="2" t="s">
        <v>18</v>
      </c>
      <c r="H906" s="2" t="s">
        <v>43</v>
      </c>
      <c r="I906" s="2" t="s">
        <v>3313</v>
      </c>
      <c r="J906" s="2" t="s">
        <v>45</v>
      </c>
      <c r="K906" s="2" t="n">
        <v>3350</v>
      </c>
      <c r="L906" s="2" t="n">
        <v>1200</v>
      </c>
      <c r="M906" s="2" t="n">
        <v>2400</v>
      </c>
      <c r="N906" s="2" t="s">
        <v>3314</v>
      </c>
    </row>
    <row r="907" customFormat="false" ht="15" hidden="false" customHeight="false" outlineLevel="0" collapsed="false">
      <c r="A907" s="3" t="s">
        <v>3315</v>
      </c>
      <c r="B907" s="3" t="s">
        <v>2195</v>
      </c>
      <c r="C907" s="3" t="n">
        <v>2137</v>
      </c>
      <c r="D907" s="3" t="s">
        <v>49</v>
      </c>
      <c r="E907" s="3" t="s">
        <v>3316</v>
      </c>
      <c r="F907" s="3" t="n">
        <v>3</v>
      </c>
      <c r="G907" s="3" t="s">
        <v>18</v>
      </c>
      <c r="H907" s="3" t="s">
        <v>52</v>
      </c>
      <c r="I907" s="3" t="s">
        <v>3317</v>
      </c>
      <c r="J907" s="3" t="s">
        <v>54</v>
      </c>
      <c r="K907" s="3" t="n">
        <v>4217</v>
      </c>
      <c r="L907" s="3" t="n">
        <v>250</v>
      </c>
      <c r="M907" s="3" t="n">
        <v>750</v>
      </c>
      <c r="N907" s="3" t="s">
        <v>3318</v>
      </c>
    </row>
    <row r="908" customFormat="false" ht="15" hidden="false" customHeight="false" outlineLevel="0" collapsed="false">
      <c r="A908" s="2" t="s">
        <v>788</v>
      </c>
      <c r="B908" s="2" t="s">
        <v>3319</v>
      </c>
      <c r="C908" s="2" t="n">
        <v>2138</v>
      </c>
      <c r="D908" s="2" t="s">
        <v>34</v>
      </c>
      <c r="E908" s="2" t="s">
        <v>1328</v>
      </c>
      <c r="F908" s="2" t="n">
        <v>3</v>
      </c>
      <c r="G908" s="2" t="s">
        <v>27</v>
      </c>
      <c r="H908" s="2" t="s">
        <v>121</v>
      </c>
      <c r="I908" s="2" t="s">
        <v>3320</v>
      </c>
      <c r="J908" s="2" t="s">
        <v>123</v>
      </c>
      <c r="K908" s="2" t="n">
        <v>800</v>
      </c>
      <c r="L908" s="2" t="n">
        <v>300</v>
      </c>
      <c r="M908" s="2" t="n">
        <v>900</v>
      </c>
      <c r="N908" s="2" t="s">
        <v>3321</v>
      </c>
    </row>
    <row r="909" customFormat="false" ht="15" hidden="false" customHeight="false" outlineLevel="0" collapsed="false">
      <c r="A909" s="3" t="s">
        <v>3322</v>
      </c>
      <c r="B909" s="3" t="s">
        <v>3198</v>
      </c>
      <c r="C909" s="3" t="n">
        <v>2139</v>
      </c>
      <c r="D909" s="3" t="s">
        <v>108</v>
      </c>
      <c r="E909" s="3" t="s">
        <v>1123</v>
      </c>
      <c r="F909" s="3" t="n">
        <v>3</v>
      </c>
      <c r="G909" s="3" t="s">
        <v>51</v>
      </c>
      <c r="H909" s="3" t="s">
        <v>36</v>
      </c>
      <c r="I909" s="3" t="s">
        <v>3323</v>
      </c>
      <c r="J909" s="3" t="s">
        <v>192</v>
      </c>
      <c r="K909" s="3" t="n">
        <v>2000</v>
      </c>
      <c r="L909" s="3" t="n">
        <v>1200</v>
      </c>
      <c r="M909" s="3" t="n">
        <v>3600</v>
      </c>
      <c r="N909" s="3" t="s">
        <v>3324</v>
      </c>
    </row>
    <row r="910" customFormat="false" ht="15" hidden="false" customHeight="false" outlineLevel="0" collapsed="false">
      <c r="A910" s="2" t="s">
        <v>1243</v>
      </c>
      <c r="B910" s="2" t="s">
        <v>1835</v>
      </c>
      <c r="C910" s="2" t="n">
        <v>2140</v>
      </c>
      <c r="D910" s="2" t="s">
        <v>49</v>
      </c>
      <c r="E910" s="2" t="s">
        <v>2161</v>
      </c>
      <c r="F910" s="2" t="n">
        <v>3</v>
      </c>
      <c r="G910" s="2" t="s">
        <v>18</v>
      </c>
      <c r="H910" s="2" t="s">
        <v>28</v>
      </c>
      <c r="I910" s="2" t="s">
        <v>3325</v>
      </c>
      <c r="J910" s="2" t="s">
        <v>30</v>
      </c>
      <c r="K910" s="2" t="n">
        <v>2600</v>
      </c>
      <c r="L910" s="2" t="n">
        <v>250</v>
      </c>
      <c r="M910" s="2" t="n">
        <v>750</v>
      </c>
      <c r="N910" s="2" t="s">
        <v>3326</v>
      </c>
    </row>
    <row r="911" customFormat="false" ht="15" hidden="false" customHeight="false" outlineLevel="0" collapsed="false">
      <c r="A911" s="3" t="s">
        <v>3327</v>
      </c>
      <c r="B911" s="3" t="s">
        <v>1936</v>
      </c>
      <c r="C911" s="3" t="n">
        <v>2141</v>
      </c>
      <c r="D911" s="3" t="s">
        <v>25</v>
      </c>
      <c r="E911" s="3" t="s">
        <v>336</v>
      </c>
      <c r="F911" s="3" t="n">
        <v>3</v>
      </c>
      <c r="G911" s="3" t="s">
        <v>51</v>
      </c>
      <c r="H911" s="3" t="s">
        <v>121</v>
      </c>
      <c r="I911" s="3" t="s">
        <v>3328</v>
      </c>
      <c r="J911" s="3" t="s">
        <v>123</v>
      </c>
      <c r="K911" s="3" t="n">
        <v>800</v>
      </c>
      <c r="L911" s="3" t="n">
        <v>800</v>
      </c>
      <c r="M911" s="3" t="n">
        <v>2400</v>
      </c>
      <c r="N911" s="3" t="s">
        <v>3329</v>
      </c>
    </row>
    <row r="912" customFormat="false" ht="15" hidden="false" customHeight="false" outlineLevel="0" collapsed="false">
      <c r="A912" s="2" t="s">
        <v>3330</v>
      </c>
      <c r="B912" s="2" t="s">
        <v>1277</v>
      </c>
      <c r="C912" s="2" t="n">
        <v>2142</v>
      </c>
      <c r="D912" s="2" t="s">
        <v>49</v>
      </c>
      <c r="E912" s="2" t="s">
        <v>315</v>
      </c>
      <c r="F912" s="2" t="n">
        <v>3</v>
      </c>
      <c r="G912" s="2" t="s">
        <v>18</v>
      </c>
      <c r="H912" s="2" t="s">
        <v>59</v>
      </c>
      <c r="I912" s="2" t="s">
        <v>3331</v>
      </c>
      <c r="J912" s="2" t="s">
        <v>292</v>
      </c>
      <c r="K912" s="2" t="n">
        <v>5600</v>
      </c>
      <c r="L912" s="2" t="n">
        <v>250</v>
      </c>
      <c r="M912" s="2" t="n">
        <v>750</v>
      </c>
      <c r="N912" s="2" t="s">
        <v>3332</v>
      </c>
    </row>
    <row r="913" customFormat="false" ht="15" hidden="false" customHeight="false" outlineLevel="0" collapsed="false">
      <c r="A913" s="3" t="s">
        <v>983</v>
      </c>
      <c r="B913" s="3" t="s">
        <v>765</v>
      </c>
      <c r="C913" s="3" t="n">
        <v>2143</v>
      </c>
      <c r="D913" s="3" t="s">
        <v>34</v>
      </c>
      <c r="E913" s="3" t="s">
        <v>3333</v>
      </c>
      <c r="F913" s="3" t="n">
        <v>3</v>
      </c>
      <c r="G913" s="3" t="s">
        <v>18</v>
      </c>
      <c r="H913" s="3" t="s">
        <v>52</v>
      </c>
      <c r="I913" s="3" t="s">
        <v>3334</v>
      </c>
      <c r="J913" s="3" t="s">
        <v>54</v>
      </c>
      <c r="K913" s="3" t="n">
        <v>4217</v>
      </c>
      <c r="L913" s="3" t="n">
        <v>300</v>
      </c>
      <c r="M913" s="3" t="n">
        <v>900</v>
      </c>
      <c r="N913" s="3" t="s">
        <v>3335</v>
      </c>
    </row>
    <row r="914" customFormat="false" ht="15" hidden="false" customHeight="false" outlineLevel="0" collapsed="false">
      <c r="A914" s="2" t="s">
        <v>188</v>
      </c>
      <c r="B914" s="2" t="s">
        <v>900</v>
      </c>
      <c r="C914" s="2" t="n">
        <v>2144</v>
      </c>
      <c r="D914" s="2" t="s">
        <v>147</v>
      </c>
      <c r="E914" s="2" t="s">
        <v>206</v>
      </c>
      <c r="F914" s="2" t="n">
        <v>1</v>
      </c>
      <c r="G914" s="2" t="s">
        <v>51</v>
      </c>
      <c r="H914" s="2" t="s">
        <v>19</v>
      </c>
      <c r="I914" s="2" t="s">
        <v>3336</v>
      </c>
      <c r="J914" s="2" t="s">
        <v>73</v>
      </c>
      <c r="K914" s="2" t="n">
        <v>6160</v>
      </c>
      <c r="L914" s="2" t="n">
        <v>600</v>
      </c>
      <c r="M914" s="2" t="n">
        <v>600</v>
      </c>
      <c r="N914" s="2" t="s">
        <v>3337</v>
      </c>
    </row>
    <row r="915" customFormat="false" ht="15" hidden="false" customHeight="false" outlineLevel="0" collapsed="false">
      <c r="A915" s="3" t="s">
        <v>2815</v>
      </c>
      <c r="B915" s="3" t="s">
        <v>1554</v>
      </c>
      <c r="C915" s="3" t="n">
        <v>2145</v>
      </c>
      <c r="D915" s="3" t="s">
        <v>108</v>
      </c>
      <c r="E915" s="3" t="s">
        <v>1453</v>
      </c>
      <c r="F915" s="3" t="n">
        <v>3</v>
      </c>
      <c r="G915" s="3" t="s">
        <v>51</v>
      </c>
      <c r="H915" s="3" t="s">
        <v>121</v>
      </c>
      <c r="I915" s="3" t="s">
        <v>3338</v>
      </c>
      <c r="J915" s="3" t="s">
        <v>123</v>
      </c>
      <c r="K915" s="3" t="n">
        <v>800</v>
      </c>
      <c r="L915" s="3" t="n">
        <v>1200</v>
      </c>
      <c r="M915" s="3" t="n">
        <v>3600</v>
      </c>
      <c r="N915" s="3" t="s">
        <v>3339</v>
      </c>
    </row>
    <row r="916" customFormat="false" ht="15" hidden="false" customHeight="false" outlineLevel="0" collapsed="false">
      <c r="A916" s="2" t="s">
        <v>3340</v>
      </c>
      <c r="B916" s="2" t="s">
        <v>3341</v>
      </c>
      <c r="C916" s="2" t="n">
        <v>2146</v>
      </c>
      <c r="D916" s="2" t="s">
        <v>25</v>
      </c>
      <c r="E916" s="2" t="s">
        <v>120</v>
      </c>
      <c r="F916" s="2" t="n">
        <v>3</v>
      </c>
      <c r="G916" s="2" t="s">
        <v>18</v>
      </c>
      <c r="H916" s="2" t="s">
        <v>52</v>
      </c>
      <c r="I916" s="2" t="s">
        <v>3342</v>
      </c>
      <c r="J916" s="2" t="s">
        <v>182</v>
      </c>
      <c r="K916" s="2" t="n">
        <v>4000</v>
      </c>
      <c r="L916" s="2" t="n">
        <v>800</v>
      </c>
      <c r="M916" s="2" t="n">
        <v>2400</v>
      </c>
      <c r="N916" s="2" t="s">
        <v>3343</v>
      </c>
    </row>
    <row r="917" customFormat="false" ht="15" hidden="false" customHeight="false" outlineLevel="0" collapsed="false">
      <c r="A917" s="3" t="s">
        <v>535</v>
      </c>
      <c r="B917" s="3" t="s">
        <v>3344</v>
      </c>
      <c r="C917" s="3" t="n">
        <v>2147</v>
      </c>
      <c r="D917" s="3" t="s">
        <v>16</v>
      </c>
      <c r="E917" s="3" t="s">
        <v>2423</v>
      </c>
      <c r="F917" s="3" t="n">
        <v>3</v>
      </c>
      <c r="G917" s="3" t="s">
        <v>51</v>
      </c>
      <c r="H917" s="3" t="s">
        <v>52</v>
      </c>
      <c r="I917" s="3" t="s">
        <v>3345</v>
      </c>
      <c r="J917" s="3" t="s">
        <v>92</v>
      </c>
      <c r="K917" s="3" t="n">
        <v>4870</v>
      </c>
      <c r="L917" s="3" t="n">
        <v>250</v>
      </c>
      <c r="M917" s="3" t="n">
        <v>750</v>
      </c>
      <c r="N917" s="3" t="s">
        <v>3346</v>
      </c>
    </row>
    <row r="918" customFormat="false" ht="15" hidden="false" customHeight="false" outlineLevel="0" collapsed="false">
      <c r="A918" s="2" t="s">
        <v>674</v>
      </c>
      <c r="B918" s="2" t="s">
        <v>656</v>
      </c>
      <c r="C918" s="2" t="n">
        <v>2148</v>
      </c>
      <c r="D918" s="2" t="s">
        <v>147</v>
      </c>
      <c r="E918" s="2" t="s">
        <v>624</v>
      </c>
      <c r="F918" s="2" t="n">
        <v>2</v>
      </c>
      <c r="G918" s="2" t="s">
        <v>51</v>
      </c>
      <c r="H918" s="2" t="s">
        <v>52</v>
      </c>
      <c r="I918" s="2" t="s">
        <v>3347</v>
      </c>
      <c r="J918" s="2" t="s">
        <v>182</v>
      </c>
      <c r="K918" s="2" t="n">
        <v>4000</v>
      </c>
      <c r="L918" s="2" t="n">
        <v>600</v>
      </c>
      <c r="M918" s="2" t="n">
        <v>1200</v>
      </c>
      <c r="N918" s="2" t="s">
        <v>3348</v>
      </c>
    </row>
    <row r="919" customFormat="false" ht="15" hidden="false" customHeight="false" outlineLevel="0" collapsed="false">
      <c r="A919" s="3" t="s">
        <v>3206</v>
      </c>
      <c r="B919" s="3" t="s">
        <v>3349</v>
      </c>
      <c r="C919" s="3" t="n">
        <v>2149</v>
      </c>
      <c r="D919" s="3" t="s">
        <v>49</v>
      </c>
      <c r="E919" s="3" t="s">
        <v>261</v>
      </c>
      <c r="F919" s="3" t="n">
        <v>2</v>
      </c>
      <c r="G919" s="3" t="s">
        <v>51</v>
      </c>
      <c r="H919" s="3" t="s">
        <v>36</v>
      </c>
      <c r="I919" s="3" t="s">
        <v>3350</v>
      </c>
      <c r="J919" s="3" t="s">
        <v>38</v>
      </c>
      <c r="K919" s="3" t="n">
        <v>2300</v>
      </c>
      <c r="L919" s="3" t="n">
        <v>250</v>
      </c>
      <c r="M919" s="3" t="n">
        <v>500</v>
      </c>
      <c r="N919" s="3" t="s">
        <v>3351</v>
      </c>
    </row>
    <row r="920" customFormat="false" ht="15" hidden="false" customHeight="false" outlineLevel="0" collapsed="false">
      <c r="A920" s="2" t="s">
        <v>3352</v>
      </c>
      <c r="B920" s="2" t="s">
        <v>1057</v>
      </c>
      <c r="C920" s="2" t="n">
        <v>2150</v>
      </c>
      <c r="D920" s="2" t="s">
        <v>25</v>
      </c>
      <c r="E920" s="2" t="s">
        <v>2579</v>
      </c>
      <c r="F920" s="2" t="n">
        <v>3</v>
      </c>
      <c r="G920" s="2" t="s">
        <v>18</v>
      </c>
      <c r="H920" s="2" t="s">
        <v>121</v>
      </c>
      <c r="I920" s="2" t="s">
        <v>3353</v>
      </c>
      <c r="J920" s="2" t="s">
        <v>317</v>
      </c>
      <c r="K920" s="2" t="n">
        <v>870</v>
      </c>
      <c r="L920" s="2" t="n">
        <v>800</v>
      </c>
      <c r="M920" s="2" t="n">
        <v>2400</v>
      </c>
      <c r="N920" s="2" t="s">
        <v>3354</v>
      </c>
    </row>
    <row r="921" customFormat="false" ht="15" hidden="false" customHeight="false" outlineLevel="0" collapsed="false">
      <c r="A921" s="3" t="s">
        <v>3355</v>
      </c>
      <c r="B921" s="3" t="s">
        <v>3356</v>
      </c>
      <c r="C921" s="3" t="n">
        <v>2151</v>
      </c>
      <c r="D921" s="3" t="s">
        <v>34</v>
      </c>
      <c r="E921" s="3" t="s">
        <v>536</v>
      </c>
      <c r="F921" s="3" t="n">
        <v>3</v>
      </c>
      <c r="G921" s="3" t="s">
        <v>18</v>
      </c>
      <c r="H921" s="3" t="s">
        <v>36</v>
      </c>
      <c r="I921" s="3" t="s">
        <v>3357</v>
      </c>
      <c r="J921" s="3" t="s">
        <v>170</v>
      </c>
      <c r="K921" s="3" t="n">
        <v>2500</v>
      </c>
      <c r="L921" s="3" t="n">
        <v>300</v>
      </c>
      <c r="M921" s="3" t="n">
        <v>900</v>
      </c>
      <c r="N921" s="3" t="s">
        <v>3358</v>
      </c>
    </row>
    <row r="922" customFormat="false" ht="15" hidden="false" customHeight="false" outlineLevel="0" collapsed="false">
      <c r="A922" s="2" t="s">
        <v>3359</v>
      </c>
      <c r="B922" s="2" t="s">
        <v>3360</v>
      </c>
      <c r="C922" s="2" t="n">
        <v>2152</v>
      </c>
      <c r="D922" s="2" t="s">
        <v>108</v>
      </c>
      <c r="E922" s="2" t="s">
        <v>71</v>
      </c>
      <c r="F922" s="2" t="n">
        <v>2</v>
      </c>
      <c r="G922" s="2" t="s">
        <v>18</v>
      </c>
      <c r="H922" s="2" t="s">
        <v>19</v>
      </c>
      <c r="I922" s="2" t="s">
        <v>3361</v>
      </c>
      <c r="J922" s="2" t="s">
        <v>73</v>
      </c>
      <c r="K922" s="2" t="n">
        <v>6160</v>
      </c>
      <c r="L922" s="2" t="n">
        <v>1200</v>
      </c>
      <c r="M922" s="2" t="n">
        <v>2400</v>
      </c>
      <c r="N922" s="2" t="s">
        <v>3362</v>
      </c>
    </row>
    <row r="923" customFormat="false" ht="15" hidden="false" customHeight="false" outlineLevel="0" collapsed="false">
      <c r="A923" s="3" t="s">
        <v>3363</v>
      </c>
      <c r="B923" s="3" t="s">
        <v>2781</v>
      </c>
      <c r="C923" s="3" t="n">
        <v>2153</v>
      </c>
      <c r="D923" s="3" t="s">
        <v>25</v>
      </c>
      <c r="E923" s="3" t="s">
        <v>26</v>
      </c>
      <c r="F923" s="3" t="n">
        <v>1</v>
      </c>
      <c r="G923" s="3" t="s">
        <v>27</v>
      </c>
      <c r="H923" s="3" t="s">
        <v>36</v>
      </c>
      <c r="I923" s="3" t="s">
        <v>3364</v>
      </c>
      <c r="J923" s="3" t="s">
        <v>38</v>
      </c>
      <c r="K923" s="3" t="n">
        <v>2300</v>
      </c>
      <c r="L923" s="3" t="n">
        <v>800</v>
      </c>
      <c r="M923" s="3" t="n">
        <v>800</v>
      </c>
      <c r="N923" s="3" t="s">
        <v>3365</v>
      </c>
    </row>
    <row r="924" customFormat="false" ht="15" hidden="false" customHeight="false" outlineLevel="0" collapsed="false">
      <c r="A924" s="2" t="s">
        <v>2153</v>
      </c>
      <c r="B924" s="2" t="s">
        <v>1151</v>
      </c>
      <c r="C924" s="2" t="n">
        <v>2154</v>
      </c>
      <c r="D924" s="2" t="s">
        <v>34</v>
      </c>
      <c r="E924" s="2" t="s">
        <v>1663</v>
      </c>
      <c r="F924" s="2" t="n">
        <v>2</v>
      </c>
      <c r="G924" s="2" t="s">
        <v>97</v>
      </c>
      <c r="H924" s="2" t="s">
        <v>43</v>
      </c>
      <c r="I924" s="2" t="s">
        <v>3366</v>
      </c>
      <c r="J924" s="2" t="s">
        <v>111</v>
      </c>
      <c r="K924" s="2" t="n">
        <v>3000</v>
      </c>
      <c r="L924" s="2" t="n">
        <v>300</v>
      </c>
      <c r="M924" s="2" t="n">
        <v>600</v>
      </c>
      <c r="N924" s="2" t="s">
        <v>3367</v>
      </c>
    </row>
    <row r="925" customFormat="false" ht="15" hidden="false" customHeight="false" outlineLevel="0" collapsed="false">
      <c r="A925" s="3" t="s">
        <v>472</v>
      </c>
      <c r="B925" s="3" t="s">
        <v>3045</v>
      </c>
      <c r="C925" s="3" t="n">
        <v>2155</v>
      </c>
      <c r="D925" s="3" t="s">
        <v>147</v>
      </c>
      <c r="E925" s="3" t="s">
        <v>168</v>
      </c>
      <c r="F925" s="3" t="n">
        <v>2</v>
      </c>
      <c r="G925" s="3" t="s">
        <v>18</v>
      </c>
      <c r="H925" s="3" t="s">
        <v>78</v>
      </c>
      <c r="I925" s="3" t="s">
        <v>3368</v>
      </c>
      <c r="J925" s="3" t="s">
        <v>408</v>
      </c>
      <c r="K925" s="3" t="n">
        <v>7310</v>
      </c>
      <c r="L925" s="3" t="n">
        <v>600</v>
      </c>
      <c r="M925" s="3" t="n">
        <v>1200</v>
      </c>
      <c r="N925" s="3" t="s">
        <v>3369</v>
      </c>
    </row>
    <row r="926" customFormat="false" ht="15" hidden="false" customHeight="false" outlineLevel="0" collapsed="false">
      <c r="A926" s="2" t="s">
        <v>3005</v>
      </c>
      <c r="B926" s="2" t="s">
        <v>2624</v>
      </c>
      <c r="C926" s="2" t="n">
        <v>2156</v>
      </c>
      <c r="D926" s="2" t="s">
        <v>147</v>
      </c>
      <c r="E926" s="2" t="s">
        <v>581</v>
      </c>
      <c r="F926" s="2" t="n">
        <v>1</v>
      </c>
      <c r="G926" s="2" t="s">
        <v>51</v>
      </c>
      <c r="H926" s="2" t="s">
        <v>121</v>
      </c>
      <c r="I926" s="2" t="s">
        <v>3370</v>
      </c>
      <c r="J926" s="2" t="s">
        <v>317</v>
      </c>
      <c r="K926" s="2" t="n">
        <v>870</v>
      </c>
      <c r="L926" s="2" t="n">
        <v>600</v>
      </c>
      <c r="M926" s="2" t="n">
        <v>600</v>
      </c>
      <c r="N926" s="2" t="s">
        <v>3371</v>
      </c>
    </row>
    <row r="927" customFormat="false" ht="15" hidden="false" customHeight="false" outlineLevel="0" collapsed="false">
      <c r="A927" s="3" t="s">
        <v>3372</v>
      </c>
      <c r="B927" s="3" t="s">
        <v>739</v>
      </c>
      <c r="C927" s="3" t="n">
        <v>2157</v>
      </c>
      <c r="D927" s="3" t="s">
        <v>108</v>
      </c>
      <c r="E927" s="3" t="s">
        <v>464</v>
      </c>
      <c r="F927" s="3" t="n">
        <v>1</v>
      </c>
      <c r="G927" s="3" t="s">
        <v>18</v>
      </c>
      <c r="H927" s="3" t="s">
        <v>52</v>
      </c>
      <c r="I927" s="3" t="s">
        <v>3373</v>
      </c>
      <c r="J927" s="3" t="s">
        <v>92</v>
      </c>
      <c r="K927" s="3" t="n">
        <v>4870</v>
      </c>
      <c r="L927" s="3" t="n">
        <v>1200</v>
      </c>
      <c r="M927" s="3" t="n">
        <v>1200</v>
      </c>
      <c r="N927" s="3" t="s">
        <v>3374</v>
      </c>
    </row>
    <row r="928" customFormat="false" ht="15" hidden="false" customHeight="false" outlineLevel="0" collapsed="false">
      <c r="A928" s="2" t="s">
        <v>439</v>
      </c>
      <c r="B928" s="2" t="s">
        <v>3375</v>
      </c>
      <c r="C928" s="2" t="n">
        <v>2158</v>
      </c>
      <c r="D928" s="2" t="s">
        <v>108</v>
      </c>
      <c r="E928" s="2" t="s">
        <v>798</v>
      </c>
      <c r="F928" s="2" t="n">
        <v>3</v>
      </c>
      <c r="G928" s="2" t="s">
        <v>27</v>
      </c>
      <c r="H928" s="2" t="s">
        <v>121</v>
      </c>
      <c r="I928" s="2" t="s">
        <v>3376</v>
      </c>
      <c r="J928" s="2" t="s">
        <v>317</v>
      </c>
      <c r="K928" s="2" t="n">
        <v>870</v>
      </c>
      <c r="L928" s="2" t="n">
        <v>1200</v>
      </c>
      <c r="M928" s="2" t="n">
        <v>3600</v>
      </c>
      <c r="N928" s="2" t="s">
        <v>3377</v>
      </c>
    </row>
    <row r="929" customFormat="false" ht="15" hidden="false" customHeight="false" outlineLevel="0" collapsed="false">
      <c r="A929" s="3" t="s">
        <v>1939</v>
      </c>
      <c r="B929" s="3" t="s">
        <v>189</v>
      </c>
      <c r="C929" s="3" t="n">
        <v>2159</v>
      </c>
      <c r="D929" s="3" t="s">
        <v>25</v>
      </c>
      <c r="E929" s="3" t="s">
        <v>190</v>
      </c>
      <c r="F929" s="3" t="n">
        <v>1</v>
      </c>
      <c r="G929" s="3" t="s">
        <v>18</v>
      </c>
      <c r="H929" s="3" t="s">
        <v>52</v>
      </c>
      <c r="I929" s="3" t="s">
        <v>3378</v>
      </c>
      <c r="J929" s="3" t="s">
        <v>92</v>
      </c>
      <c r="K929" s="3" t="n">
        <v>4870</v>
      </c>
      <c r="L929" s="3" t="n">
        <v>800</v>
      </c>
      <c r="M929" s="3" t="n">
        <v>800</v>
      </c>
      <c r="N929" s="3" t="s">
        <v>3379</v>
      </c>
    </row>
    <row r="930" customFormat="false" ht="15" hidden="false" customHeight="false" outlineLevel="0" collapsed="false">
      <c r="A930" s="2" t="s">
        <v>2893</v>
      </c>
      <c r="B930" s="2" t="s">
        <v>3380</v>
      </c>
      <c r="C930" s="2" t="n">
        <v>2160</v>
      </c>
      <c r="D930" s="2" t="s">
        <v>108</v>
      </c>
      <c r="E930" s="2" t="s">
        <v>1171</v>
      </c>
      <c r="F930" s="2" t="n">
        <v>3</v>
      </c>
      <c r="G930" s="2" t="s">
        <v>18</v>
      </c>
      <c r="H930" s="2" t="s">
        <v>19</v>
      </c>
      <c r="I930" s="2" t="s">
        <v>3381</v>
      </c>
      <c r="J930" s="2" t="s">
        <v>73</v>
      </c>
      <c r="K930" s="2" t="n">
        <v>6160</v>
      </c>
      <c r="L930" s="2" t="n">
        <v>1200</v>
      </c>
      <c r="M930" s="2" t="n">
        <v>3600</v>
      </c>
      <c r="N930" s="2" t="s">
        <v>3382</v>
      </c>
    </row>
    <row r="931" customFormat="false" ht="15" hidden="false" customHeight="false" outlineLevel="0" collapsed="false">
      <c r="A931" s="3" t="s">
        <v>510</v>
      </c>
      <c r="B931" s="3" t="s">
        <v>1202</v>
      </c>
      <c r="C931" s="3" t="n">
        <v>2161</v>
      </c>
      <c r="D931" s="3" t="s">
        <v>108</v>
      </c>
      <c r="E931" s="3" t="s">
        <v>2202</v>
      </c>
      <c r="F931" s="3" t="n">
        <v>2</v>
      </c>
      <c r="G931" s="3" t="s">
        <v>18</v>
      </c>
      <c r="H931" s="3" t="s">
        <v>36</v>
      </c>
      <c r="I931" s="3" t="s">
        <v>3383</v>
      </c>
      <c r="J931" s="3" t="s">
        <v>38</v>
      </c>
      <c r="K931" s="3" t="n">
        <v>2300</v>
      </c>
      <c r="L931" s="3" t="n">
        <v>1200</v>
      </c>
      <c r="M931" s="3" t="n">
        <v>2400</v>
      </c>
      <c r="N931" s="3" t="s">
        <v>3384</v>
      </c>
    </row>
    <row r="932" customFormat="false" ht="15" hidden="false" customHeight="false" outlineLevel="0" collapsed="false">
      <c r="A932" s="2" t="s">
        <v>3385</v>
      </c>
      <c r="B932" s="2" t="s">
        <v>1952</v>
      </c>
      <c r="C932" s="2" t="n">
        <v>2162</v>
      </c>
      <c r="D932" s="2" t="s">
        <v>49</v>
      </c>
      <c r="E932" s="2" t="s">
        <v>2097</v>
      </c>
      <c r="F932" s="2" t="n">
        <v>1</v>
      </c>
      <c r="G932" s="2" t="s">
        <v>51</v>
      </c>
      <c r="H932" s="2" t="s">
        <v>52</v>
      </c>
      <c r="I932" s="2" t="s">
        <v>3386</v>
      </c>
      <c r="J932" s="2" t="s">
        <v>92</v>
      </c>
      <c r="K932" s="2" t="n">
        <v>4870</v>
      </c>
      <c r="L932" s="2" t="n">
        <v>250</v>
      </c>
      <c r="M932" s="2" t="n">
        <v>250</v>
      </c>
      <c r="N932" s="2" t="s">
        <v>3387</v>
      </c>
    </row>
    <row r="933" customFormat="false" ht="15" hidden="false" customHeight="false" outlineLevel="0" collapsed="false">
      <c r="A933" s="3" t="s">
        <v>2314</v>
      </c>
      <c r="B933" s="3" t="s">
        <v>1659</v>
      </c>
      <c r="C933" s="3" t="n">
        <v>2163</v>
      </c>
      <c r="D933" s="3" t="s">
        <v>25</v>
      </c>
      <c r="E933" s="3" t="s">
        <v>231</v>
      </c>
      <c r="F933" s="3" t="n">
        <v>3</v>
      </c>
      <c r="G933" s="3" t="s">
        <v>51</v>
      </c>
      <c r="H933" s="3" t="s">
        <v>28</v>
      </c>
      <c r="I933" s="3" t="s">
        <v>3388</v>
      </c>
      <c r="J933" s="3" t="s">
        <v>30</v>
      </c>
      <c r="K933" s="3" t="n">
        <v>2600</v>
      </c>
      <c r="L933" s="3" t="n">
        <v>800</v>
      </c>
      <c r="M933" s="3" t="n">
        <v>2400</v>
      </c>
      <c r="N933" s="3" t="s">
        <v>3389</v>
      </c>
    </row>
    <row r="934" customFormat="false" ht="15" hidden="false" customHeight="false" outlineLevel="0" collapsed="false">
      <c r="A934" s="2" t="s">
        <v>3390</v>
      </c>
      <c r="B934" s="2" t="s">
        <v>1506</v>
      </c>
      <c r="C934" s="2" t="n">
        <v>2164</v>
      </c>
      <c r="D934" s="2" t="s">
        <v>108</v>
      </c>
      <c r="E934" s="2" t="s">
        <v>2417</v>
      </c>
      <c r="F934" s="2" t="n">
        <v>2</v>
      </c>
      <c r="G934" s="2" t="s">
        <v>27</v>
      </c>
      <c r="H934" s="2" t="s">
        <v>19</v>
      </c>
      <c r="I934" s="2" t="s">
        <v>3391</v>
      </c>
      <c r="J934" s="2" t="s">
        <v>73</v>
      </c>
      <c r="K934" s="2" t="n">
        <v>6160</v>
      </c>
      <c r="L934" s="2" t="n">
        <v>1200</v>
      </c>
      <c r="M934" s="2" t="n">
        <v>2400</v>
      </c>
      <c r="N934" s="2" t="s">
        <v>3392</v>
      </c>
    </row>
    <row r="935" customFormat="false" ht="15" hidden="false" customHeight="false" outlineLevel="0" collapsed="false">
      <c r="A935" s="3" t="s">
        <v>3393</v>
      </c>
      <c r="B935" s="3" t="s">
        <v>881</v>
      </c>
      <c r="C935" s="3" t="n">
        <v>2165</v>
      </c>
      <c r="D935" s="3" t="s">
        <v>16</v>
      </c>
      <c r="E935" s="3" t="s">
        <v>483</v>
      </c>
      <c r="F935" s="3" t="n">
        <v>2</v>
      </c>
      <c r="G935" s="3" t="s">
        <v>97</v>
      </c>
      <c r="H935" s="3" t="s">
        <v>59</v>
      </c>
      <c r="I935" s="3" t="s">
        <v>3394</v>
      </c>
      <c r="J935" s="3" t="s">
        <v>99</v>
      </c>
      <c r="K935" s="3" t="n">
        <v>5000</v>
      </c>
      <c r="L935" s="3" t="n">
        <v>250</v>
      </c>
      <c r="M935" s="3" t="n">
        <v>500</v>
      </c>
      <c r="N935" s="3" t="s">
        <v>3395</v>
      </c>
    </row>
    <row r="936" customFormat="false" ht="15" hidden="false" customHeight="false" outlineLevel="0" collapsed="false">
      <c r="A936" s="2" t="s">
        <v>1955</v>
      </c>
      <c r="B936" s="2" t="s">
        <v>3396</v>
      </c>
      <c r="C936" s="2" t="n">
        <v>2166</v>
      </c>
      <c r="D936" s="2" t="s">
        <v>147</v>
      </c>
      <c r="E936" s="2" t="s">
        <v>607</v>
      </c>
      <c r="F936" s="2" t="n">
        <v>2</v>
      </c>
      <c r="G936" s="2" t="s">
        <v>51</v>
      </c>
      <c r="H936" s="2" t="s">
        <v>59</v>
      </c>
      <c r="I936" s="2" t="s">
        <v>3397</v>
      </c>
      <c r="J936" s="2" t="s">
        <v>61</v>
      </c>
      <c r="K936" s="2" t="n">
        <v>5290</v>
      </c>
      <c r="L936" s="2" t="n">
        <v>600</v>
      </c>
      <c r="M936" s="2" t="n">
        <v>1200</v>
      </c>
      <c r="N936" s="2" t="s">
        <v>3398</v>
      </c>
    </row>
    <row r="937" customFormat="false" ht="15" hidden="false" customHeight="false" outlineLevel="0" collapsed="false">
      <c r="A937" s="3" t="s">
        <v>329</v>
      </c>
      <c r="B937" s="3" t="s">
        <v>3399</v>
      </c>
      <c r="C937" s="3" t="n">
        <v>2167</v>
      </c>
      <c r="D937" s="3" t="s">
        <v>147</v>
      </c>
      <c r="E937" s="3" t="s">
        <v>2212</v>
      </c>
      <c r="F937" s="3" t="n">
        <v>3</v>
      </c>
      <c r="G937" s="3" t="s">
        <v>51</v>
      </c>
      <c r="H937" s="3" t="s">
        <v>121</v>
      </c>
      <c r="I937" s="3" t="s">
        <v>3400</v>
      </c>
      <c r="J937" s="3" t="s">
        <v>123</v>
      </c>
      <c r="K937" s="3" t="n">
        <v>800</v>
      </c>
      <c r="L937" s="3" t="n">
        <v>600</v>
      </c>
      <c r="M937" s="3" t="n">
        <v>1800</v>
      </c>
      <c r="N937" s="3" t="s">
        <v>3401</v>
      </c>
    </row>
    <row r="938" customFormat="false" ht="15" hidden="false" customHeight="false" outlineLevel="0" collapsed="false">
      <c r="A938" s="2" t="s">
        <v>1909</v>
      </c>
      <c r="B938" s="2" t="s">
        <v>3402</v>
      </c>
      <c r="C938" s="2" t="n">
        <v>2168</v>
      </c>
      <c r="D938" s="2" t="s">
        <v>34</v>
      </c>
      <c r="E938" s="2" t="s">
        <v>2161</v>
      </c>
      <c r="F938" s="2" t="n">
        <v>1</v>
      </c>
      <c r="G938" s="2" t="s">
        <v>97</v>
      </c>
      <c r="H938" s="2" t="s">
        <v>36</v>
      </c>
      <c r="I938" s="2" t="s">
        <v>3403</v>
      </c>
      <c r="J938" s="2" t="s">
        <v>38</v>
      </c>
      <c r="K938" s="2" t="n">
        <v>2300</v>
      </c>
      <c r="L938" s="2" t="n">
        <v>300</v>
      </c>
      <c r="M938" s="2" t="n">
        <v>300</v>
      </c>
      <c r="N938" s="2" t="s">
        <v>3404</v>
      </c>
    </row>
    <row r="939" customFormat="false" ht="15" hidden="false" customHeight="false" outlineLevel="0" collapsed="false">
      <c r="A939" s="3" t="s">
        <v>3405</v>
      </c>
      <c r="B939" s="3" t="s">
        <v>1461</v>
      </c>
      <c r="C939" s="3" t="n">
        <v>2169</v>
      </c>
      <c r="D939" s="3" t="s">
        <v>49</v>
      </c>
      <c r="E939" s="3" t="s">
        <v>435</v>
      </c>
      <c r="F939" s="3" t="n">
        <v>2</v>
      </c>
      <c r="G939" s="3" t="s">
        <v>18</v>
      </c>
      <c r="H939" s="3" t="s">
        <v>36</v>
      </c>
      <c r="I939" s="3" t="s">
        <v>3406</v>
      </c>
      <c r="J939" s="3" t="s">
        <v>38</v>
      </c>
      <c r="K939" s="3" t="n">
        <v>2300</v>
      </c>
      <c r="L939" s="3" t="n">
        <v>250</v>
      </c>
      <c r="M939" s="3" t="n">
        <v>500</v>
      </c>
      <c r="N939" s="3" t="s">
        <v>3407</v>
      </c>
    </row>
    <row r="940" customFormat="false" ht="15" hidden="false" customHeight="false" outlineLevel="0" collapsed="false">
      <c r="A940" s="2" t="s">
        <v>3380</v>
      </c>
      <c r="B940" s="2" t="s">
        <v>2064</v>
      </c>
      <c r="C940" s="2" t="n">
        <v>2170</v>
      </c>
      <c r="D940" s="2" t="s">
        <v>147</v>
      </c>
      <c r="E940" s="2" t="s">
        <v>1620</v>
      </c>
      <c r="F940" s="2" t="n">
        <v>2</v>
      </c>
      <c r="G940" s="2" t="s">
        <v>18</v>
      </c>
      <c r="H940" s="2" t="s">
        <v>28</v>
      </c>
      <c r="I940" s="2" t="s">
        <v>3408</v>
      </c>
      <c r="J940" s="2" t="s">
        <v>30</v>
      </c>
      <c r="K940" s="2" t="n">
        <v>2600</v>
      </c>
      <c r="L940" s="2" t="n">
        <v>600</v>
      </c>
      <c r="M940" s="2" t="n">
        <v>1200</v>
      </c>
      <c r="N940" s="2" t="s">
        <v>3409</v>
      </c>
    </row>
    <row r="941" customFormat="false" ht="15" hidden="false" customHeight="false" outlineLevel="0" collapsed="false">
      <c r="A941" s="3" t="s">
        <v>3410</v>
      </c>
      <c r="B941" s="3" t="s">
        <v>3411</v>
      </c>
      <c r="C941" s="3" t="n">
        <v>2171</v>
      </c>
      <c r="D941" s="3" t="s">
        <v>108</v>
      </c>
      <c r="E941" s="3" t="s">
        <v>2202</v>
      </c>
      <c r="F941" s="3" t="n">
        <v>1</v>
      </c>
      <c r="G941" s="3" t="s">
        <v>51</v>
      </c>
      <c r="H941" s="3" t="s">
        <v>19</v>
      </c>
      <c r="I941" s="3" t="s">
        <v>3412</v>
      </c>
      <c r="J941" s="3" t="s">
        <v>176</v>
      </c>
      <c r="K941" s="3" t="n">
        <v>6000</v>
      </c>
      <c r="L941" s="3" t="n">
        <v>1200</v>
      </c>
      <c r="M941" s="3" t="n">
        <v>1200</v>
      </c>
      <c r="N941" s="3" t="s">
        <v>3413</v>
      </c>
    </row>
    <row r="942" customFormat="false" ht="15" hidden="false" customHeight="false" outlineLevel="0" collapsed="false">
      <c r="A942" s="2" t="s">
        <v>2679</v>
      </c>
      <c r="B942" s="2" t="s">
        <v>525</v>
      </c>
      <c r="C942" s="2" t="n">
        <v>2172</v>
      </c>
      <c r="D942" s="2" t="s">
        <v>34</v>
      </c>
      <c r="E942" s="2" t="s">
        <v>581</v>
      </c>
      <c r="F942" s="2" t="n">
        <v>2</v>
      </c>
      <c r="G942" s="2" t="s">
        <v>51</v>
      </c>
      <c r="H942" s="2" t="s">
        <v>52</v>
      </c>
      <c r="I942" s="2" t="s">
        <v>3414</v>
      </c>
      <c r="J942" s="2" t="s">
        <v>92</v>
      </c>
      <c r="K942" s="2" t="n">
        <v>4870</v>
      </c>
      <c r="L942" s="2" t="n">
        <v>300</v>
      </c>
      <c r="M942" s="2" t="n">
        <v>600</v>
      </c>
      <c r="N942" s="2" t="s">
        <v>3415</v>
      </c>
    </row>
    <row r="943" customFormat="false" ht="15" hidden="false" customHeight="false" outlineLevel="0" collapsed="false">
      <c r="A943" s="3" t="s">
        <v>2979</v>
      </c>
      <c r="B943" s="3" t="s">
        <v>1558</v>
      </c>
      <c r="C943" s="3" t="n">
        <v>2173</v>
      </c>
      <c r="D943" s="3" t="s">
        <v>49</v>
      </c>
      <c r="E943" s="3" t="s">
        <v>396</v>
      </c>
      <c r="F943" s="3" t="n">
        <v>3</v>
      </c>
      <c r="G943" s="3" t="s">
        <v>18</v>
      </c>
      <c r="H943" s="3" t="s">
        <v>43</v>
      </c>
      <c r="I943" s="3" t="s">
        <v>3416</v>
      </c>
      <c r="J943" s="3" t="s">
        <v>111</v>
      </c>
      <c r="K943" s="3" t="n">
        <v>3000</v>
      </c>
      <c r="L943" s="3" t="n">
        <v>250</v>
      </c>
      <c r="M943" s="3" t="n">
        <v>750</v>
      </c>
      <c r="N943" s="3" t="s">
        <v>3417</v>
      </c>
    </row>
    <row r="944" customFormat="false" ht="15" hidden="false" customHeight="false" outlineLevel="0" collapsed="false">
      <c r="A944" s="2" t="s">
        <v>1851</v>
      </c>
      <c r="B944" s="2" t="s">
        <v>2488</v>
      </c>
      <c r="C944" s="2" t="n">
        <v>2174</v>
      </c>
      <c r="D944" s="2" t="s">
        <v>147</v>
      </c>
      <c r="E944" s="2" t="s">
        <v>3418</v>
      </c>
      <c r="F944" s="2" t="n">
        <v>2</v>
      </c>
      <c r="G944" s="2" t="s">
        <v>97</v>
      </c>
      <c r="H944" s="2" t="s">
        <v>52</v>
      </c>
      <c r="I944" s="2" t="s">
        <v>3419</v>
      </c>
      <c r="J944" s="2" t="s">
        <v>92</v>
      </c>
      <c r="K944" s="2" t="n">
        <v>4870</v>
      </c>
      <c r="L944" s="2" t="n">
        <v>600</v>
      </c>
      <c r="M944" s="2" t="n">
        <v>1200</v>
      </c>
      <c r="N944" s="2" t="s">
        <v>3420</v>
      </c>
    </row>
    <row r="945" customFormat="false" ht="15" hidden="false" customHeight="false" outlineLevel="0" collapsed="false">
      <c r="A945" s="3" t="s">
        <v>14</v>
      </c>
      <c r="B945" s="3" t="s">
        <v>3421</v>
      </c>
      <c r="C945" s="3" t="n">
        <v>2175</v>
      </c>
      <c r="D945" s="3" t="s">
        <v>108</v>
      </c>
      <c r="E945" s="3" t="s">
        <v>1225</v>
      </c>
      <c r="F945" s="3" t="n">
        <v>1</v>
      </c>
      <c r="G945" s="3" t="s">
        <v>27</v>
      </c>
      <c r="H945" s="3" t="s">
        <v>36</v>
      </c>
      <c r="I945" s="3" t="s">
        <v>3422</v>
      </c>
      <c r="J945" s="3" t="s">
        <v>192</v>
      </c>
      <c r="K945" s="3" t="n">
        <v>2000</v>
      </c>
      <c r="L945" s="3" t="n">
        <v>1200</v>
      </c>
      <c r="M945" s="3" t="n">
        <v>1200</v>
      </c>
      <c r="N945" s="3" t="s">
        <v>3423</v>
      </c>
    </row>
    <row r="946" customFormat="false" ht="15" hidden="false" customHeight="false" outlineLevel="0" collapsed="false">
      <c r="A946" s="2" t="s">
        <v>519</v>
      </c>
      <c r="B946" s="2" t="s">
        <v>2899</v>
      </c>
      <c r="C946" s="2" t="n">
        <v>2176</v>
      </c>
      <c r="D946" s="2" t="s">
        <v>147</v>
      </c>
      <c r="E946" s="2" t="s">
        <v>251</v>
      </c>
      <c r="F946" s="2" t="n">
        <v>3</v>
      </c>
      <c r="G946" s="2" t="s">
        <v>18</v>
      </c>
      <c r="H946" s="2" t="s">
        <v>121</v>
      </c>
      <c r="I946" s="2" t="s">
        <v>3424</v>
      </c>
      <c r="J946" s="2" t="s">
        <v>123</v>
      </c>
      <c r="K946" s="2" t="n">
        <v>800</v>
      </c>
      <c r="L946" s="2" t="n">
        <v>600</v>
      </c>
      <c r="M946" s="2" t="n">
        <v>1800</v>
      </c>
      <c r="N946" s="2" t="s">
        <v>3425</v>
      </c>
    </row>
    <row r="947" customFormat="false" ht="15" hidden="false" customHeight="false" outlineLevel="0" collapsed="false">
      <c r="A947" s="3" t="s">
        <v>428</v>
      </c>
      <c r="B947" s="3" t="s">
        <v>2916</v>
      </c>
      <c r="C947" s="3" t="n">
        <v>2177</v>
      </c>
      <c r="D947" s="3" t="s">
        <v>34</v>
      </c>
      <c r="E947" s="3" t="s">
        <v>340</v>
      </c>
      <c r="F947" s="3" t="n">
        <v>1</v>
      </c>
      <c r="G947" s="3" t="s">
        <v>51</v>
      </c>
      <c r="H947" s="3" t="s">
        <v>59</v>
      </c>
      <c r="I947" s="3" t="s">
        <v>3426</v>
      </c>
      <c r="J947" s="3" t="s">
        <v>292</v>
      </c>
      <c r="K947" s="3" t="n">
        <v>5600</v>
      </c>
      <c r="L947" s="3" t="n">
        <v>300</v>
      </c>
      <c r="M947" s="3" t="n">
        <v>300</v>
      </c>
      <c r="N947" s="3" t="s">
        <v>3427</v>
      </c>
    </row>
    <row r="948" customFormat="false" ht="15" hidden="false" customHeight="false" outlineLevel="0" collapsed="false">
      <c r="A948" s="2" t="s">
        <v>3428</v>
      </c>
      <c r="B948" s="2" t="s">
        <v>597</v>
      </c>
      <c r="C948" s="2" t="n">
        <v>2178</v>
      </c>
      <c r="D948" s="2" t="s">
        <v>108</v>
      </c>
      <c r="E948" s="2" t="s">
        <v>3429</v>
      </c>
      <c r="F948" s="2" t="n">
        <v>2</v>
      </c>
      <c r="G948" s="2" t="s">
        <v>18</v>
      </c>
      <c r="H948" s="2" t="s">
        <v>52</v>
      </c>
      <c r="I948" s="2" t="s">
        <v>3430</v>
      </c>
      <c r="J948" s="2" t="s">
        <v>92</v>
      </c>
      <c r="K948" s="2" t="n">
        <v>4870</v>
      </c>
      <c r="L948" s="2" t="n">
        <v>1200</v>
      </c>
      <c r="M948" s="2" t="n">
        <v>2400</v>
      </c>
      <c r="N948" s="2" t="s">
        <v>3431</v>
      </c>
    </row>
    <row r="949" customFormat="false" ht="15" hidden="false" customHeight="false" outlineLevel="0" collapsed="false">
      <c r="A949" s="3" t="s">
        <v>106</v>
      </c>
      <c r="B949" s="3" t="s">
        <v>3432</v>
      </c>
      <c r="C949" s="3" t="n">
        <v>2179</v>
      </c>
      <c r="D949" s="3" t="s">
        <v>108</v>
      </c>
      <c r="E949" s="3" t="s">
        <v>3433</v>
      </c>
      <c r="F949" s="3" t="n">
        <v>2</v>
      </c>
      <c r="G949" s="3" t="s">
        <v>51</v>
      </c>
      <c r="H949" s="3" t="s">
        <v>59</v>
      </c>
      <c r="I949" s="3" t="s">
        <v>3434</v>
      </c>
      <c r="J949" s="3" t="s">
        <v>292</v>
      </c>
      <c r="K949" s="3" t="n">
        <v>5600</v>
      </c>
      <c r="L949" s="3" t="n">
        <v>1200</v>
      </c>
      <c r="M949" s="3" t="n">
        <v>2400</v>
      </c>
      <c r="N949" s="3" t="s">
        <v>3435</v>
      </c>
    </row>
    <row r="950" customFormat="false" ht="15" hidden="false" customHeight="false" outlineLevel="0" collapsed="false">
      <c r="A950" s="2" t="s">
        <v>82</v>
      </c>
      <c r="B950" s="2" t="s">
        <v>2130</v>
      </c>
      <c r="C950" s="2" t="n">
        <v>2180</v>
      </c>
      <c r="D950" s="2" t="s">
        <v>147</v>
      </c>
      <c r="E950" s="2" t="s">
        <v>1796</v>
      </c>
      <c r="F950" s="2" t="n">
        <v>1</v>
      </c>
      <c r="G950" s="2" t="s">
        <v>18</v>
      </c>
      <c r="H950" s="2" t="s">
        <v>52</v>
      </c>
      <c r="I950" s="2" t="s">
        <v>3436</v>
      </c>
      <c r="J950" s="2" t="s">
        <v>92</v>
      </c>
      <c r="K950" s="2" t="n">
        <v>4870</v>
      </c>
      <c r="L950" s="2" t="n">
        <v>600</v>
      </c>
      <c r="M950" s="2" t="n">
        <v>600</v>
      </c>
      <c r="N950" s="2" t="s">
        <v>3437</v>
      </c>
    </row>
    <row r="951" customFormat="false" ht="15" hidden="false" customHeight="false" outlineLevel="0" collapsed="false">
      <c r="A951" s="3" t="s">
        <v>3438</v>
      </c>
      <c r="B951" s="3" t="s">
        <v>3439</v>
      </c>
      <c r="C951" s="3" t="n">
        <v>2181</v>
      </c>
      <c r="D951" s="3" t="s">
        <v>108</v>
      </c>
      <c r="E951" s="3" t="s">
        <v>3440</v>
      </c>
      <c r="F951" s="3" t="n">
        <v>1</v>
      </c>
      <c r="G951" s="3" t="s">
        <v>27</v>
      </c>
      <c r="H951" s="3" t="s">
        <v>36</v>
      </c>
      <c r="I951" s="3" t="s">
        <v>3441</v>
      </c>
      <c r="J951" s="3" t="s">
        <v>38</v>
      </c>
      <c r="K951" s="3" t="n">
        <v>2300</v>
      </c>
      <c r="L951" s="3" t="n">
        <v>1200</v>
      </c>
      <c r="M951" s="3" t="n">
        <v>1200</v>
      </c>
      <c r="N951" s="3" t="s">
        <v>3442</v>
      </c>
    </row>
    <row r="952" customFormat="false" ht="15" hidden="false" customHeight="false" outlineLevel="0" collapsed="false">
      <c r="A952" s="2" t="s">
        <v>2359</v>
      </c>
      <c r="B952" s="2" t="s">
        <v>1936</v>
      </c>
      <c r="C952" s="2" t="n">
        <v>2182</v>
      </c>
      <c r="D952" s="2" t="s">
        <v>16</v>
      </c>
      <c r="E952" s="2" t="s">
        <v>3292</v>
      </c>
      <c r="F952" s="2" t="n">
        <v>2</v>
      </c>
      <c r="G952" s="2" t="s">
        <v>51</v>
      </c>
      <c r="H952" s="2" t="s">
        <v>36</v>
      </c>
      <c r="I952" s="2" t="s">
        <v>3443</v>
      </c>
      <c r="J952" s="2" t="s">
        <v>170</v>
      </c>
      <c r="K952" s="2" t="n">
        <v>2500</v>
      </c>
      <c r="L952" s="2" t="n">
        <v>250</v>
      </c>
      <c r="M952" s="2" t="n">
        <v>500</v>
      </c>
      <c r="N952" s="2" t="s">
        <v>3444</v>
      </c>
    </row>
    <row r="953" customFormat="false" ht="15" hidden="false" customHeight="false" outlineLevel="0" collapsed="false">
      <c r="A953" s="3" t="s">
        <v>3445</v>
      </c>
      <c r="B953" s="3" t="s">
        <v>3446</v>
      </c>
      <c r="C953" s="3" t="n">
        <v>2183</v>
      </c>
      <c r="D953" s="3" t="s">
        <v>16</v>
      </c>
      <c r="E953" s="3" t="s">
        <v>1737</v>
      </c>
      <c r="F953" s="3" t="n">
        <v>1</v>
      </c>
      <c r="G953" s="3" t="s">
        <v>97</v>
      </c>
      <c r="H953" s="3" t="s">
        <v>36</v>
      </c>
      <c r="I953" s="3" t="s">
        <v>3447</v>
      </c>
      <c r="J953" s="3" t="s">
        <v>38</v>
      </c>
      <c r="K953" s="3" t="n">
        <v>2300</v>
      </c>
      <c r="L953" s="3" t="n">
        <v>250</v>
      </c>
      <c r="M953" s="3" t="n">
        <v>250</v>
      </c>
      <c r="N953" s="3" t="s">
        <v>3448</v>
      </c>
    </row>
    <row r="954" customFormat="false" ht="15" hidden="false" customHeight="false" outlineLevel="0" collapsed="false">
      <c r="A954" s="2" t="s">
        <v>500</v>
      </c>
      <c r="B954" s="2" t="s">
        <v>270</v>
      </c>
      <c r="C954" s="2" t="n">
        <v>2184</v>
      </c>
      <c r="D954" s="2" t="s">
        <v>108</v>
      </c>
      <c r="E954" s="2" t="s">
        <v>2643</v>
      </c>
      <c r="F954" s="2" t="n">
        <v>1</v>
      </c>
      <c r="G954" s="2" t="s">
        <v>51</v>
      </c>
      <c r="H954" s="2" t="s">
        <v>52</v>
      </c>
      <c r="I954" s="2" t="s">
        <v>3449</v>
      </c>
      <c r="J954" s="2" t="s">
        <v>54</v>
      </c>
      <c r="K954" s="2" t="n">
        <v>4217</v>
      </c>
      <c r="L954" s="2" t="n">
        <v>1200</v>
      </c>
      <c r="M954" s="2" t="n">
        <v>1200</v>
      </c>
      <c r="N954" s="2" t="s">
        <v>3450</v>
      </c>
    </row>
    <row r="955" customFormat="false" ht="15" hidden="false" customHeight="false" outlineLevel="0" collapsed="false">
      <c r="A955" s="3" t="s">
        <v>2346</v>
      </c>
      <c r="B955" s="3" t="s">
        <v>3052</v>
      </c>
      <c r="C955" s="3" t="n">
        <v>2185</v>
      </c>
      <c r="D955" s="3" t="s">
        <v>49</v>
      </c>
      <c r="E955" s="3" t="s">
        <v>290</v>
      </c>
      <c r="F955" s="3" t="n">
        <v>3</v>
      </c>
      <c r="G955" s="3" t="s">
        <v>51</v>
      </c>
      <c r="H955" s="3" t="s">
        <v>59</v>
      </c>
      <c r="I955" s="3" t="s">
        <v>3451</v>
      </c>
      <c r="J955" s="3" t="s">
        <v>99</v>
      </c>
      <c r="K955" s="3" t="n">
        <v>5000</v>
      </c>
      <c r="L955" s="3" t="n">
        <v>250</v>
      </c>
      <c r="M955" s="3" t="n">
        <v>750</v>
      </c>
      <c r="N955" s="3" t="s">
        <v>3452</v>
      </c>
    </row>
    <row r="956" customFormat="false" ht="15" hidden="false" customHeight="false" outlineLevel="0" collapsed="false">
      <c r="A956" s="2" t="s">
        <v>3453</v>
      </c>
      <c r="B956" s="2" t="s">
        <v>2130</v>
      </c>
      <c r="C956" s="2" t="n">
        <v>2186</v>
      </c>
      <c r="D956" s="2" t="s">
        <v>108</v>
      </c>
      <c r="E956" s="2" t="s">
        <v>261</v>
      </c>
      <c r="F956" s="2" t="n">
        <v>2</v>
      </c>
      <c r="G956" s="2" t="s">
        <v>97</v>
      </c>
      <c r="H956" s="2" t="s">
        <v>78</v>
      </c>
      <c r="I956" s="2" t="s">
        <v>3454</v>
      </c>
      <c r="J956" s="2" t="s">
        <v>408</v>
      </c>
      <c r="K956" s="2" t="n">
        <v>7310</v>
      </c>
      <c r="L956" s="2" t="n">
        <v>1200</v>
      </c>
      <c r="M956" s="2" t="n">
        <v>2400</v>
      </c>
      <c r="N956" s="2" t="s">
        <v>3455</v>
      </c>
    </row>
    <row r="957" customFormat="false" ht="15" hidden="false" customHeight="false" outlineLevel="0" collapsed="false">
      <c r="A957" s="3" t="s">
        <v>2388</v>
      </c>
      <c r="B957" s="3" t="s">
        <v>1741</v>
      </c>
      <c r="C957" s="3" t="n">
        <v>2187</v>
      </c>
      <c r="D957" s="3" t="s">
        <v>108</v>
      </c>
      <c r="E957" s="3" t="s">
        <v>285</v>
      </c>
      <c r="F957" s="3" t="n">
        <v>1</v>
      </c>
      <c r="G957" s="3" t="s">
        <v>18</v>
      </c>
      <c r="H957" s="3" t="s">
        <v>78</v>
      </c>
      <c r="I957" s="3" t="s">
        <v>3456</v>
      </c>
      <c r="J957" s="3" t="s">
        <v>408</v>
      </c>
      <c r="K957" s="3" t="n">
        <v>7310</v>
      </c>
      <c r="L957" s="3" t="n">
        <v>1200</v>
      </c>
      <c r="M957" s="3" t="n">
        <v>1200</v>
      </c>
      <c r="N957" s="3" t="s">
        <v>3457</v>
      </c>
    </row>
    <row r="958" customFormat="false" ht="15" hidden="false" customHeight="false" outlineLevel="0" collapsed="false">
      <c r="A958" s="2" t="s">
        <v>2038</v>
      </c>
      <c r="B958" s="2" t="s">
        <v>724</v>
      </c>
      <c r="C958" s="2" t="n">
        <v>2188</v>
      </c>
      <c r="D958" s="2" t="s">
        <v>147</v>
      </c>
      <c r="E958" s="2" t="s">
        <v>1278</v>
      </c>
      <c r="F958" s="2" t="n">
        <v>3</v>
      </c>
      <c r="G958" s="2" t="s">
        <v>97</v>
      </c>
      <c r="H958" s="2" t="s">
        <v>43</v>
      </c>
      <c r="I958" s="2" t="s">
        <v>3458</v>
      </c>
      <c r="J958" s="2" t="s">
        <v>111</v>
      </c>
      <c r="K958" s="2" t="n">
        <v>3000</v>
      </c>
      <c r="L958" s="2" t="n">
        <v>600</v>
      </c>
      <c r="M958" s="2" t="n">
        <v>1800</v>
      </c>
      <c r="N958" s="2" t="s">
        <v>3459</v>
      </c>
    </row>
    <row r="959" customFormat="false" ht="15" hidden="false" customHeight="false" outlineLevel="0" collapsed="false">
      <c r="A959" s="3" t="s">
        <v>965</v>
      </c>
      <c r="B959" s="3" t="s">
        <v>3460</v>
      </c>
      <c r="C959" s="3" t="n">
        <v>2189</v>
      </c>
      <c r="D959" s="3" t="s">
        <v>108</v>
      </c>
      <c r="E959" s="3" t="s">
        <v>1722</v>
      </c>
      <c r="F959" s="3" t="n">
        <v>1</v>
      </c>
      <c r="G959" s="3" t="s">
        <v>51</v>
      </c>
      <c r="H959" s="3" t="s">
        <v>59</v>
      </c>
      <c r="I959" s="3" t="s">
        <v>3461</v>
      </c>
      <c r="J959" s="3" t="s">
        <v>99</v>
      </c>
      <c r="K959" s="3" t="n">
        <v>5000</v>
      </c>
      <c r="L959" s="3" t="n">
        <v>1200</v>
      </c>
      <c r="M959" s="3" t="n">
        <v>1200</v>
      </c>
      <c r="N959" s="3" t="s">
        <v>3462</v>
      </c>
    </row>
    <row r="960" customFormat="false" ht="15" hidden="false" customHeight="false" outlineLevel="0" collapsed="false">
      <c r="A960" s="2" t="s">
        <v>3463</v>
      </c>
      <c r="B960" s="2" t="s">
        <v>1839</v>
      </c>
      <c r="C960" s="2" t="n">
        <v>2190</v>
      </c>
      <c r="D960" s="2" t="s">
        <v>25</v>
      </c>
      <c r="E960" s="2" t="s">
        <v>897</v>
      </c>
      <c r="F960" s="2" t="n">
        <v>3</v>
      </c>
      <c r="G960" s="2" t="s">
        <v>18</v>
      </c>
      <c r="H960" s="2" t="s">
        <v>121</v>
      </c>
      <c r="I960" s="2" t="s">
        <v>3464</v>
      </c>
      <c r="J960" s="2" t="s">
        <v>317</v>
      </c>
      <c r="K960" s="2" t="n">
        <v>870</v>
      </c>
      <c r="L960" s="2" t="n">
        <v>800</v>
      </c>
      <c r="M960" s="2" t="n">
        <v>2400</v>
      </c>
      <c r="N960" s="2" t="s">
        <v>3465</v>
      </c>
    </row>
    <row r="961" customFormat="false" ht="15" hidden="false" customHeight="false" outlineLevel="0" collapsed="false">
      <c r="A961" s="3" t="s">
        <v>3466</v>
      </c>
      <c r="B961" s="3" t="s">
        <v>320</v>
      </c>
      <c r="C961" s="3" t="n">
        <v>2191</v>
      </c>
      <c r="D961" s="3" t="s">
        <v>16</v>
      </c>
      <c r="E961" s="3" t="s">
        <v>416</v>
      </c>
      <c r="F961" s="3" t="n">
        <v>1</v>
      </c>
      <c r="G961" s="3" t="s">
        <v>18</v>
      </c>
      <c r="H961" s="3" t="s">
        <v>36</v>
      </c>
      <c r="I961" s="3" t="s">
        <v>3467</v>
      </c>
      <c r="J961" s="3" t="s">
        <v>38</v>
      </c>
      <c r="K961" s="3" t="n">
        <v>2300</v>
      </c>
      <c r="L961" s="3" t="n">
        <v>250</v>
      </c>
      <c r="M961" s="3" t="n">
        <v>250</v>
      </c>
      <c r="N961" s="3" t="s">
        <v>3468</v>
      </c>
    </row>
    <row r="962" customFormat="false" ht="15" hidden="false" customHeight="false" outlineLevel="0" collapsed="false">
      <c r="A962" s="2" t="s">
        <v>539</v>
      </c>
      <c r="B962" s="2" t="s">
        <v>610</v>
      </c>
      <c r="C962" s="2" t="n">
        <v>2192</v>
      </c>
      <c r="D962" s="2" t="s">
        <v>147</v>
      </c>
      <c r="E962" s="2" t="s">
        <v>979</v>
      </c>
      <c r="F962" s="2" t="n">
        <v>2</v>
      </c>
      <c r="G962" s="2" t="s">
        <v>51</v>
      </c>
      <c r="H962" s="2" t="s">
        <v>52</v>
      </c>
      <c r="I962" s="2" t="s">
        <v>3469</v>
      </c>
      <c r="J962" s="2" t="s">
        <v>182</v>
      </c>
      <c r="K962" s="2" t="n">
        <v>4000</v>
      </c>
      <c r="L962" s="2" t="n">
        <v>600</v>
      </c>
      <c r="M962" s="2" t="n">
        <v>1200</v>
      </c>
      <c r="N962" s="2" t="s">
        <v>3470</v>
      </c>
    </row>
    <row r="963" customFormat="false" ht="15" hidden="false" customHeight="false" outlineLevel="0" collapsed="false">
      <c r="A963" s="3" t="s">
        <v>1935</v>
      </c>
      <c r="B963" s="3" t="s">
        <v>2751</v>
      </c>
      <c r="C963" s="3" t="n">
        <v>2193</v>
      </c>
      <c r="D963" s="3" t="s">
        <v>108</v>
      </c>
      <c r="E963" s="3" t="s">
        <v>261</v>
      </c>
      <c r="F963" s="3" t="n">
        <v>2</v>
      </c>
      <c r="G963" s="3" t="s">
        <v>51</v>
      </c>
      <c r="H963" s="3" t="s">
        <v>121</v>
      </c>
      <c r="I963" s="3" t="s">
        <v>3471</v>
      </c>
      <c r="J963" s="3" t="s">
        <v>317</v>
      </c>
      <c r="K963" s="3" t="n">
        <v>870</v>
      </c>
      <c r="L963" s="3" t="n">
        <v>1200</v>
      </c>
      <c r="M963" s="3" t="n">
        <v>2400</v>
      </c>
      <c r="N963" s="3" t="s">
        <v>3472</v>
      </c>
    </row>
    <row r="964" customFormat="false" ht="15" hidden="false" customHeight="false" outlineLevel="0" collapsed="false">
      <c r="A964" s="2" t="s">
        <v>2408</v>
      </c>
      <c r="B964" s="2" t="s">
        <v>371</v>
      </c>
      <c r="C964" s="2" t="n">
        <v>2194</v>
      </c>
      <c r="D964" s="2" t="s">
        <v>34</v>
      </c>
      <c r="E964" s="2" t="s">
        <v>3091</v>
      </c>
      <c r="F964" s="2" t="n">
        <v>1</v>
      </c>
      <c r="G964" s="2" t="s">
        <v>18</v>
      </c>
      <c r="H964" s="2" t="s">
        <v>59</v>
      </c>
      <c r="I964" s="2" t="s">
        <v>3473</v>
      </c>
      <c r="J964" s="2" t="s">
        <v>292</v>
      </c>
      <c r="K964" s="2" t="n">
        <v>5600</v>
      </c>
      <c r="L964" s="2" t="n">
        <v>300</v>
      </c>
      <c r="M964" s="2" t="n">
        <v>300</v>
      </c>
      <c r="N964" s="2" t="s">
        <v>3474</v>
      </c>
    </row>
    <row r="965" customFormat="false" ht="15" hidden="false" customHeight="false" outlineLevel="0" collapsed="false">
      <c r="A965" s="3" t="s">
        <v>3132</v>
      </c>
      <c r="B965" s="3" t="s">
        <v>391</v>
      </c>
      <c r="C965" s="3" t="n">
        <v>2195</v>
      </c>
      <c r="D965" s="3" t="s">
        <v>147</v>
      </c>
      <c r="E965" s="3" t="s">
        <v>571</v>
      </c>
      <c r="F965" s="3" t="n">
        <v>2</v>
      </c>
      <c r="G965" s="3" t="s">
        <v>51</v>
      </c>
      <c r="H965" s="3" t="s">
        <v>19</v>
      </c>
      <c r="I965" s="3" t="s">
        <v>3475</v>
      </c>
      <c r="J965" s="3" t="s">
        <v>21</v>
      </c>
      <c r="K965" s="3" t="n">
        <v>6725</v>
      </c>
      <c r="L965" s="3" t="n">
        <v>600</v>
      </c>
      <c r="M965" s="3" t="n">
        <v>1200</v>
      </c>
      <c r="N965" s="3" t="s">
        <v>3476</v>
      </c>
    </row>
    <row r="966" customFormat="false" ht="15" hidden="false" customHeight="false" outlineLevel="0" collapsed="false">
      <c r="A966" s="2" t="s">
        <v>3477</v>
      </c>
      <c r="B966" s="2" t="s">
        <v>752</v>
      </c>
      <c r="C966" s="2" t="n">
        <v>2196</v>
      </c>
      <c r="D966" s="2" t="s">
        <v>49</v>
      </c>
      <c r="E966" s="2" t="s">
        <v>947</v>
      </c>
      <c r="F966" s="2" t="n">
        <v>3</v>
      </c>
      <c r="G966" s="2" t="s">
        <v>51</v>
      </c>
      <c r="H966" s="2" t="s">
        <v>43</v>
      </c>
      <c r="I966" s="2" t="s">
        <v>3478</v>
      </c>
      <c r="J966" s="2" t="s">
        <v>67</v>
      </c>
      <c r="K966" s="2" t="n">
        <v>3220</v>
      </c>
      <c r="L966" s="2" t="n">
        <v>250</v>
      </c>
      <c r="M966" s="2" t="n">
        <v>750</v>
      </c>
      <c r="N966" s="2" t="s">
        <v>3479</v>
      </c>
    </row>
    <row r="967" customFormat="false" ht="15" hidden="false" customHeight="false" outlineLevel="0" collapsed="false">
      <c r="A967" s="3" t="s">
        <v>3480</v>
      </c>
      <c r="B967" s="3" t="s">
        <v>3090</v>
      </c>
      <c r="C967" s="3" t="n">
        <v>2197</v>
      </c>
      <c r="D967" s="3" t="s">
        <v>34</v>
      </c>
      <c r="E967" s="3" t="s">
        <v>1152</v>
      </c>
      <c r="F967" s="3" t="n">
        <v>2</v>
      </c>
      <c r="G967" s="3" t="s">
        <v>51</v>
      </c>
      <c r="H967" s="3" t="s">
        <v>52</v>
      </c>
      <c r="I967" s="3" t="s">
        <v>3481</v>
      </c>
      <c r="J967" s="3" t="s">
        <v>182</v>
      </c>
      <c r="K967" s="3" t="n">
        <v>4000</v>
      </c>
      <c r="L967" s="3" t="n">
        <v>300</v>
      </c>
      <c r="M967" s="3" t="n">
        <v>600</v>
      </c>
      <c r="N967" s="3" t="s">
        <v>3482</v>
      </c>
    </row>
    <row r="968" customFormat="false" ht="15" hidden="false" customHeight="false" outlineLevel="0" collapsed="false">
      <c r="A968" s="2" t="s">
        <v>1788</v>
      </c>
      <c r="B968" s="2" t="s">
        <v>2067</v>
      </c>
      <c r="C968" s="2" t="n">
        <v>2198</v>
      </c>
      <c r="D968" s="2" t="s">
        <v>147</v>
      </c>
      <c r="E968" s="2" t="s">
        <v>766</v>
      </c>
      <c r="F968" s="2" t="n">
        <v>2</v>
      </c>
      <c r="G968" s="2" t="s">
        <v>51</v>
      </c>
      <c r="H968" s="2" t="s">
        <v>121</v>
      </c>
      <c r="I968" s="2" t="s">
        <v>3483</v>
      </c>
      <c r="J968" s="2" t="s">
        <v>317</v>
      </c>
      <c r="K968" s="2" t="n">
        <v>870</v>
      </c>
      <c r="L968" s="2" t="n">
        <v>600</v>
      </c>
      <c r="M968" s="2" t="n">
        <v>1200</v>
      </c>
      <c r="N968" s="2" t="s">
        <v>3484</v>
      </c>
    </row>
    <row r="969" customFormat="false" ht="15" hidden="false" customHeight="false" outlineLevel="0" collapsed="false">
      <c r="A969" s="3" t="s">
        <v>353</v>
      </c>
      <c r="B969" s="3" t="s">
        <v>3485</v>
      </c>
      <c r="C969" s="3" t="n">
        <v>2199</v>
      </c>
      <c r="D969" s="3" t="s">
        <v>16</v>
      </c>
      <c r="E969" s="3" t="s">
        <v>71</v>
      </c>
      <c r="F969" s="3" t="n">
        <v>3</v>
      </c>
      <c r="G969" s="3" t="s">
        <v>51</v>
      </c>
      <c r="H969" s="3" t="s">
        <v>59</v>
      </c>
      <c r="I969" s="3" t="s">
        <v>3486</v>
      </c>
      <c r="J969" s="3" t="s">
        <v>61</v>
      </c>
      <c r="K969" s="3" t="n">
        <v>5290</v>
      </c>
      <c r="L969" s="3" t="n">
        <v>250</v>
      </c>
      <c r="M969" s="3" t="n">
        <v>750</v>
      </c>
      <c r="N969" s="3" t="s">
        <v>3487</v>
      </c>
    </row>
    <row r="970" customFormat="false" ht="15" hidden="false" customHeight="false" outlineLevel="0" collapsed="false">
      <c r="A970" s="2" t="s">
        <v>3488</v>
      </c>
      <c r="B970" s="2" t="s">
        <v>1428</v>
      </c>
      <c r="C970" s="2" t="n">
        <v>2200</v>
      </c>
      <c r="D970" s="2" t="s">
        <v>49</v>
      </c>
      <c r="E970" s="2" t="s">
        <v>211</v>
      </c>
      <c r="F970" s="2" t="n">
        <v>2</v>
      </c>
      <c r="G970" s="2" t="s">
        <v>51</v>
      </c>
      <c r="H970" s="2" t="s">
        <v>28</v>
      </c>
      <c r="I970" s="2" t="s">
        <v>3489</v>
      </c>
      <c r="J970" s="2" t="s">
        <v>30</v>
      </c>
      <c r="K970" s="2" t="n">
        <v>2600</v>
      </c>
      <c r="L970" s="2" t="n">
        <v>250</v>
      </c>
      <c r="M970" s="2" t="n">
        <v>500</v>
      </c>
      <c r="N970" s="2" t="s">
        <v>3490</v>
      </c>
    </row>
    <row r="971" customFormat="false" ht="15" hidden="false" customHeight="false" outlineLevel="0" collapsed="false">
      <c r="A971" s="3" t="s">
        <v>1698</v>
      </c>
      <c r="B971" s="3" t="s">
        <v>3491</v>
      </c>
      <c r="C971" s="3" t="n">
        <v>2201</v>
      </c>
      <c r="D971" s="3" t="s">
        <v>16</v>
      </c>
      <c r="E971" s="3" t="s">
        <v>1097</v>
      </c>
      <c r="F971" s="3" t="n">
        <v>3</v>
      </c>
      <c r="G971" s="3" t="s">
        <v>18</v>
      </c>
      <c r="H971" s="3" t="s">
        <v>52</v>
      </c>
      <c r="I971" s="3" t="s">
        <v>3492</v>
      </c>
      <c r="J971" s="3" t="s">
        <v>182</v>
      </c>
      <c r="K971" s="3" t="n">
        <v>4000</v>
      </c>
      <c r="L971" s="3" t="n">
        <v>250</v>
      </c>
      <c r="M971" s="3" t="n">
        <v>750</v>
      </c>
      <c r="N971" s="3" t="s">
        <v>3493</v>
      </c>
    </row>
    <row r="972" customFormat="false" ht="15" hidden="false" customHeight="false" outlineLevel="0" collapsed="false">
      <c r="A972" s="2" t="s">
        <v>2267</v>
      </c>
      <c r="B972" s="2" t="s">
        <v>2343</v>
      </c>
      <c r="C972" s="2" t="n">
        <v>2202</v>
      </c>
      <c r="D972" s="2" t="s">
        <v>108</v>
      </c>
      <c r="E972" s="2" t="s">
        <v>2167</v>
      </c>
      <c r="F972" s="2" t="n">
        <v>2</v>
      </c>
      <c r="G972" s="2" t="s">
        <v>18</v>
      </c>
      <c r="H972" s="2" t="s">
        <v>78</v>
      </c>
      <c r="I972" s="2" t="s">
        <v>3494</v>
      </c>
      <c r="J972" s="2" t="s">
        <v>80</v>
      </c>
      <c r="K972" s="2" t="n">
        <v>7250</v>
      </c>
      <c r="L972" s="2" t="n">
        <v>1200</v>
      </c>
      <c r="M972" s="2" t="n">
        <v>2400</v>
      </c>
      <c r="N972" s="2" t="s">
        <v>3495</v>
      </c>
    </row>
    <row r="973" customFormat="false" ht="15" hidden="false" customHeight="false" outlineLevel="0" collapsed="false">
      <c r="A973" s="3" t="s">
        <v>3496</v>
      </c>
      <c r="B973" s="3" t="s">
        <v>1827</v>
      </c>
      <c r="C973" s="3" t="n">
        <v>2203</v>
      </c>
      <c r="D973" s="3" t="s">
        <v>147</v>
      </c>
      <c r="E973" s="3" t="s">
        <v>1586</v>
      </c>
      <c r="F973" s="3" t="n">
        <v>3</v>
      </c>
      <c r="G973" s="3" t="s">
        <v>51</v>
      </c>
      <c r="H973" s="3" t="s">
        <v>36</v>
      </c>
      <c r="I973" s="3" t="s">
        <v>3497</v>
      </c>
      <c r="J973" s="3" t="s">
        <v>170</v>
      </c>
      <c r="K973" s="3" t="n">
        <v>2500</v>
      </c>
      <c r="L973" s="3" t="n">
        <v>600</v>
      </c>
      <c r="M973" s="3" t="n">
        <v>1800</v>
      </c>
      <c r="N973" s="3" t="s">
        <v>3498</v>
      </c>
    </row>
    <row r="974" customFormat="false" ht="15" hidden="false" customHeight="false" outlineLevel="0" collapsed="false">
      <c r="A974" s="2" t="s">
        <v>3499</v>
      </c>
      <c r="B974" s="2" t="s">
        <v>601</v>
      </c>
      <c r="C974" s="2" t="n">
        <v>2204</v>
      </c>
      <c r="D974" s="2" t="s">
        <v>147</v>
      </c>
      <c r="E974" s="2" t="s">
        <v>1906</v>
      </c>
      <c r="F974" s="2" t="n">
        <v>1</v>
      </c>
      <c r="G974" s="2" t="s">
        <v>97</v>
      </c>
      <c r="H974" s="2" t="s">
        <v>36</v>
      </c>
      <c r="I974" s="2" t="s">
        <v>3500</v>
      </c>
      <c r="J974" s="2" t="s">
        <v>192</v>
      </c>
      <c r="K974" s="2" t="n">
        <v>2000</v>
      </c>
      <c r="L974" s="2" t="n">
        <v>600</v>
      </c>
      <c r="M974" s="2" t="n">
        <v>600</v>
      </c>
      <c r="N974" s="2" t="s">
        <v>3501</v>
      </c>
    </row>
    <row r="975" customFormat="false" ht="15" hidden="false" customHeight="false" outlineLevel="0" collapsed="false">
      <c r="A975" s="3" t="s">
        <v>3502</v>
      </c>
      <c r="B975" s="3" t="s">
        <v>3503</v>
      </c>
      <c r="C975" s="3" t="n">
        <v>2205</v>
      </c>
      <c r="D975" s="3" t="s">
        <v>49</v>
      </c>
      <c r="E975" s="3" t="s">
        <v>3504</v>
      </c>
      <c r="F975" s="3" t="n">
        <v>2</v>
      </c>
      <c r="G975" s="3" t="s">
        <v>27</v>
      </c>
      <c r="H975" s="3" t="s">
        <v>43</v>
      </c>
      <c r="I975" s="3" t="s">
        <v>3505</v>
      </c>
      <c r="J975" s="3" t="s">
        <v>67</v>
      </c>
      <c r="K975" s="3" t="n">
        <v>3220</v>
      </c>
      <c r="L975" s="3" t="n">
        <v>250</v>
      </c>
      <c r="M975" s="3" t="n">
        <v>500</v>
      </c>
      <c r="N975" s="3" t="s">
        <v>3506</v>
      </c>
    </row>
    <row r="976" customFormat="false" ht="15" hidden="false" customHeight="false" outlineLevel="0" collapsed="false">
      <c r="A976" s="2" t="s">
        <v>2646</v>
      </c>
      <c r="B976" s="2" t="s">
        <v>1082</v>
      </c>
      <c r="C976" s="2" t="n">
        <v>2206</v>
      </c>
      <c r="D976" s="2" t="s">
        <v>108</v>
      </c>
      <c r="E976" s="2" t="s">
        <v>103</v>
      </c>
      <c r="F976" s="2" t="n">
        <v>2</v>
      </c>
      <c r="G976" s="2" t="s">
        <v>18</v>
      </c>
      <c r="H976" s="2" t="s">
        <v>59</v>
      </c>
      <c r="I976" s="2" t="s">
        <v>3507</v>
      </c>
      <c r="J976" s="2" t="s">
        <v>292</v>
      </c>
      <c r="K976" s="2" t="n">
        <v>5600</v>
      </c>
      <c r="L976" s="2" t="n">
        <v>1200</v>
      </c>
      <c r="M976" s="2" t="n">
        <v>2400</v>
      </c>
      <c r="N976" s="2" t="s">
        <v>3508</v>
      </c>
    </row>
    <row r="977" customFormat="false" ht="15" hidden="false" customHeight="false" outlineLevel="0" collapsed="false">
      <c r="A977" s="3" t="s">
        <v>462</v>
      </c>
      <c r="B977" s="3" t="s">
        <v>1313</v>
      </c>
      <c r="C977" s="3" t="n">
        <v>2207</v>
      </c>
      <c r="D977" s="3" t="s">
        <v>108</v>
      </c>
      <c r="E977" s="3" t="s">
        <v>2994</v>
      </c>
      <c r="F977" s="3" t="n">
        <v>1</v>
      </c>
      <c r="G977" s="3" t="s">
        <v>51</v>
      </c>
      <c r="H977" s="3" t="s">
        <v>19</v>
      </c>
      <c r="I977" s="3" t="s">
        <v>3509</v>
      </c>
      <c r="J977" s="3" t="s">
        <v>21</v>
      </c>
      <c r="K977" s="3" t="n">
        <v>6725</v>
      </c>
      <c r="L977" s="3" t="n">
        <v>1200</v>
      </c>
      <c r="M977" s="3" t="n">
        <v>1200</v>
      </c>
      <c r="N977" s="3" t="s">
        <v>3510</v>
      </c>
    </row>
    <row r="978" customFormat="false" ht="15" hidden="false" customHeight="false" outlineLevel="0" collapsed="false">
      <c r="A978" s="2" t="s">
        <v>3253</v>
      </c>
      <c r="B978" s="2" t="s">
        <v>3511</v>
      </c>
      <c r="C978" s="2" t="n">
        <v>2208</v>
      </c>
      <c r="D978" s="2" t="s">
        <v>34</v>
      </c>
      <c r="E978" s="2" t="s">
        <v>3091</v>
      </c>
      <c r="F978" s="2" t="n">
        <v>3</v>
      </c>
      <c r="G978" s="2" t="s">
        <v>18</v>
      </c>
      <c r="H978" s="2" t="s">
        <v>121</v>
      </c>
      <c r="I978" s="2" t="s">
        <v>3512</v>
      </c>
      <c r="J978" s="2" t="s">
        <v>123</v>
      </c>
      <c r="K978" s="2" t="n">
        <v>800</v>
      </c>
      <c r="L978" s="2" t="n">
        <v>300</v>
      </c>
      <c r="M978" s="2" t="n">
        <v>900</v>
      </c>
      <c r="N978" s="2" t="s">
        <v>3513</v>
      </c>
    </row>
    <row r="979" customFormat="false" ht="15" hidden="false" customHeight="false" outlineLevel="0" collapsed="false">
      <c r="A979" s="3" t="s">
        <v>1135</v>
      </c>
      <c r="B979" s="3" t="s">
        <v>3514</v>
      </c>
      <c r="C979" s="3" t="n">
        <v>2209</v>
      </c>
      <c r="D979" s="3" t="s">
        <v>49</v>
      </c>
      <c r="E979" s="3" t="s">
        <v>602</v>
      </c>
      <c r="F979" s="3" t="n">
        <v>3</v>
      </c>
      <c r="G979" s="3" t="s">
        <v>18</v>
      </c>
      <c r="H979" s="3" t="s">
        <v>36</v>
      </c>
      <c r="I979" s="3" t="s">
        <v>3515</v>
      </c>
      <c r="J979" s="3" t="s">
        <v>192</v>
      </c>
      <c r="K979" s="3" t="n">
        <v>2000</v>
      </c>
      <c r="L979" s="3" t="n">
        <v>250</v>
      </c>
      <c r="M979" s="3" t="n">
        <v>750</v>
      </c>
      <c r="N979" s="3" t="s">
        <v>3516</v>
      </c>
    </row>
    <row r="980" customFormat="false" ht="15" hidden="false" customHeight="false" outlineLevel="0" collapsed="false">
      <c r="A980" s="2" t="s">
        <v>500</v>
      </c>
      <c r="B980" s="2" t="s">
        <v>2371</v>
      </c>
      <c r="C980" s="2" t="n">
        <v>2210</v>
      </c>
      <c r="D980" s="2" t="s">
        <v>108</v>
      </c>
      <c r="E980" s="2" t="s">
        <v>3517</v>
      </c>
      <c r="F980" s="2" t="n">
        <v>3</v>
      </c>
      <c r="G980" s="2" t="s">
        <v>18</v>
      </c>
      <c r="H980" s="2" t="s">
        <v>59</v>
      </c>
      <c r="I980" s="2" t="s">
        <v>3518</v>
      </c>
      <c r="J980" s="2" t="s">
        <v>61</v>
      </c>
      <c r="K980" s="2" t="n">
        <v>5290</v>
      </c>
      <c r="L980" s="2" t="n">
        <v>1200</v>
      </c>
      <c r="M980" s="2" t="n">
        <v>3600</v>
      </c>
      <c r="N980" s="2" t="s">
        <v>3519</v>
      </c>
    </row>
    <row r="981" customFormat="false" ht="15" hidden="false" customHeight="false" outlineLevel="0" collapsed="false">
      <c r="A981" s="3" t="s">
        <v>674</v>
      </c>
      <c r="B981" s="3" t="s">
        <v>220</v>
      </c>
      <c r="C981" s="3" t="n">
        <v>2211</v>
      </c>
      <c r="D981" s="3" t="s">
        <v>147</v>
      </c>
      <c r="E981" s="3" t="s">
        <v>430</v>
      </c>
      <c r="F981" s="3" t="n">
        <v>1</v>
      </c>
      <c r="G981" s="3" t="s">
        <v>51</v>
      </c>
      <c r="H981" s="3" t="s">
        <v>78</v>
      </c>
      <c r="I981" s="3" t="s">
        <v>3520</v>
      </c>
      <c r="J981" s="3" t="s">
        <v>86</v>
      </c>
      <c r="K981" s="3" t="n">
        <v>7000</v>
      </c>
      <c r="L981" s="3" t="n">
        <v>600</v>
      </c>
      <c r="M981" s="3" t="n">
        <v>600</v>
      </c>
      <c r="N981" s="3" t="s">
        <v>3521</v>
      </c>
    </row>
    <row r="982" customFormat="false" ht="15" hidden="false" customHeight="false" outlineLevel="0" collapsed="false">
      <c r="A982" s="2" t="s">
        <v>1780</v>
      </c>
      <c r="B982" s="2" t="s">
        <v>2760</v>
      </c>
      <c r="C982" s="2" t="n">
        <v>2212</v>
      </c>
      <c r="D982" s="2" t="s">
        <v>25</v>
      </c>
      <c r="E982" s="2" t="s">
        <v>1424</v>
      </c>
      <c r="F982" s="2" t="n">
        <v>2</v>
      </c>
      <c r="G982" s="2" t="s">
        <v>51</v>
      </c>
      <c r="H982" s="2" t="s">
        <v>78</v>
      </c>
      <c r="I982" s="2" t="s">
        <v>3522</v>
      </c>
      <c r="J982" s="2" t="s">
        <v>408</v>
      </c>
      <c r="K982" s="2" t="n">
        <v>7310</v>
      </c>
      <c r="L982" s="2" t="n">
        <v>800</v>
      </c>
      <c r="M982" s="2" t="n">
        <v>1600</v>
      </c>
      <c r="N982" s="2" t="s">
        <v>3523</v>
      </c>
    </row>
    <row r="983" customFormat="false" ht="15" hidden="false" customHeight="false" outlineLevel="0" collapsed="false">
      <c r="A983" s="3" t="s">
        <v>3524</v>
      </c>
      <c r="B983" s="3" t="s">
        <v>1047</v>
      </c>
      <c r="C983" s="3" t="n">
        <v>2213</v>
      </c>
      <c r="D983" s="3" t="s">
        <v>108</v>
      </c>
      <c r="E983" s="3" t="s">
        <v>1266</v>
      </c>
      <c r="F983" s="3" t="n">
        <v>2</v>
      </c>
      <c r="G983" s="3" t="s">
        <v>97</v>
      </c>
      <c r="H983" s="3" t="s">
        <v>121</v>
      </c>
      <c r="I983" s="3" t="s">
        <v>3525</v>
      </c>
      <c r="J983" s="3" t="s">
        <v>123</v>
      </c>
      <c r="K983" s="3" t="n">
        <v>800</v>
      </c>
      <c r="L983" s="3" t="n">
        <v>1200</v>
      </c>
      <c r="M983" s="3" t="n">
        <v>2400</v>
      </c>
      <c r="N983" s="3" t="s">
        <v>3526</v>
      </c>
    </row>
    <row r="984" customFormat="false" ht="15" hidden="false" customHeight="false" outlineLevel="0" collapsed="false">
      <c r="A984" s="2" t="s">
        <v>1698</v>
      </c>
      <c r="B984" s="2" t="s">
        <v>828</v>
      </c>
      <c r="C984" s="2" t="n">
        <v>2214</v>
      </c>
      <c r="D984" s="2" t="s">
        <v>25</v>
      </c>
      <c r="E984" s="2" t="s">
        <v>1620</v>
      </c>
      <c r="F984" s="2" t="n">
        <v>1</v>
      </c>
      <c r="G984" s="2" t="s">
        <v>51</v>
      </c>
      <c r="H984" s="2" t="s">
        <v>59</v>
      </c>
      <c r="I984" s="2" t="s">
        <v>3527</v>
      </c>
      <c r="J984" s="2" t="s">
        <v>292</v>
      </c>
      <c r="K984" s="2" t="n">
        <v>5600</v>
      </c>
      <c r="L984" s="2" t="n">
        <v>800</v>
      </c>
      <c r="M984" s="2" t="n">
        <v>800</v>
      </c>
      <c r="N984" s="2" t="s">
        <v>3528</v>
      </c>
    </row>
    <row r="985" customFormat="false" ht="15" hidden="false" customHeight="false" outlineLevel="0" collapsed="false">
      <c r="A985" s="3" t="s">
        <v>2670</v>
      </c>
      <c r="B985" s="3" t="s">
        <v>3529</v>
      </c>
      <c r="C985" s="3" t="n">
        <v>2215</v>
      </c>
      <c r="D985" s="3" t="s">
        <v>16</v>
      </c>
      <c r="E985" s="3" t="s">
        <v>1840</v>
      </c>
      <c r="F985" s="3" t="n">
        <v>2</v>
      </c>
      <c r="G985" s="3" t="s">
        <v>51</v>
      </c>
      <c r="H985" s="3" t="s">
        <v>43</v>
      </c>
      <c r="I985" s="3" t="s">
        <v>3530</v>
      </c>
      <c r="J985" s="3" t="s">
        <v>111</v>
      </c>
      <c r="K985" s="3" t="n">
        <v>3000</v>
      </c>
      <c r="L985" s="3" t="n">
        <v>250</v>
      </c>
      <c r="M985" s="3" t="n">
        <v>500</v>
      </c>
      <c r="N985" s="3" t="s">
        <v>3531</v>
      </c>
    </row>
    <row r="986" customFormat="false" ht="15" hidden="false" customHeight="false" outlineLevel="0" collapsed="false">
      <c r="A986" s="2" t="s">
        <v>1979</v>
      </c>
      <c r="B986" s="2" t="s">
        <v>3532</v>
      </c>
      <c r="C986" s="2" t="n">
        <v>2216</v>
      </c>
      <c r="D986" s="2" t="s">
        <v>34</v>
      </c>
      <c r="E986" s="2" t="s">
        <v>127</v>
      </c>
      <c r="F986" s="2" t="n">
        <v>3</v>
      </c>
      <c r="G986" s="2" t="s">
        <v>51</v>
      </c>
      <c r="H986" s="2" t="s">
        <v>19</v>
      </c>
      <c r="I986" s="2" t="s">
        <v>3533</v>
      </c>
      <c r="J986" s="2" t="s">
        <v>73</v>
      </c>
      <c r="K986" s="2" t="n">
        <v>6160</v>
      </c>
      <c r="L986" s="2" t="n">
        <v>300</v>
      </c>
      <c r="M986" s="2" t="n">
        <v>900</v>
      </c>
      <c r="N986" s="2" t="s">
        <v>3534</v>
      </c>
    </row>
    <row r="987" customFormat="false" ht="15" hidden="false" customHeight="false" outlineLevel="0" collapsed="false">
      <c r="A987" s="3" t="s">
        <v>69</v>
      </c>
      <c r="B987" s="3" t="s">
        <v>2216</v>
      </c>
      <c r="C987" s="3" t="n">
        <v>2217</v>
      </c>
      <c r="D987" s="3" t="s">
        <v>108</v>
      </c>
      <c r="E987" s="3" t="s">
        <v>201</v>
      </c>
      <c r="F987" s="3" t="n">
        <v>2</v>
      </c>
      <c r="G987" s="3" t="s">
        <v>51</v>
      </c>
      <c r="H987" s="3" t="s">
        <v>28</v>
      </c>
      <c r="I987" s="3" t="s">
        <v>3535</v>
      </c>
      <c r="J987" s="3" t="s">
        <v>30</v>
      </c>
      <c r="K987" s="3" t="n">
        <v>2600</v>
      </c>
      <c r="L987" s="3" t="n">
        <v>1200</v>
      </c>
      <c r="M987" s="3" t="n">
        <v>2400</v>
      </c>
      <c r="N987" s="3" t="s">
        <v>3536</v>
      </c>
    </row>
    <row r="988" customFormat="false" ht="15" hidden="false" customHeight="false" outlineLevel="0" collapsed="false">
      <c r="A988" s="2" t="s">
        <v>2114</v>
      </c>
      <c r="B988" s="2" t="s">
        <v>1773</v>
      </c>
      <c r="C988" s="2" t="n">
        <v>2218</v>
      </c>
      <c r="D988" s="2" t="s">
        <v>108</v>
      </c>
      <c r="E988" s="2" t="s">
        <v>2097</v>
      </c>
      <c r="F988" s="2" t="n">
        <v>1</v>
      </c>
      <c r="G988" s="2" t="s">
        <v>18</v>
      </c>
      <c r="H988" s="2" t="s">
        <v>28</v>
      </c>
      <c r="I988" s="2" t="s">
        <v>3537</v>
      </c>
      <c r="J988" s="2" t="s">
        <v>30</v>
      </c>
      <c r="K988" s="2" t="n">
        <v>2600</v>
      </c>
      <c r="L988" s="2" t="n">
        <v>1200</v>
      </c>
      <c r="M988" s="2" t="n">
        <v>1200</v>
      </c>
      <c r="N988" s="2" t="s">
        <v>3538</v>
      </c>
    </row>
    <row r="989" customFormat="false" ht="15" hidden="false" customHeight="false" outlineLevel="0" collapsed="false">
      <c r="A989" s="3" t="s">
        <v>3539</v>
      </c>
      <c r="B989" s="3" t="s">
        <v>3540</v>
      </c>
      <c r="C989" s="3" t="n">
        <v>2219</v>
      </c>
      <c r="D989" s="3" t="s">
        <v>108</v>
      </c>
      <c r="E989" s="3" t="s">
        <v>897</v>
      </c>
      <c r="F989" s="3" t="n">
        <v>3</v>
      </c>
      <c r="G989" s="3" t="s">
        <v>51</v>
      </c>
      <c r="H989" s="3" t="s">
        <v>43</v>
      </c>
      <c r="I989" s="3" t="s">
        <v>3541</v>
      </c>
      <c r="J989" s="3" t="s">
        <v>111</v>
      </c>
      <c r="K989" s="3" t="n">
        <v>3000</v>
      </c>
      <c r="L989" s="3" t="n">
        <v>1200</v>
      </c>
      <c r="M989" s="3" t="n">
        <v>3600</v>
      </c>
      <c r="N989" s="3" t="s">
        <v>3542</v>
      </c>
    </row>
    <row r="990" customFormat="false" ht="15" hidden="false" customHeight="false" outlineLevel="0" collapsed="false">
      <c r="A990" s="2" t="s">
        <v>3543</v>
      </c>
      <c r="B990" s="2" t="s">
        <v>3544</v>
      </c>
      <c r="C990" s="2" t="n">
        <v>2220</v>
      </c>
      <c r="D990" s="2" t="s">
        <v>34</v>
      </c>
      <c r="E990" s="2" t="s">
        <v>2031</v>
      </c>
      <c r="F990" s="2" t="n">
        <v>3</v>
      </c>
      <c r="G990" s="2" t="s">
        <v>51</v>
      </c>
      <c r="H990" s="2" t="s">
        <v>121</v>
      </c>
      <c r="I990" s="2" t="s">
        <v>3545</v>
      </c>
      <c r="J990" s="2" t="s">
        <v>123</v>
      </c>
      <c r="K990" s="2" t="n">
        <v>800</v>
      </c>
      <c r="L990" s="2" t="n">
        <v>300</v>
      </c>
      <c r="M990" s="2" t="n">
        <v>900</v>
      </c>
      <c r="N990" s="2" t="s">
        <v>3546</v>
      </c>
    </row>
    <row r="991" customFormat="false" ht="15" hidden="false" customHeight="false" outlineLevel="0" collapsed="false">
      <c r="A991" s="3" t="s">
        <v>3547</v>
      </c>
      <c r="B991" s="3" t="s">
        <v>2765</v>
      </c>
      <c r="C991" s="3" t="n">
        <v>2221</v>
      </c>
      <c r="D991" s="3" t="s">
        <v>108</v>
      </c>
      <c r="E991" s="3" t="s">
        <v>321</v>
      </c>
      <c r="F991" s="3" t="n">
        <v>3</v>
      </c>
      <c r="G991" s="3" t="s">
        <v>51</v>
      </c>
      <c r="H991" s="3" t="s">
        <v>52</v>
      </c>
      <c r="I991" s="3" t="s">
        <v>3548</v>
      </c>
      <c r="J991" s="3" t="s">
        <v>182</v>
      </c>
      <c r="K991" s="3" t="n">
        <v>4000</v>
      </c>
      <c r="L991" s="3" t="n">
        <v>1200</v>
      </c>
      <c r="M991" s="3" t="n">
        <v>3600</v>
      </c>
      <c r="N991" s="3" t="s">
        <v>3549</v>
      </c>
    </row>
    <row r="992" customFormat="false" ht="15" hidden="false" customHeight="false" outlineLevel="0" collapsed="false">
      <c r="A992" s="2" t="s">
        <v>2416</v>
      </c>
      <c r="B992" s="2" t="s">
        <v>2612</v>
      </c>
      <c r="C992" s="2" t="n">
        <v>2222</v>
      </c>
      <c r="D992" s="2" t="s">
        <v>108</v>
      </c>
      <c r="E992" s="2" t="s">
        <v>345</v>
      </c>
      <c r="F992" s="2" t="n">
        <v>3</v>
      </c>
      <c r="G992" s="2" t="s">
        <v>18</v>
      </c>
      <c r="H992" s="2" t="s">
        <v>19</v>
      </c>
      <c r="I992" s="2" t="s">
        <v>3550</v>
      </c>
      <c r="J992" s="2" t="s">
        <v>73</v>
      </c>
      <c r="K992" s="2" t="n">
        <v>6160</v>
      </c>
      <c r="L992" s="2" t="n">
        <v>1200</v>
      </c>
      <c r="M992" s="2" t="n">
        <v>3600</v>
      </c>
      <c r="N992" s="2" t="s">
        <v>3551</v>
      </c>
    </row>
    <row r="993" customFormat="false" ht="15" hidden="false" customHeight="false" outlineLevel="0" collapsed="false">
      <c r="A993" s="3" t="s">
        <v>3552</v>
      </c>
      <c r="B993" s="3" t="s">
        <v>358</v>
      </c>
      <c r="C993" s="3" t="n">
        <v>2223</v>
      </c>
      <c r="D993" s="3" t="s">
        <v>34</v>
      </c>
      <c r="E993" s="3" t="s">
        <v>449</v>
      </c>
      <c r="F993" s="3" t="n">
        <v>2</v>
      </c>
      <c r="G993" s="3" t="s">
        <v>51</v>
      </c>
      <c r="H993" s="3" t="s">
        <v>121</v>
      </c>
      <c r="I993" s="3" t="s">
        <v>3553</v>
      </c>
      <c r="J993" s="3" t="s">
        <v>123</v>
      </c>
      <c r="K993" s="3" t="n">
        <v>800</v>
      </c>
      <c r="L993" s="3" t="n">
        <v>300</v>
      </c>
      <c r="M993" s="3" t="n">
        <v>600</v>
      </c>
      <c r="N993" s="3" t="s">
        <v>3554</v>
      </c>
    </row>
    <row r="994" customFormat="false" ht="15" hidden="false" customHeight="false" outlineLevel="0" collapsed="false">
      <c r="A994" s="2" t="s">
        <v>2262</v>
      </c>
      <c r="B994" s="2" t="s">
        <v>2147</v>
      </c>
      <c r="C994" s="2" t="n">
        <v>2224</v>
      </c>
      <c r="D994" s="2" t="s">
        <v>49</v>
      </c>
      <c r="E994" s="2" t="s">
        <v>2515</v>
      </c>
      <c r="F994" s="2" t="n">
        <v>2</v>
      </c>
      <c r="G994" s="2" t="s">
        <v>18</v>
      </c>
      <c r="H994" s="2" t="s">
        <v>78</v>
      </c>
      <c r="I994" s="2" t="s">
        <v>3555</v>
      </c>
      <c r="J994" s="2" t="s">
        <v>408</v>
      </c>
      <c r="K994" s="2" t="n">
        <v>7310</v>
      </c>
      <c r="L994" s="2" t="n">
        <v>250</v>
      </c>
      <c r="M994" s="2" t="n">
        <v>500</v>
      </c>
      <c r="N994" s="2" t="s">
        <v>3556</v>
      </c>
    </row>
    <row r="995" customFormat="false" ht="15" hidden="false" customHeight="false" outlineLevel="0" collapsed="false">
      <c r="A995" s="3" t="s">
        <v>2109</v>
      </c>
      <c r="B995" s="3" t="s">
        <v>2723</v>
      </c>
      <c r="C995" s="3" t="n">
        <v>2225</v>
      </c>
      <c r="D995" s="3" t="s">
        <v>147</v>
      </c>
      <c r="E995" s="3" t="s">
        <v>1225</v>
      </c>
      <c r="F995" s="3" t="n">
        <v>1</v>
      </c>
      <c r="G995" s="3" t="s">
        <v>18</v>
      </c>
      <c r="H995" s="3" t="s">
        <v>19</v>
      </c>
      <c r="I995" s="3" t="s">
        <v>3557</v>
      </c>
      <c r="J995" s="3" t="s">
        <v>21</v>
      </c>
      <c r="K995" s="3" t="n">
        <v>6725</v>
      </c>
      <c r="L995" s="3" t="n">
        <v>600</v>
      </c>
      <c r="M995" s="3" t="n">
        <v>600</v>
      </c>
      <c r="N995" s="3" t="s">
        <v>3558</v>
      </c>
    </row>
    <row r="996" customFormat="false" ht="15" hidden="false" customHeight="false" outlineLevel="0" collapsed="false">
      <c r="A996" s="2" t="s">
        <v>3559</v>
      </c>
      <c r="B996" s="2" t="s">
        <v>3503</v>
      </c>
      <c r="C996" s="2" t="n">
        <v>2226</v>
      </c>
      <c r="D996" s="2" t="s">
        <v>147</v>
      </c>
      <c r="E996" s="2" t="s">
        <v>163</v>
      </c>
      <c r="F996" s="2" t="n">
        <v>1</v>
      </c>
      <c r="G996" s="2" t="s">
        <v>18</v>
      </c>
      <c r="H996" s="2" t="s">
        <v>36</v>
      </c>
      <c r="I996" s="2" t="s">
        <v>3560</v>
      </c>
      <c r="J996" s="2" t="s">
        <v>170</v>
      </c>
      <c r="K996" s="2" t="n">
        <v>2500</v>
      </c>
      <c r="L996" s="2" t="n">
        <v>600</v>
      </c>
      <c r="M996" s="2" t="n">
        <v>600</v>
      </c>
      <c r="N996" s="2" t="s">
        <v>3561</v>
      </c>
    </row>
    <row r="997" customFormat="false" ht="15" hidden="false" customHeight="false" outlineLevel="0" collapsed="false">
      <c r="A997" s="3" t="s">
        <v>1130</v>
      </c>
      <c r="B997" s="3" t="s">
        <v>3562</v>
      </c>
      <c r="C997" s="3" t="n">
        <v>2227</v>
      </c>
      <c r="D997" s="3" t="s">
        <v>108</v>
      </c>
      <c r="E997" s="3" t="s">
        <v>211</v>
      </c>
      <c r="F997" s="3" t="n">
        <v>3</v>
      </c>
      <c r="G997" s="3" t="s">
        <v>51</v>
      </c>
      <c r="H997" s="3" t="s">
        <v>52</v>
      </c>
      <c r="I997" s="3" t="s">
        <v>3563</v>
      </c>
      <c r="J997" s="3" t="s">
        <v>92</v>
      </c>
      <c r="K997" s="3" t="n">
        <v>4870</v>
      </c>
      <c r="L997" s="3" t="n">
        <v>1200</v>
      </c>
      <c r="M997" s="3" t="n">
        <v>3600</v>
      </c>
      <c r="N997" s="3" t="s">
        <v>3564</v>
      </c>
    </row>
    <row r="998" customFormat="false" ht="15" hidden="false" customHeight="false" outlineLevel="0" collapsed="false">
      <c r="A998" s="2" t="s">
        <v>3565</v>
      </c>
      <c r="B998" s="2" t="s">
        <v>3267</v>
      </c>
      <c r="C998" s="2" t="n">
        <v>2228</v>
      </c>
      <c r="D998" s="2" t="s">
        <v>147</v>
      </c>
      <c r="E998" s="2" t="s">
        <v>870</v>
      </c>
      <c r="F998" s="2" t="n">
        <v>1</v>
      </c>
      <c r="G998" s="2" t="s">
        <v>97</v>
      </c>
      <c r="H998" s="2" t="s">
        <v>43</v>
      </c>
      <c r="I998" s="2" t="s">
        <v>3566</v>
      </c>
      <c r="J998" s="2" t="s">
        <v>111</v>
      </c>
      <c r="K998" s="2" t="n">
        <v>3000</v>
      </c>
      <c r="L998" s="2" t="n">
        <v>600</v>
      </c>
      <c r="M998" s="2" t="n">
        <v>600</v>
      </c>
      <c r="N998" s="2" t="s">
        <v>3567</v>
      </c>
    </row>
    <row r="999" customFormat="false" ht="15" hidden="false" customHeight="false" outlineLevel="0" collapsed="false">
      <c r="A999" s="3" t="s">
        <v>3568</v>
      </c>
      <c r="B999" s="3" t="s">
        <v>1376</v>
      </c>
      <c r="C999" s="3" t="n">
        <v>2229</v>
      </c>
      <c r="D999" s="3" t="s">
        <v>108</v>
      </c>
      <c r="E999" s="3" t="s">
        <v>1213</v>
      </c>
      <c r="F999" s="3" t="n">
        <v>3</v>
      </c>
      <c r="G999" s="3" t="s">
        <v>51</v>
      </c>
      <c r="H999" s="3" t="s">
        <v>19</v>
      </c>
      <c r="I999" s="3" t="s">
        <v>3569</v>
      </c>
      <c r="J999" s="3" t="s">
        <v>21</v>
      </c>
      <c r="K999" s="3" t="n">
        <v>6725</v>
      </c>
      <c r="L999" s="3" t="n">
        <v>1200</v>
      </c>
      <c r="M999" s="3" t="n">
        <v>3600</v>
      </c>
      <c r="N999" s="3" t="s">
        <v>3570</v>
      </c>
    </row>
    <row r="1000" customFormat="false" ht="15" hidden="false" customHeight="false" outlineLevel="0" collapsed="false">
      <c r="A1000" s="2" t="s">
        <v>3322</v>
      </c>
      <c r="B1000" s="2" t="s">
        <v>891</v>
      </c>
      <c r="C1000" s="2" t="n">
        <v>2230</v>
      </c>
      <c r="D1000" s="2" t="s">
        <v>108</v>
      </c>
      <c r="E1000" s="2" t="s">
        <v>1407</v>
      </c>
      <c r="F1000" s="2" t="n">
        <v>2</v>
      </c>
      <c r="G1000" s="2" t="s">
        <v>51</v>
      </c>
      <c r="H1000" s="2" t="s">
        <v>59</v>
      </c>
      <c r="I1000" s="2" t="s">
        <v>3571</v>
      </c>
      <c r="J1000" s="2" t="s">
        <v>61</v>
      </c>
      <c r="K1000" s="2" t="n">
        <v>5290</v>
      </c>
      <c r="L1000" s="2" t="n">
        <v>1200</v>
      </c>
      <c r="M1000" s="2" t="n">
        <v>2400</v>
      </c>
      <c r="N1000" s="2" t="s">
        <v>3572</v>
      </c>
    </row>
    <row r="1001" customFormat="false" ht="15" hidden="false" customHeight="false" outlineLevel="0" collapsed="false">
      <c r="A1001" s="3" t="s">
        <v>3573</v>
      </c>
      <c r="B1001" s="3" t="s">
        <v>2819</v>
      </c>
      <c r="C1001" s="3" t="n">
        <v>2231</v>
      </c>
      <c r="D1001" s="3" t="s">
        <v>49</v>
      </c>
      <c r="E1001" s="3" t="s">
        <v>1976</v>
      </c>
      <c r="F1001" s="3" t="n">
        <v>1</v>
      </c>
      <c r="G1001" s="3" t="s">
        <v>18</v>
      </c>
      <c r="H1001" s="3" t="s">
        <v>59</v>
      </c>
      <c r="I1001" s="3" t="s">
        <v>3574</v>
      </c>
      <c r="J1001" s="3" t="s">
        <v>61</v>
      </c>
      <c r="K1001" s="3" t="n">
        <v>5290</v>
      </c>
      <c r="L1001" s="3" t="n">
        <v>250</v>
      </c>
      <c r="M1001" s="3" t="n">
        <v>250</v>
      </c>
      <c r="N1001" s="3" t="s">
        <v>3575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5"/>
  </cols>
  <sheetData>
    <row r="1" customFormat="false" ht="15" hidden="false" customHeight="false" outlineLevel="0" collapsed="false">
      <c r="A1" s="4" t="s">
        <v>3576</v>
      </c>
      <c r="B1" s="4" t="s">
        <v>3577</v>
      </c>
      <c r="C1" s="4" t="s">
        <v>3578</v>
      </c>
      <c r="D1" s="4" t="s">
        <v>3579</v>
      </c>
      <c r="E1" s="4" t="s">
        <v>3580</v>
      </c>
      <c r="F1" s="4" t="s">
        <v>3581</v>
      </c>
      <c r="G1" s="4" t="s">
        <v>3582</v>
      </c>
      <c r="H1" s="4" t="s">
        <v>3583</v>
      </c>
      <c r="I1" s="4" t="s">
        <v>3584</v>
      </c>
      <c r="J1" s="4" t="s">
        <v>7</v>
      </c>
      <c r="K1" s="4" t="s">
        <v>9</v>
      </c>
      <c r="L1" s="4" t="s">
        <v>3585</v>
      </c>
      <c r="M1" s="4" t="s">
        <v>3586</v>
      </c>
      <c r="N1" s="4" t="s">
        <v>3587</v>
      </c>
      <c r="O1" s="4" t="s">
        <v>3588</v>
      </c>
      <c r="P1" s="4" t="s">
        <v>3589</v>
      </c>
    </row>
    <row r="2" customFormat="false" ht="15" hidden="false" customHeight="false" outlineLevel="0" collapsed="false">
      <c r="A2" s="2" t="n">
        <v>1234</v>
      </c>
      <c r="B2" s="2" t="s">
        <v>15</v>
      </c>
      <c r="C2" s="2" t="s">
        <v>14</v>
      </c>
      <c r="D2" s="2" t="s">
        <v>16</v>
      </c>
      <c r="E2" s="2" t="s">
        <v>3590</v>
      </c>
      <c r="F2" s="2" t="s">
        <v>3591</v>
      </c>
      <c r="G2" s="2" t="s">
        <v>3592</v>
      </c>
      <c r="H2" s="5" t="n">
        <v>1</v>
      </c>
      <c r="I2" s="5" t="s">
        <v>18</v>
      </c>
      <c r="J2" s="5" t="s">
        <v>19</v>
      </c>
      <c r="K2" s="5" t="s">
        <v>21</v>
      </c>
      <c r="L2" s="5" t="n">
        <v>250</v>
      </c>
      <c r="M2" s="5" t="n">
        <v>250</v>
      </c>
      <c r="N2" s="6" t="n">
        <f aca="false">L2*0.6*H2</f>
        <v>150</v>
      </c>
      <c r="O2" s="6" t="n">
        <f aca="false">M2-N2</f>
        <v>100</v>
      </c>
      <c r="P2" s="7" t="n">
        <f aca="false">IF(M2=0,0,O2/M2)</f>
        <v>0.4</v>
      </c>
    </row>
    <row r="3" customFormat="false" ht="15" hidden="false" customHeight="false" outlineLevel="0" collapsed="false">
      <c r="A3" s="3" t="n">
        <v>1235</v>
      </c>
      <c r="B3" s="3" t="s">
        <v>24</v>
      </c>
      <c r="C3" s="3" t="s">
        <v>23</v>
      </c>
      <c r="D3" s="3" t="s">
        <v>25</v>
      </c>
      <c r="E3" s="3" t="s">
        <v>3593</v>
      </c>
      <c r="F3" s="3" t="s">
        <v>3594</v>
      </c>
      <c r="G3" s="3" t="s">
        <v>3595</v>
      </c>
      <c r="H3" s="8" t="n">
        <v>3</v>
      </c>
      <c r="I3" s="8" t="s">
        <v>27</v>
      </c>
      <c r="J3" s="8" t="s">
        <v>28</v>
      </c>
      <c r="K3" s="8" t="s">
        <v>30</v>
      </c>
      <c r="L3" s="8" t="n">
        <v>800</v>
      </c>
      <c r="M3" s="8" t="n">
        <v>2400</v>
      </c>
      <c r="N3" s="6" t="n">
        <f aca="false">L3*0.6*H3</f>
        <v>1440</v>
      </c>
      <c r="O3" s="6" t="n">
        <f aca="false">M3-N3</f>
        <v>960</v>
      </c>
      <c r="P3" s="7" t="n">
        <f aca="false">IF(M3=0,0,O3/M3)</f>
        <v>0.4</v>
      </c>
    </row>
    <row r="4" customFormat="false" ht="15" hidden="false" customHeight="false" outlineLevel="0" collapsed="false">
      <c r="A4" s="2" t="n">
        <v>1236</v>
      </c>
      <c r="B4" s="2" t="s">
        <v>33</v>
      </c>
      <c r="C4" s="2" t="s">
        <v>32</v>
      </c>
      <c r="D4" s="2" t="s">
        <v>34</v>
      </c>
      <c r="E4" s="2" t="s">
        <v>3596</v>
      </c>
      <c r="F4" s="2" t="s">
        <v>3594</v>
      </c>
      <c r="G4" s="2" t="s">
        <v>3595</v>
      </c>
      <c r="H4" s="5" t="n">
        <v>2</v>
      </c>
      <c r="I4" s="5" t="s">
        <v>18</v>
      </c>
      <c r="J4" s="5" t="s">
        <v>36</v>
      </c>
      <c r="K4" s="5" t="s">
        <v>38</v>
      </c>
      <c r="L4" s="5" t="n">
        <v>300</v>
      </c>
      <c r="M4" s="5" t="n">
        <v>600</v>
      </c>
      <c r="N4" s="6" t="n">
        <f aca="false">L4*0.6*H4</f>
        <v>360</v>
      </c>
      <c r="O4" s="6" t="n">
        <f aca="false">M4-N4</f>
        <v>240</v>
      </c>
      <c r="P4" s="7" t="n">
        <f aca="false">IF(M4=0,0,O4/M4)</f>
        <v>0.4</v>
      </c>
    </row>
    <row r="5" customFormat="false" ht="15" hidden="false" customHeight="false" outlineLevel="0" collapsed="false">
      <c r="A5" s="3" t="n">
        <v>1237</v>
      </c>
      <c r="B5" s="3" t="s">
        <v>41</v>
      </c>
      <c r="C5" s="3" t="s">
        <v>40</v>
      </c>
      <c r="D5" s="3" t="s">
        <v>34</v>
      </c>
      <c r="E5" s="3" t="s">
        <v>3597</v>
      </c>
      <c r="F5" s="3" t="s">
        <v>2379</v>
      </c>
      <c r="G5" s="3" t="s">
        <v>3592</v>
      </c>
      <c r="H5" s="8" t="n">
        <v>3</v>
      </c>
      <c r="I5" s="8" t="s">
        <v>18</v>
      </c>
      <c r="J5" s="8" t="s">
        <v>43</v>
      </c>
      <c r="K5" s="8" t="s">
        <v>45</v>
      </c>
      <c r="L5" s="8" t="n">
        <v>300</v>
      </c>
      <c r="M5" s="8" t="n">
        <v>900</v>
      </c>
      <c r="N5" s="6" t="n">
        <f aca="false">L5*0.6*H5</f>
        <v>540</v>
      </c>
      <c r="O5" s="6" t="n">
        <f aca="false">M5-N5</f>
        <v>360</v>
      </c>
      <c r="P5" s="7" t="n">
        <f aca="false">IF(M5=0,0,O5/M5)</f>
        <v>0.4</v>
      </c>
    </row>
    <row r="6" customFormat="false" ht="15" hidden="false" customHeight="false" outlineLevel="0" collapsed="false">
      <c r="A6" s="2" t="n">
        <v>1238</v>
      </c>
      <c r="B6" s="2" t="s">
        <v>48</v>
      </c>
      <c r="C6" s="2" t="s">
        <v>47</v>
      </c>
      <c r="D6" s="2" t="s">
        <v>49</v>
      </c>
      <c r="E6" s="2" t="s">
        <v>3598</v>
      </c>
      <c r="F6" s="2" t="s">
        <v>3599</v>
      </c>
      <c r="G6" s="2" t="s">
        <v>3600</v>
      </c>
      <c r="H6" s="5" t="n">
        <v>2</v>
      </c>
      <c r="I6" s="5" t="s">
        <v>51</v>
      </c>
      <c r="J6" s="5" t="s">
        <v>52</v>
      </c>
      <c r="K6" s="5" t="s">
        <v>54</v>
      </c>
      <c r="L6" s="5" t="n">
        <v>250</v>
      </c>
      <c r="M6" s="5" t="n">
        <v>500</v>
      </c>
      <c r="N6" s="6" t="n">
        <f aca="false">L6*0.6*H6</f>
        <v>300</v>
      </c>
      <c r="O6" s="6" t="n">
        <f aca="false">M6-N6</f>
        <v>200</v>
      </c>
      <c r="P6" s="7" t="n">
        <f aca="false">IF(M6=0,0,O6/M6)</f>
        <v>0.4</v>
      </c>
    </row>
    <row r="7" customFormat="false" ht="15" hidden="false" customHeight="false" outlineLevel="0" collapsed="false">
      <c r="A7" s="3" t="n">
        <v>1239</v>
      </c>
      <c r="B7" s="3" t="s">
        <v>57</v>
      </c>
      <c r="C7" s="3" t="s">
        <v>56</v>
      </c>
      <c r="D7" s="3" t="s">
        <v>25</v>
      </c>
      <c r="E7" s="3" t="s">
        <v>3601</v>
      </c>
      <c r="F7" s="3" t="s">
        <v>2379</v>
      </c>
      <c r="G7" s="3" t="s">
        <v>3592</v>
      </c>
      <c r="H7" s="8" t="n">
        <v>1</v>
      </c>
      <c r="I7" s="8" t="s">
        <v>51</v>
      </c>
      <c r="J7" s="8" t="s">
        <v>59</v>
      </c>
      <c r="K7" s="8" t="s">
        <v>61</v>
      </c>
      <c r="L7" s="8" t="n">
        <v>800</v>
      </c>
      <c r="M7" s="8" t="n">
        <v>800</v>
      </c>
      <c r="N7" s="6" t="n">
        <f aca="false">L7*0.6*H7</f>
        <v>480</v>
      </c>
      <c r="O7" s="6" t="n">
        <f aca="false">M7-N7</f>
        <v>320</v>
      </c>
      <c r="P7" s="7" t="n">
        <f aca="false">IF(M7=0,0,O7/M7)</f>
        <v>0.4</v>
      </c>
    </row>
    <row r="8" customFormat="false" ht="15" hidden="false" customHeight="false" outlineLevel="0" collapsed="false">
      <c r="A8" s="2" t="n">
        <v>1240</v>
      </c>
      <c r="B8" s="2" t="s">
        <v>64</v>
      </c>
      <c r="C8" s="2" t="s">
        <v>63</v>
      </c>
      <c r="D8" s="2" t="s">
        <v>49</v>
      </c>
      <c r="E8" s="2" t="s">
        <v>3602</v>
      </c>
      <c r="F8" s="2" t="s">
        <v>3603</v>
      </c>
      <c r="G8" s="2" t="s">
        <v>3604</v>
      </c>
      <c r="H8" s="5" t="n">
        <v>1</v>
      </c>
      <c r="I8" s="5" t="s">
        <v>51</v>
      </c>
      <c r="J8" s="5" t="s">
        <v>43</v>
      </c>
      <c r="K8" s="5" t="s">
        <v>67</v>
      </c>
      <c r="L8" s="5" t="n">
        <v>250</v>
      </c>
      <c r="M8" s="5" t="n">
        <v>250</v>
      </c>
      <c r="N8" s="6" t="n">
        <f aca="false">L8*0.6*H8</f>
        <v>150</v>
      </c>
      <c r="O8" s="6" t="n">
        <f aca="false">M8-N8</f>
        <v>100</v>
      </c>
      <c r="P8" s="7" t="n">
        <f aca="false">IF(M8=0,0,O8/M8)</f>
        <v>0.4</v>
      </c>
    </row>
    <row r="9" customFormat="false" ht="15" hidden="false" customHeight="false" outlineLevel="0" collapsed="false">
      <c r="A9" s="3" t="n">
        <v>1241</v>
      </c>
      <c r="B9" s="3" t="s">
        <v>70</v>
      </c>
      <c r="C9" s="3" t="s">
        <v>69</v>
      </c>
      <c r="D9" s="3" t="s">
        <v>25</v>
      </c>
      <c r="E9" s="3" t="s">
        <v>3605</v>
      </c>
      <c r="F9" s="3" t="s">
        <v>3606</v>
      </c>
      <c r="G9" s="3" t="s">
        <v>3600</v>
      </c>
      <c r="H9" s="8" t="n">
        <v>2</v>
      </c>
      <c r="I9" s="8" t="s">
        <v>18</v>
      </c>
      <c r="J9" s="8" t="s">
        <v>19</v>
      </c>
      <c r="K9" s="8" t="s">
        <v>73</v>
      </c>
      <c r="L9" s="8" t="n">
        <v>800</v>
      </c>
      <c r="M9" s="8" t="n">
        <v>1600</v>
      </c>
      <c r="N9" s="6" t="n">
        <f aca="false">L9*0.6*H9</f>
        <v>960</v>
      </c>
      <c r="O9" s="6" t="n">
        <f aca="false">M9-N9</f>
        <v>640</v>
      </c>
      <c r="P9" s="7" t="n">
        <f aca="false">IF(M9=0,0,O9/M9)</f>
        <v>0.4</v>
      </c>
    </row>
    <row r="10" customFormat="false" ht="15" hidden="false" customHeight="false" outlineLevel="0" collapsed="false">
      <c r="A10" s="2" t="n">
        <v>1242</v>
      </c>
      <c r="B10" s="2" t="s">
        <v>76</v>
      </c>
      <c r="C10" s="2" t="s">
        <v>75</v>
      </c>
      <c r="D10" s="2" t="s">
        <v>34</v>
      </c>
      <c r="E10" s="2" t="s">
        <v>3607</v>
      </c>
      <c r="F10" s="2" t="s">
        <v>3608</v>
      </c>
      <c r="G10" s="2" t="s">
        <v>3604</v>
      </c>
      <c r="H10" s="5" t="n">
        <v>3</v>
      </c>
      <c r="I10" s="5" t="s">
        <v>51</v>
      </c>
      <c r="J10" s="5" t="s">
        <v>78</v>
      </c>
      <c r="K10" s="5" t="s">
        <v>80</v>
      </c>
      <c r="L10" s="5" t="n">
        <v>300</v>
      </c>
      <c r="M10" s="5" t="n">
        <v>900</v>
      </c>
      <c r="N10" s="6" t="n">
        <f aca="false">L10*0.6*H10</f>
        <v>540</v>
      </c>
      <c r="O10" s="6" t="n">
        <f aca="false">M10-N10</f>
        <v>360</v>
      </c>
      <c r="P10" s="7" t="n">
        <f aca="false">IF(M10=0,0,O10/M10)</f>
        <v>0.4</v>
      </c>
    </row>
    <row r="11" customFormat="false" ht="15" hidden="false" customHeight="false" outlineLevel="0" collapsed="false">
      <c r="A11" s="3" t="n">
        <v>1243</v>
      </c>
      <c r="B11" s="3" t="s">
        <v>83</v>
      </c>
      <c r="C11" s="3" t="s">
        <v>82</v>
      </c>
      <c r="D11" s="3" t="s">
        <v>25</v>
      </c>
      <c r="E11" s="3" t="s">
        <v>3609</v>
      </c>
      <c r="F11" s="3" t="s">
        <v>3610</v>
      </c>
      <c r="G11" s="3" t="s">
        <v>3600</v>
      </c>
      <c r="H11" s="8" t="n">
        <v>2</v>
      </c>
      <c r="I11" s="8" t="s">
        <v>51</v>
      </c>
      <c r="J11" s="8" t="s">
        <v>78</v>
      </c>
      <c r="K11" s="8" t="s">
        <v>86</v>
      </c>
      <c r="L11" s="8" t="n">
        <v>800</v>
      </c>
      <c r="M11" s="8" t="n">
        <v>1600</v>
      </c>
      <c r="N11" s="6" t="n">
        <f aca="false">L11*0.6*H11</f>
        <v>960</v>
      </c>
      <c r="O11" s="6" t="n">
        <f aca="false">M11-N11</f>
        <v>640</v>
      </c>
      <c r="P11" s="7" t="n">
        <f aca="false">IF(M11=0,0,O11/M11)</f>
        <v>0.4</v>
      </c>
    </row>
    <row r="12" customFormat="false" ht="15" hidden="false" customHeight="false" outlineLevel="0" collapsed="false">
      <c r="A12" s="2" t="n">
        <v>1244</v>
      </c>
      <c r="B12" s="2" t="s">
        <v>89</v>
      </c>
      <c r="C12" s="2" t="s">
        <v>88</v>
      </c>
      <c r="D12" s="2" t="s">
        <v>16</v>
      </c>
      <c r="E12" s="2" t="s">
        <v>3611</v>
      </c>
      <c r="F12" s="2" t="s">
        <v>3591</v>
      </c>
      <c r="G12" s="2" t="s">
        <v>3592</v>
      </c>
      <c r="H12" s="5" t="n">
        <v>1</v>
      </c>
      <c r="I12" s="5" t="s">
        <v>18</v>
      </c>
      <c r="J12" s="5" t="s">
        <v>52</v>
      </c>
      <c r="K12" s="5" t="s">
        <v>92</v>
      </c>
      <c r="L12" s="5" t="n">
        <v>250</v>
      </c>
      <c r="M12" s="5" t="n">
        <v>250</v>
      </c>
      <c r="N12" s="6" t="n">
        <f aca="false">L12*0.6*H12</f>
        <v>150</v>
      </c>
      <c r="O12" s="6" t="n">
        <f aca="false">M12-N12</f>
        <v>100</v>
      </c>
      <c r="P12" s="7" t="n">
        <f aca="false">IF(M12=0,0,O12/M12)</f>
        <v>0.4</v>
      </c>
    </row>
    <row r="13" customFormat="false" ht="15" hidden="false" customHeight="false" outlineLevel="0" collapsed="false">
      <c r="A13" s="3" t="n">
        <v>1245</v>
      </c>
      <c r="B13" s="3" t="s">
        <v>95</v>
      </c>
      <c r="C13" s="3" t="s">
        <v>94</v>
      </c>
      <c r="D13" s="3" t="s">
        <v>34</v>
      </c>
      <c r="E13" s="3" t="s">
        <v>3612</v>
      </c>
      <c r="F13" s="3" t="s">
        <v>3613</v>
      </c>
      <c r="G13" s="3" t="s">
        <v>3604</v>
      </c>
      <c r="H13" s="8" t="n">
        <v>1</v>
      </c>
      <c r="I13" s="8" t="s">
        <v>97</v>
      </c>
      <c r="J13" s="8" t="s">
        <v>59</v>
      </c>
      <c r="K13" s="8" t="s">
        <v>99</v>
      </c>
      <c r="L13" s="8" t="n">
        <v>300</v>
      </c>
      <c r="M13" s="8" t="n">
        <v>300</v>
      </c>
      <c r="N13" s="6" t="n">
        <f aca="false">L13*0.6*H13</f>
        <v>180</v>
      </c>
      <c r="O13" s="6" t="n">
        <f aca="false">M13-N13</f>
        <v>120</v>
      </c>
      <c r="P13" s="7" t="n">
        <f aca="false">IF(M13=0,0,O13/M13)</f>
        <v>0.4</v>
      </c>
    </row>
    <row r="14" customFormat="false" ht="15" hidden="false" customHeight="false" outlineLevel="0" collapsed="false">
      <c r="A14" s="2" t="n">
        <v>1246</v>
      </c>
      <c r="B14" s="2" t="s">
        <v>102</v>
      </c>
      <c r="C14" s="2" t="s">
        <v>101</v>
      </c>
      <c r="D14" s="2" t="s">
        <v>34</v>
      </c>
      <c r="E14" s="2" t="s">
        <v>3614</v>
      </c>
      <c r="F14" s="2" t="s">
        <v>3594</v>
      </c>
      <c r="G14" s="2" t="s">
        <v>3595</v>
      </c>
      <c r="H14" s="5" t="n">
        <v>1</v>
      </c>
      <c r="I14" s="5" t="s">
        <v>51</v>
      </c>
      <c r="J14" s="5" t="s">
        <v>59</v>
      </c>
      <c r="K14" s="5" t="s">
        <v>99</v>
      </c>
      <c r="L14" s="5" t="n">
        <v>300</v>
      </c>
      <c r="M14" s="5" t="n">
        <v>300</v>
      </c>
      <c r="N14" s="6" t="n">
        <f aca="false">L14*0.6*H14</f>
        <v>180</v>
      </c>
      <c r="O14" s="6" t="n">
        <f aca="false">M14-N14</f>
        <v>120</v>
      </c>
      <c r="P14" s="7" t="n">
        <f aca="false">IF(M14=0,0,O14/M14)</f>
        <v>0.4</v>
      </c>
    </row>
    <row r="15" customFormat="false" ht="15" hidden="false" customHeight="false" outlineLevel="0" collapsed="false">
      <c r="A15" s="3" t="n">
        <v>1247</v>
      </c>
      <c r="B15" s="3" t="s">
        <v>107</v>
      </c>
      <c r="C15" s="3" t="s">
        <v>106</v>
      </c>
      <c r="D15" s="3" t="s">
        <v>108</v>
      </c>
      <c r="E15" s="3" t="s">
        <v>3615</v>
      </c>
      <c r="F15" s="3" t="s">
        <v>3613</v>
      </c>
      <c r="G15" s="3" t="s">
        <v>3604</v>
      </c>
      <c r="H15" s="8" t="n">
        <v>3</v>
      </c>
      <c r="I15" s="8" t="s">
        <v>18</v>
      </c>
      <c r="J15" s="8" t="s">
        <v>43</v>
      </c>
      <c r="K15" s="8" t="s">
        <v>111</v>
      </c>
      <c r="L15" s="8" t="n">
        <v>1200</v>
      </c>
      <c r="M15" s="8" t="n">
        <v>3600</v>
      </c>
      <c r="N15" s="6" t="n">
        <f aca="false">L15*0.6*H15</f>
        <v>2160</v>
      </c>
      <c r="O15" s="6" t="n">
        <f aca="false">M15-N15</f>
        <v>1440</v>
      </c>
      <c r="P15" s="7" t="n">
        <f aca="false">IF(M15=0,0,O15/M15)</f>
        <v>0.4</v>
      </c>
    </row>
    <row r="16" customFormat="false" ht="15" hidden="false" customHeight="false" outlineLevel="0" collapsed="false">
      <c r="A16" s="2" t="n">
        <v>1248</v>
      </c>
      <c r="B16" s="2" t="s">
        <v>114</v>
      </c>
      <c r="C16" s="2" t="s">
        <v>113</v>
      </c>
      <c r="D16" s="2" t="s">
        <v>16</v>
      </c>
      <c r="E16" s="2" t="s">
        <v>3616</v>
      </c>
      <c r="F16" s="2" t="s">
        <v>2379</v>
      </c>
      <c r="G16" s="2" t="s">
        <v>3592</v>
      </c>
      <c r="H16" s="5" t="n">
        <v>2</v>
      </c>
      <c r="I16" s="5" t="s">
        <v>51</v>
      </c>
      <c r="J16" s="5" t="s">
        <v>36</v>
      </c>
      <c r="K16" s="5" t="s">
        <v>38</v>
      </c>
      <c r="L16" s="5" t="n">
        <v>250</v>
      </c>
      <c r="M16" s="5" t="n">
        <v>500</v>
      </c>
      <c r="N16" s="6" t="n">
        <f aca="false">L16*0.6*H16</f>
        <v>300</v>
      </c>
      <c r="O16" s="6" t="n">
        <f aca="false">M16-N16</f>
        <v>200</v>
      </c>
      <c r="P16" s="7" t="n">
        <f aca="false">IF(M16=0,0,O16/M16)</f>
        <v>0.4</v>
      </c>
    </row>
    <row r="17" customFormat="false" ht="15" hidden="false" customHeight="false" outlineLevel="0" collapsed="false">
      <c r="A17" s="3" t="n">
        <v>1249</v>
      </c>
      <c r="B17" s="3" t="s">
        <v>119</v>
      </c>
      <c r="C17" s="3" t="s">
        <v>118</v>
      </c>
      <c r="D17" s="3" t="s">
        <v>49</v>
      </c>
      <c r="E17" s="3" t="s">
        <v>3617</v>
      </c>
      <c r="F17" s="3" t="s">
        <v>1756</v>
      </c>
      <c r="G17" s="3" t="s">
        <v>3595</v>
      </c>
      <c r="H17" s="8" t="n">
        <v>3</v>
      </c>
      <c r="I17" s="8" t="s">
        <v>18</v>
      </c>
      <c r="J17" s="8" t="s">
        <v>121</v>
      </c>
      <c r="K17" s="8" t="s">
        <v>123</v>
      </c>
      <c r="L17" s="8" t="n">
        <v>250</v>
      </c>
      <c r="M17" s="8" t="n">
        <v>750</v>
      </c>
      <c r="N17" s="6" t="n">
        <f aca="false">L17*0.6*H17</f>
        <v>450</v>
      </c>
      <c r="O17" s="6" t="n">
        <f aca="false">M17-N17</f>
        <v>300</v>
      </c>
      <c r="P17" s="7" t="n">
        <f aca="false">IF(M17=0,0,O17/M17)</f>
        <v>0.4</v>
      </c>
    </row>
    <row r="18" customFormat="false" ht="15" hidden="false" customHeight="false" outlineLevel="0" collapsed="false">
      <c r="A18" s="2" t="n">
        <v>1250</v>
      </c>
      <c r="B18" s="2" t="s">
        <v>126</v>
      </c>
      <c r="C18" s="2" t="s">
        <v>125</v>
      </c>
      <c r="D18" s="2" t="s">
        <v>16</v>
      </c>
      <c r="E18" s="2" t="s">
        <v>3618</v>
      </c>
      <c r="F18" s="2" t="s">
        <v>3610</v>
      </c>
      <c r="G18" s="2" t="s">
        <v>3600</v>
      </c>
      <c r="H18" s="5" t="n">
        <v>1</v>
      </c>
      <c r="I18" s="5" t="s">
        <v>18</v>
      </c>
      <c r="J18" s="5" t="s">
        <v>36</v>
      </c>
      <c r="K18" s="5" t="s">
        <v>38</v>
      </c>
      <c r="L18" s="5" t="n">
        <v>250</v>
      </c>
      <c r="M18" s="5" t="n">
        <v>250</v>
      </c>
      <c r="N18" s="6" t="n">
        <f aca="false">L18*0.6*H18</f>
        <v>150</v>
      </c>
      <c r="O18" s="6" t="n">
        <f aca="false">M18-N18</f>
        <v>100</v>
      </c>
      <c r="P18" s="7" t="n">
        <f aca="false">IF(M18=0,0,O18/M18)</f>
        <v>0.4</v>
      </c>
    </row>
    <row r="19" customFormat="false" ht="15" hidden="false" customHeight="false" outlineLevel="0" collapsed="false">
      <c r="A19" s="3" t="n">
        <v>1251</v>
      </c>
      <c r="B19" s="3" t="s">
        <v>131</v>
      </c>
      <c r="C19" s="3" t="s">
        <v>130</v>
      </c>
      <c r="D19" s="3" t="s">
        <v>49</v>
      </c>
      <c r="E19" s="3" t="s">
        <v>3619</v>
      </c>
      <c r="F19" s="3" t="s">
        <v>1756</v>
      </c>
      <c r="G19" s="3" t="s">
        <v>3595</v>
      </c>
      <c r="H19" s="8" t="n">
        <v>2</v>
      </c>
      <c r="I19" s="8" t="s">
        <v>27</v>
      </c>
      <c r="J19" s="8" t="s">
        <v>78</v>
      </c>
      <c r="K19" s="8" t="s">
        <v>86</v>
      </c>
      <c r="L19" s="8" t="n">
        <v>250</v>
      </c>
      <c r="M19" s="8" t="n">
        <v>500</v>
      </c>
      <c r="N19" s="6" t="n">
        <f aca="false">L19*0.6*H19</f>
        <v>300</v>
      </c>
      <c r="O19" s="6" t="n">
        <f aca="false">M19-N19</f>
        <v>200</v>
      </c>
      <c r="P19" s="7" t="n">
        <f aca="false">IF(M19=0,0,O19/M19)</f>
        <v>0.4</v>
      </c>
    </row>
    <row r="20" customFormat="false" ht="15" hidden="false" customHeight="false" outlineLevel="0" collapsed="false">
      <c r="A20" s="2" t="n">
        <v>1252</v>
      </c>
      <c r="B20" s="2" t="s">
        <v>136</v>
      </c>
      <c r="C20" s="2" t="s">
        <v>135</v>
      </c>
      <c r="D20" s="2" t="s">
        <v>108</v>
      </c>
      <c r="E20" s="2" t="s">
        <v>3620</v>
      </c>
      <c r="F20" s="2" t="s">
        <v>2379</v>
      </c>
      <c r="G20" s="2" t="s">
        <v>3592</v>
      </c>
      <c r="H20" s="5" t="n">
        <v>3</v>
      </c>
      <c r="I20" s="5" t="s">
        <v>51</v>
      </c>
      <c r="J20" s="5" t="s">
        <v>28</v>
      </c>
      <c r="K20" s="5" t="s">
        <v>30</v>
      </c>
      <c r="L20" s="5" t="n">
        <v>1200</v>
      </c>
      <c r="M20" s="5" t="n">
        <v>3600</v>
      </c>
      <c r="N20" s="6" t="n">
        <f aca="false">L20*0.6*H20</f>
        <v>2160</v>
      </c>
      <c r="O20" s="6" t="n">
        <f aca="false">M20-N20</f>
        <v>1440</v>
      </c>
      <c r="P20" s="7" t="n">
        <f aca="false">IF(M20=0,0,O20/M20)</f>
        <v>0.4</v>
      </c>
    </row>
    <row r="21" customFormat="false" ht="15" hidden="false" customHeight="false" outlineLevel="0" collapsed="false">
      <c r="A21" s="3" t="n">
        <v>1253</v>
      </c>
      <c r="B21" s="3" t="s">
        <v>141</v>
      </c>
      <c r="C21" s="3" t="s">
        <v>140</v>
      </c>
      <c r="D21" s="3" t="s">
        <v>25</v>
      </c>
      <c r="E21" s="3" t="s">
        <v>3621</v>
      </c>
      <c r="F21" s="3" t="s">
        <v>3613</v>
      </c>
      <c r="G21" s="3" t="s">
        <v>3604</v>
      </c>
      <c r="H21" s="8" t="n">
        <v>3</v>
      </c>
      <c r="I21" s="8" t="s">
        <v>18</v>
      </c>
      <c r="J21" s="8" t="s">
        <v>59</v>
      </c>
      <c r="K21" s="8" t="s">
        <v>99</v>
      </c>
      <c r="L21" s="8" t="n">
        <v>800</v>
      </c>
      <c r="M21" s="8" t="n">
        <v>2400</v>
      </c>
      <c r="N21" s="6" t="n">
        <f aca="false">L21*0.6*H21</f>
        <v>1440</v>
      </c>
      <c r="O21" s="6" t="n">
        <f aca="false">M21-N21</f>
        <v>960</v>
      </c>
      <c r="P21" s="7" t="n">
        <f aca="false">IF(M21=0,0,O21/M21)</f>
        <v>0.4</v>
      </c>
    </row>
    <row r="22" customFormat="false" ht="15" hidden="false" customHeight="false" outlineLevel="0" collapsed="false">
      <c r="A22" s="2" t="n">
        <v>1254</v>
      </c>
      <c r="B22" s="2" t="s">
        <v>146</v>
      </c>
      <c r="C22" s="2" t="s">
        <v>145</v>
      </c>
      <c r="D22" s="2" t="s">
        <v>147</v>
      </c>
      <c r="E22" s="2" t="s">
        <v>3622</v>
      </c>
      <c r="F22" s="2" t="s">
        <v>3599</v>
      </c>
      <c r="G22" s="2" t="s">
        <v>3600</v>
      </c>
      <c r="H22" s="5" t="n">
        <v>3</v>
      </c>
      <c r="I22" s="5" t="s">
        <v>51</v>
      </c>
      <c r="J22" s="5" t="s">
        <v>28</v>
      </c>
      <c r="K22" s="5" t="s">
        <v>30</v>
      </c>
      <c r="L22" s="5" t="n">
        <v>600</v>
      </c>
      <c r="M22" s="5" t="n">
        <v>1800</v>
      </c>
      <c r="N22" s="6" t="n">
        <f aca="false">L22*0.6*H22</f>
        <v>1080</v>
      </c>
      <c r="O22" s="6" t="n">
        <f aca="false">M22-N22</f>
        <v>720</v>
      </c>
      <c r="P22" s="7" t="n">
        <f aca="false">IF(M22=0,0,O22/M22)</f>
        <v>0.4</v>
      </c>
    </row>
    <row r="23" customFormat="false" ht="15" hidden="false" customHeight="false" outlineLevel="0" collapsed="false">
      <c r="A23" s="3" t="n">
        <v>1255</v>
      </c>
      <c r="B23" s="3" t="s">
        <v>152</v>
      </c>
      <c r="C23" s="3" t="s">
        <v>151</v>
      </c>
      <c r="D23" s="3" t="s">
        <v>25</v>
      </c>
      <c r="E23" s="3" t="s">
        <v>3623</v>
      </c>
      <c r="F23" s="3" t="s">
        <v>2379</v>
      </c>
      <c r="G23" s="3" t="s">
        <v>3592</v>
      </c>
      <c r="H23" s="8" t="n">
        <v>2</v>
      </c>
      <c r="I23" s="8" t="s">
        <v>51</v>
      </c>
      <c r="J23" s="8" t="s">
        <v>28</v>
      </c>
      <c r="K23" s="8" t="s">
        <v>30</v>
      </c>
      <c r="L23" s="8" t="n">
        <v>800</v>
      </c>
      <c r="M23" s="8" t="n">
        <v>1600</v>
      </c>
      <c r="N23" s="6" t="n">
        <f aca="false">L23*0.6*H23</f>
        <v>960</v>
      </c>
      <c r="O23" s="6" t="n">
        <f aca="false">M23-N23</f>
        <v>640</v>
      </c>
      <c r="P23" s="7" t="n">
        <f aca="false">IF(M23=0,0,O23/M23)</f>
        <v>0.4</v>
      </c>
    </row>
    <row r="24" customFormat="false" ht="15" hidden="false" customHeight="false" outlineLevel="0" collapsed="false">
      <c r="A24" s="2" t="n">
        <v>1256</v>
      </c>
      <c r="B24" s="2" t="s">
        <v>157</v>
      </c>
      <c r="C24" s="2" t="s">
        <v>156</v>
      </c>
      <c r="D24" s="2" t="s">
        <v>108</v>
      </c>
      <c r="E24" s="2" t="s">
        <v>3624</v>
      </c>
      <c r="F24" s="2" t="s">
        <v>3625</v>
      </c>
      <c r="G24" s="2" t="s">
        <v>3592</v>
      </c>
      <c r="H24" s="5" t="n">
        <v>1</v>
      </c>
      <c r="I24" s="5" t="s">
        <v>51</v>
      </c>
      <c r="J24" s="5" t="s">
        <v>19</v>
      </c>
      <c r="K24" s="5" t="s">
        <v>21</v>
      </c>
      <c r="L24" s="5" t="n">
        <v>1200</v>
      </c>
      <c r="M24" s="5" t="n">
        <v>1200</v>
      </c>
      <c r="N24" s="6" t="n">
        <f aca="false">L24*0.6*H24</f>
        <v>720</v>
      </c>
      <c r="O24" s="6" t="n">
        <f aca="false">M24-N24</f>
        <v>480</v>
      </c>
      <c r="P24" s="7" t="n">
        <f aca="false">IF(M24=0,0,O24/M24)</f>
        <v>0.4</v>
      </c>
    </row>
    <row r="25" customFormat="false" ht="15" hidden="false" customHeight="false" outlineLevel="0" collapsed="false">
      <c r="A25" s="3" t="n">
        <v>1257</v>
      </c>
      <c r="B25" s="3" t="s">
        <v>162</v>
      </c>
      <c r="C25" s="3" t="s">
        <v>161</v>
      </c>
      <c r="D25" s="3" t="s">
        <v>16</v>
      </c>
      <c r="E25" s="3" t="s">
        <v>3626</v>
      </c>
      <c r="F25" s="3" t="s">
        <v>3613</v>
      </c>
      <c r="G25" s="3" t="s">
        <v>3604</v>
      </c>
      <c r="H25" s="8" t="n">
        <v>3</v>
      </c>
      <c r="I25" s="8" t="s">
        <v>97</v>
      </c>
      <c r="J25" s="8" t="s">
        <v>28</v>
      </c>
      <c r="K25" s="8" t="s">
        <v>30</v>
      </c>
      <c r="L25" s="8" t="n">
        <v>250</v>
      </c>
      <c r="M25" s="8" t="n">
        <v>750</v>
      </c>
      <c r="N25" s="6" t="n">
        <f aca="false">L25*0.6*H25</f>
        <v>450</v>
      </c>
      <c r="O25" s="6" t="n">
        <f aca="false">M25-N25</f>
        <v>300</v>
      </c>
      <c r="P25" s="7" t="n">
        <f aca="false">IF(M25=0,0,O25/M25)</f>
        <v>0.4</v>
      </c>
    </row>
    <row r="26" customFormat="false" ht="15" hidden="false" customHeight="false" outlineLevel="0" collapsed="false">
      <c r="A26" s="2" t="n">
        <v>1258</v>
      </c>
      <c r="B26" s="2" t="s">
        <v>167</v>
      </c>
      <c r="C26" s="2" t="s">
        <v>166</v>
      </c>
      <c r="D26" s="2" t="s">
        <v>16</v>
      </c>
      <c r="E26" s="2" t="s">
        <v>3627</v>
      </c>
      <c r="F26" s="2" t="s">
        <v>3628</v>
      </c>
      <c r="G26" s="2" t="s">
        <v>3595</v>
      </c>
      <c r="H26" s="5" t="n">
        <v>1</v>
      </c>
      <c r="I26" s="5" t="s">
        <v>27</v>
      </c>
      <c r="J26" s="5" t="s">
        <v>36</v>
      </c>
      <c r="K26" s="5" t="s">
        <v>170</v>
      </c>
      <c r="L26" s="5" t="n">
        <v>250</v>
      </c>
      <c r="M26" s="5" t="n">
        <v>250</v>
      </c>
      <c r="N26" s="6" t="n">
        <f aca="false">L26*0.6*H26</f>
        <v>150</v>
      </c>
      <c r="O26" s="6" t="n">
        <f aca="false">M26-N26</f>
        <v>100</v>
      </c>
      <c r="P26" s="7" t="n">
        <f aca="false">IF(M26=0,0,O26/M26)</f>
        <v>0.4</v>
      </c>
    </row>
    <row r="27" customFormat="false" ht="15" hidden="false" customHeight="false" outlineLevel="0" collapsed="false">
      <c r="A27" s="3" t="n">
        <v>1259</v>
      </c>
      <c r="B27" s="3" t="s">
        <v>173</v>
      </c>
      <c r="C27" s="3" t="s">
        <v>172</v>
      </c>
      <c r="D27" s="3" t="s">
        <v>49</v>
      </c>
      <c r="E27" s="3" t="s">
        <v>3629</v>
      </c>
      <c r="F27" s="3" t="s">
        <v>1756</v>
      </c>
      <c r="G27" s="3" t="s">
        <v>3595</v>
      </c>
      <c r="H27" s="8" t="n">
        <v>2</v>
      </c>
      <c r="I27" s="8" t="s">
        <v>97</v>
      </c>
      <c r="J27" s="8" t="s">
        <v>19</v>
      </c>
      <c r="K27" s="8" t="s">
        <v>176</v>
      </c>
      <c r="L27" s="8" t="n">
        <v>250</v>
      </c>
      <c r="M27" s="8" t="n">
        <v>500</v>
      </c>
      <c r="N27" s="6" t="n">
        <f aca="false">L27*0.6*H27</f>
        <v>300</v>
      </c>
      <c r="O27" s="6" t="n">
        <f aca="false">M27-N27</f>
        <v>200</v>
      </c>
      <c r="P27" s="7" t="n">
        <f aca="false">IF(M27=0,0,O27/M27)</f>
        <v>0.4</v>
      </c>
    </row>
    <row r="28" customFormat="false" ht="15" hidden="false" customHeight="false" outlineLevel="0" collapsed="false">
      <c r="A28" s="2" t="n">
        <v>1260</v>
      </c>
      <c r="B28" s="2" t="s">
        <v>179</v>
      </c>
      <c r="C28" s="2" t="s">
        <v>178</v>
      </c>
      <c r="D28" s="2" t="s">
        <v>108</v>
      </c>
      <c r="E28" s="2" t="s">
        <v>3630</v>
      </c>
      <c r="F28" s="2" t="s">
        <v>3613</v>
      </c>
      <c r="G28" s="2" t="s">
        <v>3604</v>
      </c>
      <c r="H28" s="5" t="n">
        <v>3</v>
      </c>
      <c r="I28" s="5" t="s">
        <v>18</v>
      </c>
      <c r="J28" s="5" t="s">
        <v>52</v>
      </c>
      <c r="K28" s="5" t="s">
        <v>182</v>
      </c>
      <c r="L28" s="5" t="n">
        <v>1200</v>
      </c>
      <c r="M28" s="5" t="n">
        <v>3600</v>
      </c>
      <c r="N28" s="6" t="n">
        <f aca="false">L28*0.6*H28</f>
        <v>2160</v>
      </c>
      <c r="O28" s="6" t="n">
        <f aca="false">M28-N28</f>
        <v>1440</v>
      </c>
      <c r="P28" s="7" t="n">
        <f aca="false">IF(M28=0,0,O28/M28)</f>
        <v>0.4</v>
      </c>
    </row>
    <row r="29" customFormat="false" ht="15" hidden="false" customHeight="false" outlineLevel="0" collapsed="false">
      <c r="A29" s="3" t="n">
        <v>1261</v>
      </c>
      <c r="B29" s="3" t="s">
        <v>184</v>
      </c>
      <c r="C29" s="3" t="s">
        <v>179</v>
      </c>
      <c r="D29" s="3" t="s">
        <v>108</v>
      </c>
      <c r="E29" s="3" t="s">
        <v>3631</v>
      </c>
      <c r="F29" s="3" t="s">
        <v>3608</v>
      </c>
      <c r="G29" s="3" t="s">
        <v>3604</v>
      </c>
      <c r="H29" s="8" t="n">
        <v>1</v>
      </c>
      <c r="I29" s="8" t="s">
        <v>51</v>
      </c>
      <c r="J29" s="8" t="s">
        <v>121</v>
      </c>
      <c r="K29" s="8" t="s">
        <v>123</v>
      </c>
      <c r="L29" s="8" t="n">
        <v>1200</v>
      </c>
      <c r="M29" s="8" t="n">
        <v>1200</v>
      </c>
      <c r="N29" s="6" t="n">
        <f aca="false">L29*0.6*H29</f>
        <v>720</v>
      </c>
      <c r="O29" s="6" t="n">
        <f aca="false">M29-N29</f>
        <v>480</v>
      </c>
      <c r="P29" s="7" t="n">
        <f aca="false">IF(M29=0,0,O29/M29)</f>
        <v>0.4</v>
      </c>
    </row>
    <row r="30" customFormat="false" ht="15" hidden="false" customHeight="false" outlineLevel="0" collapsed="false">
      <c r="A30" s="2" t="n">
        <v>1262</v>
      </c>
      <c r="B30" s="2" t="s">
        <v>189</v>
      </c>
      <c r="C30" s="2" t="s">
        <v>188</v>
      </c>
      <c r="D30" s="2" t="s">
        <v>108</v>
      </c>
      <c r="E30" s="2" t="s">
        <v>3632</v>
      </c>
      <c r="F30" s="2" t="s">
        <v>1756</v>
      </c>
      <c r="G30" s="2" t="s">
        <v>3595</v>
      </c>
      <c r="H30" s="5" t="n">
        <v>2</v>
      </c>
      <c r="I30" s="5" t="s">
        <v>51</v>
      </c>
      <c r="J30" s="5" t="s">
        <v>36</v>
      </c>
      <c r="K30" s="5" t="s">
        <v>192</v>
      </c>
      <c r="L30" s="5" t="n">
        <v>1200</v>
      </c>
      <c r="M30" s="5" t="n">
        <v>2400</v>
      </c>
      <c r="N30" s="6" t="n">
        <f aca="false">L30*0.6*H30</f>
        <v>1440</v>
      </c>
      <c r="O30" s="6" t="n">
        <f aca="false">M30-N30</f>
        <v>960</v>
      </c>
      <c r="P30" s="7" t="n">
        <f aca="false">IF(M30=0,0,O30/M30)</f>
        <v>0.4</v>
      </c>
    </row>
    <row r="31" customFormat="false" ht="15" hidden="false" customHeight="false" outlineLevel="0" collapsed="false">
      <c r="A31" s="3" t="n">
        <v>1263</v>
      </c>
      <c r="B31" s="3" t="s">
        <v>195</v>
      </c>
      <c r="C31" s="3" t="s">
        <v>194</v>
      </c>
      <c r="D31" s="3" t="s">
        <v>108</v>
      </c>
      <c r="E31" s="3" t="s">
        <v>3633</v>
      </c>
      <c r="F31" s="3" t="s">
        <v>3603</v>
      </c>
      <c r="G31" s="3" t="s">
        <v>3604</v>
      </c>
      <c r="H31" s="8" t="n">
        <v>3</v>
      </c>
      <c r="I31" s="8" t="s">
        <v>18</v>
      </c>
      <c r="J31" s="8" t="s">
        <v>36</v>
      </c>
      <c r="K31" s="8" t="s">
        <v>170</v>
      </c>
      <c r="L31" s="8" t="n">
        <v>1200</v>
      </c>
      <c r="M31" s="8" t="n">
        <v>3600</v>
      </c>
      <c r="N31" s="6" t="n">
        <f aca="false">L31*0.6*H31</f>
        <v>2160</v>
      </c>
      <c r="O31" s="6" t="n">
        <f aca="false">M31-N31</f>
        <v>1440</v>
      </c>
      <c r="P31" s="7" t="n">
        <f aca="false">IF(M31=0,0,O31/M31)</f>
        <v>0.4</v>
      </c>
    </row>
    <row r="32" customFormat="false" ht="15" hidden="false" customHeight="false" outlineLevel="0" collapsed="false">
      <c r="A32" s="2" t="n">
        <v>1264</v>
      </c>
      <c r="B32" s="2" t="s">
        <v>200</v>
      </c>
      <c r="C32" s="2" t="s">
        <v>199</v>
      </c>
      <c r="D32" s="2" t="s">
        <v>25</v>
      </c>
      <c r="E32" s="2" t="s">
        <v>3634</v>
      </c>
      <c r="F32" s="2" t="s">
        <v>3610</v>
      </c>
      <c r="G32" s="2" t="s">
        <v>3600</v>
      </c>
      <c r="H32" s="5" t="n">
        <v>2</v>
      </c>
      <c r="I32" s="5" t="s">
        <v>51</v>
      </c>
      <c r="J32" s="5" t="s">
        <v>52</v>
      </c>
      <c r="K32" s="5" t="s">
        <v>54</v>
      </c>
      <c r="L32" s="5" t="n">
        <v>800</v>
      </c>
      <c r="M32" s="5" t="n">
        <v>1600</v>
      </c>
      <c r="N32" s="6" t="n">
        <f aca="false">L32*0.6*H32</f>
        <v>960</v>
      </c>
      <c r="O32" s="6" t="n">
        <f aca="false">M32-N32</f>
        <v>640</v>
      </c>
      <c r="P32" s="7" t="n">
        <f aca="false">IF(M32=0,0,O32/M32)</f>
        <v>0.4</v>
      </c>
    </row>
    <row r="33" customFormat="false" ht="15" hidden="false" customHeight="false" outlineLevel="0" collapsed="false">
      <c r="A33" s="3" t="n">
        <v>1265</v>
      </c>
      <c r="B33" s="3" t="s">
        <v>205</v>
      </c>
      <c r="C33" s="3" t="s">
        <v>204</v>
      </c>
      <c r="D33" s="3" t="s">
        <v>34</v>
      </c>
      <c r="E33" s="3" t="s">
        <v>3635</v>
      </c>
      <c r="F33" s="3" t="s">
        <v>3606</v>
      </c>
      <c r="G33" s="3" t="s">
        <v>3600</v>
      </c>
      <c r="H33" s="8" t="n">
        <v>1</v>
      </c>
      <c r="I33" s="8" t="s">
        <v>51</v>
      </c>
      <c r="J33" s="8" t="s">
        <v>78</v>
      </c>
      <c r="K33" s="8" t="s">
        <v>86</v>
      </c>
      <c r="L33" s="8" t="n">
        <v>300</v>
      </c>
      <c r="M33" s="8" t="n">
        <v>300</v>
      </c>
      <c r="N33" s="6" t="n">
        <f aca="false">L33*0.6*H33</f>
        <v>180</v>
      </c>
      <c r="O33" s="6" t="n">
        <f aca="false">M33-N33</f>
        <v>120</v>
      </c>
      <c r="P33" s="7" t="n">
        <f aca="false">IF(M33=0,0,O33/M33)</f>
        <v>0.4</v>
      </c>
    </row>
    <row r="34" customFormat="false" ht="15" hidden="false" customHeight="false" outlineLevel="0" collapsed="false">
      <c r="A34" s="2" t="n">
        <v>1266</v>
      </c>
      <c r="B34" s="2" t="s">
        <v>210</v>
      </c>
      <c r="C34" s="2" t="s">
        <v>209</v>
      </c>
      <c r="D34" s="2" t="s">
        <v>34</v>
      </c>
      <c r="E34" s="2" t="s">
        <v>3636</v>
      </c>
      <c r="F34" s="2" t="s">
        <v>3610</v>
      </c>
      <c r="G34" s="2" t="s">
        <v>3600</v>
      </c>
      <c r="H34" s="5" t="n">
        <v>2</v>
      </c>
      <c r="I34" s="5" t="s">
        <v>27</v>
      </c>
      <c r="J34" s="5" t="s">
        <v>43</v>
      </c>
      <c r="K34" s="5" t="s">
        <v>67</v>
      </c>
      <c r="L34" s="5" t="n">
        <v>300</v>
      </c>
      <c r="M34" s="5" t="n">
        <v>600</v>
      </c>
      <c r="N34" s="6" t="n">
        <f aca="false">L34*0.6*H34</f>
        <v>360</v>
      </c>
      <c r="O34" s="6" t="n">
        <f aca="false">M34-N34</f>
        <v>240</v>
      </c>
      <c r="P34" s="7" t="n">
        <f aca="false">IF(M34=0,0,O34/M34)</f>
        <v>0.4</v>
      </c>
    </row>
    <row r="35" customFormat="false" ht="15" hidden="false" customHeight="false" outlineLevel="0" collapsed="false">
      <c r="A35" s="3" t="n">
        <v>1267</v>
      </c>
      <c r="B35" s="3" t="s">
        <v>215</v>
      </c>
      <c r="C35" s="3" t="s">
        <v>214</v>
      </c>
      <c r="D35" s="3" t="s">
        <v>108</v>
      </c>
      <c r="E35" s="3" t="s">
        <v>3637</v>
      </c>
      <c r="F35" s="3" t="s">
        <v>1756</v>
      </c>
      <c r="G35" s="3" t="s">
        <v>3595</v>
      </c>
      <c r="H35" s="8" t="n">
        <v>2</v>
      </c>
      <c r="I35" s="8" t="s">
        <v>97</v>
      </c>
      <c r="J35" s="8" t="s">
        <v>121</v>
      </c>
      <c r="K35" s="8" t="s">
        <v>123</v>
      </c>
      <c r="L35" s="8" t="n">
        <v>1200</v>
      </c>
      <c r="M35" s="8" t="n">
        <v>2400</v>
      </c>
      <c r="N35" s="6" t="n">
        <f aca="false">L35*0.6*H35</f>
        <v>1440</v>
      </c>
      <c r="O35" s="6" t="n">
        <f aca="false">M35-N35</f>
        <v>960</v>
      </c>
      <c r="P35" s="7" t="n">
        <f aca="false">IF(M35=0,0,O35/M35)</f>
        <v>0.4</v>
      </c>
    </row>
    <row r="36" customFormat="false" ht="15" hidden="false" customHeight="false" outlineLevel="0" collapsed="false">
      <c r="A36" s="2" t="n">
        <v>1268</v>
      </c>
      <c r="B36" s="2" t="s">
        <v>220</v>
      </c>
      <c r="C36" s="2" t="s">
        <v>219</v>
      </c>
      <c r="D36" s="2" t="s">
        <v>49</v>
      </c>
      <c r="E36" s="2" t="s">
        <v>3638</v>
      </c>
      <c r="F36" s="2" t="s">
        <v>3628</v>
      </c>
      <c r="G36" s="2" t="s">
        <v>3595</v>
      </c>
      <c r="H36" s="5" t="n">
        <v>2</v>
      </c>
      <c r="I36" s="5" t="s">
        <v>18</v>
      </c>
      <c r="J36" s="5" t="s">
        <v>59</v>
      </c>
      <c r="K36" s="5" t="s">
        <v>99</v>
      </c>
      <c r="L36" s="5" t="n">
        <v>250</v>
      </c>
      <c r="M36" s="5" t="n">
        <v>500</v>
      </c>
      <c r="N36" s="6" t="n">
        <f aca="false">L36*0.6*H36</f>
        <v>300</v>
      </c>
      <c r="O36" s="6" t="n">
        <f aca="false">M36-N36</f>
        <v>200</v>
      </c>
      <c r="P36" s="7" t="n">
        <f aca="false">IF(M36=0,0,O36/M36)</f>
        <v>0.4</v>
      </c>
    </row>
    <row r="37" customFormat="false" ht="15" hidden="false" customHeight="false" outlineLevel="0" collapsed="false">
      <c r="A37" s="3" t="n">
        <v>1269</v>
      </c>
      <c r="B37" s="3" t="s">
        <v>225</v>
      </c>
      <c r="C37" s="3" t="s">
        <v>224</v>
      </c>
      <c r="D37" s="3" t="s">
        <v>147</v>
      </c>
      <c r="E37" s="3" t="s">
        <v>3639</v>
      </c>
      <c r="F37" s="3" t="s">
        <v>3610</v>
      </c>
      <c r="G37" s="3" t="s">
        <v>3600</v>
      </c>
      <c r="H37" s="8" t="n">
        <v>1</v>
      </c>
      <c r="I37" s="8" t="s">
        <v>18</v>
      </c>
      <c r="J37" s="8" t="s">
        <v>43</v>
      </c>
      <c r="K37" s="8" t="s">
        <v>45</v>
      </c>
      <c r="L37" s="8" t="n">
        <v>600</v>
      </c>
      <c r="M37" s="8" t="n">
        <v>600</v>
      </c>
      <c r="N37" s="6" t="n">
        <f aca="false">L37*0.6*H37</f>
        <v>360</v>
      </c>
      <c r="O37" s="6" t="n">
        <f aca="false">M37-N37</f>
        <v>240</v>
      </c>
      <c r="P37" s="7" t="n">
        <f aca="false">IF(M37=0,0,O37/M37)</f>
        <v>0.4</v>
      </c>
    </row>
    <row r="38" customFormat="false" ht="15" hidden="false" customHeight="false" outlineLevel="0" collapsed="false">
      <c r="A38" s="2" t="n">
        <v>1270</v>
      </c>
      <c r="B38" s="2" t="s">
        <v>230</v>
      </c>
      <c r="C38" s="2" t="s">
        <v>229</v>
      </c>
      <c r="D38" s="2" t="s">
        <v>108</v>
      </c>
      <c r="E38" s="2" t="s">
        <v>3640</v>
      </c>
      <c r="F38" s="2" t="s">
        <v>3613</v>
      </c>
      <c r="G38" s="2" t="s">
        <v>3604</v>
      </c>
      <c r="H38" s="5" t="n">
        <v>2</v>
      </c>
      <c r="I38" s="5" t="s">
        <v>51</v>
      </c>
      <c r="J38" s="5" t="s">
        <v>36</v>
      </c>
      <c r="K38" s="5" t="s">
        <v>170</v>
      </c>
      <c r="L38" s="5" t="n">
        <v>1200</v>
      </c>
      <c r="M38" s="5" t="n">
        <v>2400</v>
      </c>
      <c r="N38" s="6" t="n">
        <f aca="false">L38*0.6*H38</f>
        <v>1440</v>
      </c>
      <c r="O38" s="6" t="n">
        <f aca="false">M38-N38</f>
        <v>960</v>
      </c>
      <c r="P38" s="7" t="n">
        <f aca="false">IF(M38=0,0,O38/M38)</f>
        <v>0.4</v>
      </c>
    </row>
    <row r="39" customFormat="false" ht="15" hidden="false" customHeight="false" outlineLevel="0" collapsed="false">
      <c r="A39" s="3" t="n">
        <v>1271</v>
      </c>
      <c r="B39" s="3" t="s">
        <v>235</v>
      </c>
      <c r="C39" s="3" t="s">
        <v>234</v>
      </c>
      <c r="D39" s="3" t="s">
        <v>49</v>
      </c>
      <c r="E39" s="3" t="s">
        <v>3641</v>
      </c>
      <c r="F39" s="3" t="s">
        <v>2379</v>
      </c>
      <c r="G39" s="3" t="s">
        <v>3592</v>
      </c>
      <c r="H39" s="8" t="n">
        <v>1</v>
      </c>
      <c r="I39" s="8" t="s">
        <v>97</v>
      </c>
      <c r="J39" s="8" t="s">
        <v>19</v>
      </c>
      <c r="K39" s="8" t="s">
        <v>21</v>
      </c>
      <c r="L39" s="8" t="n">
        <v>250</v>
      </c>
      <c r="M39" s="8" t="n">
        <v>250</v>
      </c>
      <c r="N39" s="6" t="n">
        <f aca="false">L39*0.6*H39</f>
        <v>150</v>
      </c>
      <c r="O39" s="6" t="n">
        <f aca="false">M39-N39</f>
        <v>100</v>
      </c>
      <c r="P39" s="7" t="n">
        <f aca="false">IF(M39=0,0,O39/M39)</f>
        <v>0.4</v>
      </c>
    </row>
    <row r="40" customFormat="false" ht="15" hidden="false" customHeight="false" outlineLevel="0" collapsed="false">
      <c r="A40" s="2" t="n">
        <v>1272</v>
      </c>
      <c r="B40" s="2" t="s">
        <v>240</v>
      </c>
      <c r="C40" s="2" t="s">
        <v>239</v>
      </c>
      <c r="D40" s="2" t="s">
        <v>16</v>
      </c>
      <c r="E40" s="2" t="s">
        <v>3642</v>
      </c>
      <c r="F40" s="2" t="s">
        <v>3628</v>
      </c>
      <c r="G40" s="2" t="s">
        <v>3595</v>
      </c>
      <c r="H40" s="5" t="n">
        <v>3</v>
      </c>
      <c r="I40" s="5" t="s">
        <v>51</v>
      </c>
      <c r="J40" s="5" t="s">
        <v>43</v>
      </c>
      <c r="K40" s="5" t="s">
        <v>67</v>
      </c>
      <c r="L40" s="5" t="n">
        <v>250</v>
      </c>
      <c r="M40" s="5" t="n">
        <v>750</v>
      </c>
      <c r="N40" s="6" t="n">
        <f aca="false">L40*0.6*H40</f>
        <v>450</v>
      </c>
      <c r="O40" s="6" t="n">
        <f aca="false">M40-N40</f>
        <v>300</v>
      </c>
      <c r="P40" s="7" t="n">
        <f aca="false">IF(M40=0,0,O40/M40)</f>
        <v>0.4</v>
      </c>
    </row>
    <row r="41" customFormat="false" ht="15" hidden="false" customHeight="false" outlineLevel="0" collapsed="false">
      <c r="A41" s="3" t="n">
        <v>1273</v>
      </c>
      <c r="B41" s="3" t="s">
        <v>245</v>
      </c>
      <c r="C41" s="3" t="s">
        <v>244</v>
      </c>
      <c r="D41" s="3" t="s">
        <v>25</v>
      </c>
      <c r="E41" s="3" t="s">
        <v>3643</v>
      </c>
      <c r="F41" s="3" t="s">
        <v>3591</v>
      </c>
      <c r="G41" s="3" t="s">
        <v>3592</v>
      </c>
      <c r="H41" s="8" t="n">
        <v>3</v>
      </c>
      <c r="I41" s="8" t="s">
        <v>51</v>
      </c>
      <c r="J41" s="8" t="s">
        <v>43</v>
      </c>
      <c r="K41" s="8" t="s">
        <v>111</v>
      </c>
      <c r="L41" s="8" t="n">
        <v>800</v>
      </c>
      <c r="M41" s="8" t="n">
        <v>2400</v>
      </c>
      <c r="N41" s="6" t="n">
        <f aca="false">L41*0.6*H41</f>
        <v>1440</v>
      </c>
      <c r="O41" s="6" t="n">
        <f aca="false">M41-N41</f>
        <v>960</v>
      </c>
      <c r="P41" s="7" t="n">
        <f aca="false">IF(M41=0,0,O41/M41)</f>
        <v>0.4</v>
      </c>
    </row>
    <row r="42" customFormat="false" ht="15" hidden="false" customHeight="false" outlineLevel="0" collapsed="false">
      <c r="A42" s="2" t="n">
        <v>1274</v>
      </c>
      <c r="B42" s="2" t="s">
        <v>250</v>
      </c>
      <c r="C42" s="2" t="s">
        <v>249</v>
      </c>
      <c r="D42" s="2" t="s">
        <v>108</v>
      </c>
      <c r="E42" s="2" t="s">
        <v>3644</v>
      </c>
      <c r="F42" s="2" t="s">
        <v>3606</v>
      </c>
      <c r="G42" s="2" t="s">
        <v>3600</v>
      </c>
      <c r="H42" s="5" t="n">
        <v>1</v>
      </c>
      <c r="I42" s="5" t="s">
        <v>51</v>
      </c>
      <c r="J42" s="5" t="s">
        <v>52</v>
      </c>
      <c r="K42" s="5" t="s">
        <v>54</v>
      </c>
      <c r="L42" s="5" t="n">
        <v>1200</v>
      </c>
      <c r="M42" s="5" t="n">
        <v>1200</v>
      </c>
      <c r="N42" s="6" t="n">
        <f aca="false">L42*0.6*H42</f>
        <v>720</v>
      </c>
      <c r="O42" s="6" t="n">
        <f aca="false">M42-N42</f>
        <v>480</v>
      </c>
      <c r="P42" s="7" t="n">
        <f aca="false">IF(M42=0,0,O42/M42)</f>
        <v>0.4</v>
      </c>
    </row>
    <row r="43" customFormat="false" ht="15" hidden="false" customHeight="false" outlineLevel="0" collapsed="false">
      <c r="A43" s="3" t="n">
        <v>1275</v>
      </c>
      <c r="B43" s="3" t="s">
        <v>255</v>
      </c>
      <c r="C43" s="3" t="s">
        <v>254</v>
      </c>
      <c r="D43" s="3" t="s">
        <v>34</v>
      </c>
      <c r="E43" s="3" t="s">
        <v>3645</v>
      </c>
      <c r="F43" s="3" t="s">
        <v>3628</v>
      </c>
      <c r="G43" s="3" t="s">
        <v>3595</v>
      </c>
      <c r="H43" s="8" t="n">
        <v>2</v>
      </c>
      <c r="I43" s="8" t="s">
        <v>51</v>
      </c>
      <c r="J43" s="8" t="s">
        <v>78</v>
      </c>
      <c r="K43" s="8" t="s">
        <v>80</v>
      </c>
      <c r="L43" s="8" t="n">
        <v>300</v>
      </c>
      <c r="M43" s="8" t="n">
        <v>600</v>
      </c>
      <c r="N43" s="6" t="n">
        <f aca="false">L43*0.6*H43</f>
        <v>360</v>
      </c>
      <c r="O43" s="6" t="n">
        <f aca="false">M43-N43</f>
        <v>240</v>
      </c>
      <c r="P43" s="7" t="n">
        <f aca="false">IF(M43=0,0,O43/M43)</f>
        <v>0.4</v>
      </c>
    </row>
    <row r="44" customFormat="false" ht="15" hidden="false" customHeight="false" outlineLevel="0" collapsed="false">
      <c r="A44" s="2" t="n">
        <v>1276</v>
      </c>
      <c r="B44" s="2" t="s">
        <v>260</v>
      </c>
      <c r="C44" s="2" t="s">
        <v>259</v>
      </c>
      <c r="D44" s="2" t="s">
        <v>108</v>
      </c>
      <c r="E44" s="2" t="s">
        <v>3646</v>
      </c>
      <c r="F44" s="2" t="s">
        <v>3599</v>
      </c>
      <c r="G44" s="2" t="s">
        <v>3600</v>
      </c>
      <c r="H44" s="5" t="n">
        <v>1</v>
      </c>
      <c r="I44" s="5" t="s">
        <v>18</v>
      </c>
      <c r="J44" s="5" t="s">
        <v>28</v>
      </c>
      <c r="K44" s="5" t="s">
        <v>30</v>
      </c>
      <c r="L44" s="5" t="n">
        <v>1200</v>
      </c>
      <c r="M44" s="5" t="n">
        <v>1200</v>
      </c>
      <c r="N44" s="6" t="n">
        <f aca="false">L44*0.6*H44</f>
        <v>720</v>
      </c>
      <c r="O44" s="6" t="n">
        <f aca="false">M44-N44</f>
        <v>480</v>
      </c>
      <c r="P44" s="7" t="n">
        <f aca="false">IF(M44=0,0,O44/M44)</f>
        <v>0.4</v>
      </c>
    </row>
    <row r="45" customFormat="false" ht="15" hidden="false" customHeight="false" outlineLevel="0" collapsed="false">
      <c r="A45" s="3" t="n">
        <v>1277</v>
      </c>
      <c r="B45" s="3" t="s">
        <v>265</v>
      </c>
      <c r="C45" s="3" t="s">
        <v>264</v>
      </c>
      <c r="D45" s="3" t="s">
        <v>108</v>
      </c>
      <c r="E45" s="3" t="s">
        <v>3647</v>
      </c>
      <c r="F45" s="3" t="s">
        <v>3610</v>
      </c>
      <c r="G45" s="3" t="s">
        <v>3600</v>
      </c>
      <c r="H45" s="8" t="n">
        <v>1</v>
      </c>
      <c r="I45" s="8" t="s">
        <v>27</v>
      </c>
      <c r="J45" s="8" t="s">
        <v>59</v>
      </c>
      <c r="K45" s="8" t="s">
        <v>61</v>
      </c>
      <c r="L45" s="8" t="n">
        <v>1200</v>
      </c>
      <c r="M45" s="8" t="n">
        <v>1200</v>
      </c>
      <c r="N45" s="6" t="n">
        <f aca="false">L45*0.6*H45</f>
        <v>720</v>
      </c>
      <c r="O45" s="6" t="n">
        <f aca="false">M45-N45</f>
        <v>480</v>
      </c>
      <c r="P45" s="7" t="n">
        <f aca="false">IF(M45=0,0,O45/M45)</f>
        <v>0.4</v>
      </c>
    </row>
    <row r="46" customFormat="false" ht="15" hidden="false" customHeight="false" outlineLevel="0" collapsed="false">
      <c r="A46" s="2" t="n">
        <v>1278</v>
      </c>
      <c r="B46" s="2" t="s">
        <v>270</v>
      </c>
      <c r="C46" s="2" t="s">
        <v>269</v>
      </c>
      <c r="D46" s="2" t="s">
        <v>108</v>
      </c>
      <c r="E46" s="2" t="s">
        <v>3648</v>
      </c>
      <c r="F46" s="2" t="s">
        <v>3628</v>
      </c>
      <c r="G46" s="2" t="s">
        <v>3595</v>
      </c>
      <c r="H46" s="5" t="n">
        <v>2</v>
      </c>
      <c r="I46" s="5" t="s">
        <v>18</v>
      </c>
      <c r="J46" s="5" t="s">
        <v>36</v>
      </c>
      <c r="K46" s="5" t="s">
        <v>170</v>
      </c>
      <c r="L46" s="5" t="n">
        <v>1200</v>
      </c>
      <c r="M46" s="5" t="n">
        <v>2400</v>
      </c>
      <c r="N46" s="6" t="n">
        <f aca="false">L46*0.6*H46</f>
        <v>1440</v>
      </c>
      <c r="O46" s="6" t="n">
        <f aca="false">M46-N46</f>
        <v>960</v>
      </c>
      <c r="P46" s="7" t="n">
        <f aca="false">IF(M46=0,0,O46/M46)</f>
        <v>0.4</v>
      </c>
    </row>
    <row r="47" customFormat="false" ht="15" hidden="false" customHeight="false" outlineLevel="0" collapsed="false">
      <c r="A47" s="3" t="n">
        <v>1279</v>
      </c>
      <c r="B47" s="3" t="s">
        <v>275</v>
      </c>
      <c r="C47" s="3" t="s">
        <v>274</v>
      </c>
      <c r="D47" s="3" t="s">
        <v>16</v>
      </c>
      <c r="E47" s="3" t="s">
        <v>3649</v>
      </c>
      <c r="F47" s="3" t="s">
        <v>3608</v>
      </c>
      <c r="G47" s="3" t="s">
        <v>3604</v>
      </c>
      <c r="H47" s="8" t="n">
        <v>1</v>
      </c>
      <c r="I47" s="8" t="s">
        <v>18</v>
      </c>
      <c r="J47" s="8" t="s">
        <v>43</v>
      </c>
      <c r="K47" s="8" t="s">
        <v>45</v>
      </c>
      <c r="L47" s="8" t="n">
        <v>250</v>
      </c>
      <c r="M47" s="8" t="n">
        <v>250</v>
      </c>
      <c r="N47" s="6" t="n">
        <f aca="false">L47*0.6*H47</f>
        <v>150</v>
      </c>
      <c r="O47" s="6" t="n">
        <f aca="false">M47-N47</f>
        <v>100</v>
      </c>
      <c r="P47" s="7" t="n">
        <f aca="false">IF(M47=0,0,O47/M47)</f>
        <v>0.4</v>
      </c>
    </row>
    <row r="48" customFormat="false" ht="15" hidden="false" customHeight="false" outlineLevel="0" collapsed="false">
      <c r="A48" s="2" t="n">
        <v>1280</v>
      </c>
      <c r="B48" s="2" t="s">
        <v>179</v>
      </c>
      <c r="C48" s="2" t="s">
        <v>279</v>
      </c>
      <c r="D48" s="2" t="s">
        <v>108</v>
      </c>
      <c r="E48" s="2" t="s">
        <v>3650</v>
      </c>
      <c r="F48" s="2" t="s">
        <v>3591</v>
      </c>
      <c r="G48" s="2" t="s">
        <v>3592</v>
      </c>
      <c r="H48" s="5" t="n">
        <v>2</v>
      </c>
      <c r="I48" s="5" t="s">
        <v>18</v>
      </c>
      <c r="J48" s="5" t="s">
        <v>52</v>
      </c>
      <c r="K48" s="5" t="s">
        <v>182</v>
      </c>
      <c r="L48" s="5" t="n">
        <v>1200</v>
      </c>
      <c r="M48" s="5" t="n">
        <v>2400</v>
      </c>
      <c r="N48" s="6" t="n">
        <f aca="false">L48*0.6*H48</f>
        <v>1440</v>
      </c>
      <c r="O48" s="6" t="n">
        <f aca="false">M48-N48</f>
        <v>960</v>
      </c>
      <c r="P48" s="7" t="n">
        <f aca="false">IF(M48=0,0,O48/M48)</f>
        <v>0.4</v>
      </c>
    </row>
    <row r="49" customFormat="false" ht="15" hidden="false" customHeight="false" outlineLevel="0" collapsed="false">
      <c r="A49" s="3" t="n">
        <v>1281</v>
      </c>
      <c r="B49" s="3" t="s">
        <v>284</v>
      </c>
      <c r="C49" s="3" t="s">
        <v>283</v>
      </c>
      <c r="D49" s="3" t="s">
        <v>49</v>
      </c>
      <c r="E49" s="3" t="s">
        <v>3651</v>
      </c>
      <c r="F49" s="3" t="s">
        <v>1756</v>
      </c>
      <c r="G49" s="3" t="s">
        <v>3595</v>
      </c>
      <c r="H49" s="8" t="n">
        <v>2</v>
      </c>
      <c r="I49" s="8" t="s">
        <v>18</v>
      </c>
      <c r="J49" s="8" t="s">
        <v>59</v>
      </c>
      <c r="K49" s="8" t="s">
        <v>99</v>
      </c>
      <c r="L49" s="8" t="n">
        <v>250</v>
      </c>
      <c r="M49" s="8" t="n">
        <v>500</v>
      </c>
      <c r="N49" s="6" t="n">
        <f aca="false">L49*0.6*H49</f>
        <v>300</v>
      </c>
      <c r="O49" s="6" t="n">
        <f aca="false">M49-N49</f>
        <v>200</v>
      </c>
      <c r="P49" s="7" t="n">
        <f aca="false">IF(M49=0,0,O49/M49)</f>
        <v>0.4</v>
      </c>
    </row>
    <row r="50" customFormat="false" ht="15" hidden="false" customHeight="false" outlineLevel="0" collapsed="false">
      <c r="A50" s="2" t="n">
        <v>1282</v>
      </c>
      <c r="B50" s="2" t="s">
        <v>289</v>
      </c>
      <c r="C50" s="2" t="s">
        <v>288</v>
      </c>
      <c r="D50" s="2" t="s">
        <v>147</v>
      </c>
      <c r="E50" s="2" t="s">
        <v>3652</v>
      </c>
      <c r="F50" s="2" t="s">
        <v>3608</v>
      </c>
      <c r="G50" s="2" t="s">
        <v>3604</v>
      </c>
      <c r="H50" s="5" t="n">
        <v>3</v>
      </c>
      <c r="I50" s="5" t="s">
        <v>18</v>
      </c>
      <c r="J50" s="5" t="s">
        <v>59</v>
      </c>
      <c r="K50" s="5" t="s">
        <v>292</v>
      </c>
      <c r="L50" s="5" t="n">
        <v>600</v>
      </c>
      <c r="M50" s="5" t="n">
        <v>1800</v>
      </c>
      <c r="N50" s="6" t="n">
        <f aca="false">L50*0.6*H50</f>
        <v>1080</v>
      </c>
      <c r="O50" s="6" t="n">
        <f aca="false">M50-N50</f>
        <v>720</v>
      </c>
      <c r="P50" s="7" t="n">
        <f aca="false">IF(M50=0,0,O50/M50)</f>
        <v>0.4</v>
      </c>
    </row>
    <row r="51" customFormat="false" ht="15" hidden="false" customHeight="false" outlineLevel="0" collapsed="false">
      <c r="A51" s="3" t="n">
        <v>1283</v>
      </c>
      <c r="B51" s="3" t="s">
        <v>295</v>
      </c>
      <c r="C51" s="3" t="s">
        <v>294</v>
      </c>
      <c r="D51" s="3" t="s">
        <v>49</v>
      </c>
      <c r="E51" s="3" t="s">
        <v>3653</v>
      </c>
      <c r="F51" s="3" t="s">
        <v>3603</v>
      </c>
      <c r="G51" s="3" t="s">
        <v>3604</v>
      </c>
      <c r="H51" s="8" t="n">
        <v>1</v>
      </c>
      <c r="I51" s="8" t="s">
        <v>18</v>
      </c>
      <c r="J51" s="8" t="s">
        <v>36</v>
      </c>
      <c r="K51" s="8" t="s">
        <v>170</v>
      </c>
      <c r="L51" s="8" t="n">
        <v>250</v>
      </c>
      <c r="M51" s="8" t="n">
        <v>250</v>
      </c>
      <c r="N51" s="6" t="n">
        <f aca="false">L51*0.6*H51</f>
        <v>150</v>
      </c>
      <c r="O51" s="6" t="n">
        <f aca="false">M51-N51</f>
        <v>100</v>
      </c>
      <c r="P51" s="7" t="n">
        <f aca="false">IF(M51=0,0,O51/M51)</f>
        <v>0.4</v>
      </c>
    </row>
    <row r="52" customFormat="false" ht="15" hidden="false" customHeight="false" outlineLevel="0" collapsed="false">
      <c r="A52" s="2" t="n">
        <v>1284</v>
      </c>
      <c r="B52" s="2" t="s">
        <v>300</v>
      </c>
      <c r="C52" s="2" t="s">
        <v>299</v>
      </c>
      <c r="D52" s="2" t="s">
        <v>25</v>
      </c>
      <c r="E52" s="2" t="s">
        <v>3654</v>
      </c>
      <c r="F52" s="2" t="s">
        <v>3608</v>
      </c>
      <c r="G52" s="2" t="s">
        <v>3604</v>
      </c>
      <c r="H52" s="5" t="n">
        <v>2</v>
      </c>
      <c r="I52" s="5" t="s">
        <v>18</v>
      </c>
      <c r="J52" s="5" t="s">
        <v>43</v>
      </c>
      <c r="K52" s="5" t="s">
        <v>45</v>
      </c>
      <c r="L52" s="5" t="n">
        <v>800</v>
      </c>
      <c r="M52" s="5" t="n">
        <v>1600</v>
      </c>
      <c r="N52" s="6" t="n">
        <f aca="false">L52*0.6*H52</f>
        <v>960</v>
      </c>
      <c r="O52" s="6" t="n">
        <f aca="false">M52-N52</f>
        <v>640</v>
      </c>
      <c r="P52" s="7" t="n">
        <f aca="false">IF(M52=0,0,O52/M52)</f>
        <v>0.4</v>
      </c>
    </row>
    <row r="53" customFormat="false" ht="15" hidden="false" customHeight="false" outlineLevel="0" collapsed="false">
      <c r="A53" s="3" t="n">
        <v>1285</v>
      </c>
      <c r="B53" s="3" t="s">
        <v>305</v>
      </c>
      <c r="C53" s="3" t="s">
        <v>304</v>
      </c>
      <c r="D53" s="3" t="s">
        <v>16</v>
      </c>
      <c r="E53" s="3" t="s">
        <v>3655</v>
      </c>
      <c r="F53" s="3" t="s">
        <v>3613</v>
      </c>
      <c r="G53" s="3" t="s">
        <v>3604</v>
      </c>
      <c r="H53" s="8" t="n">
        <v>3</v>
      </c>
      <c r="I53" s="8" t="s">
        <v>51</v>
      </c>
      <c r="J53" s="8" t="s">
        <v>36</v>
      </c>
      <c r="K53" s="8" t="s">
        <v>38</v>
      </c>
      <c r="L53" s="8" t="n">
        <v>250</v>
      </c>
      <c r="M53" s="8" t="n">
        <v>750</v>
      </c>
      <c r="N53" s="6" t="n">
        <f aca="false">L53*0.6*H53</f>
        <v>450</v>
      </c>
      <c r="O53" s="6" t="n">
        <f aca="false">M53-N53</f>
        <v>300</v>
      </c>
      <c r="P53" s="7" t="n">
        <f aca="false">IF(M53=0,0,O53/M53)</f>
        <v>0.4</v>
      </c>
    </row>
    <row r="54" customFormat="false" ht="15" hidden="false" customHeight="false" outlineLevel="0" collapsed="false">
      <c r="A54" s="2" t="n">
        <v>1286</v>
      </c>
      <c r="B54" s="2" t="s">
        <v>310</v>
      </c>
      <c r="C54" s="2" t="s">
        <v>309</v>
      </c>
      <c r="D54" s="2" t="s">
        <v>147</v>
      </c>
      <c r="E54" s="2" t="s">
        <v>3656</v>
      </c>
      <c r="F54" s="2" t="s">
        <v>3599</v>
      </c>
      <c r="G54" s="2" t="s">
        <v>3600</v>
      </c>
      <c r="H54" s="5" t="n">
        <v>2</v>
      </c>
      <c r="I54" s="5" t="s">
        <v>51</v>
      </c>
      <c r="J54" s="5" t="s">
        <v>36</v>
      </c>
      <c r="K54" s="5" t="s">
        <v>170</v>
      </c>
      <c r="L54" s="5" t="n">
        <v>600</v>
      </c>
      <c r="M54" s="5" t="n">
        <v>1200</v>
      </c>
      <c r="N54" s="6" t="n">
        <f aca="false">L54*0.6*H54</f>
        <v>720</v>
      </c>
      <c r="O54" s="6" t="n">
        <f aca="false">M54-N54</f>
        <v>480</v>
      </c>
      <c r="P54" s="7" t="n">
        <f aca="false">IF(M54=0,0,O54/M54)</f>
        <v>0.4</v>
      </c>
    </row>
    <row r="55" customFormat="false" ht="15" hidden="false" customHeight="false" outlineLevel="0" collapsed="false">
      <c r="A55" s="3" t="n">
        <v>1287</v>
      </c>
      <c r="B55" s="3" t="s">
        <v>314</v>
      </c>
      <c r="C55" s="3" t="s">
        <v>224</v>
      </c>
      <c r="D55" s="3" t="s">
        <v>25</v>
      </c>
      <c r="E55" s="3" t="s">
        <v>3657</v>
      </c>
      <c r="F55" s="3" t="s">
        <v>1756</v>
      </c>
      <c r="G55" s="3" t="s">
        <v>3595</v>
      </c>
      <c r="H55" s="8" t="n">
        <v>3</v>
      </c>
      <c r="I55" s="8" t="s">
        <v>51</v>
      </c>
      <c r="J55" s="8" t="s">
        <v>121</v>
      </c>
      <c r="K55" s="8" t="s">
        <v>317</v>
      </c>
      <c r="L55" s="8" t="n">
        <v>800</v>
      </c>
      <c r="M55" s="8" t="n">
        <v>2400</v>
      </c>
      <c r="N55" s="6" t="n">
        <f aca="false">L55*0.6*H55</f>
        <v>1440</v>
      </c>
      <c r="O55" s="6" t="n">
        <f aca="false">M55-N55</f>
        <v>960</v>
      </c>
      <c r="P55" s="7" t="n">
        <f aca="false">IF(M55=0,0,O55/M55)</f>
        <v>0.4</v>
      </c>
    </row>
    <row r="56" customFormat="false" ht="15" hidden="false" customHeight="false" outlineLevel="0" collapsed="false">
      <c r="A56" s="2" t="n">
        <v>1288</v>
      </c>
      <c r="B56" s="2" t="s">
        <v>320</v>
      </c>
      <c r="C56" s="2" t="s">
        <v>319</v>
      </c>
      <c r="D56" s="2" t="s">
        <v>16</v>
      </c>
      <c r="E56" s="2" t="s">
        <v>3658</v>
      </c>
      <c r="F56" s="2" t="s">
        <v>3606</v>
      </c>
      <c r="G56" s="2" t="s">
        <v>3600</v>
      </c>
      <c r="H56" s="5" t="n">
        <v>2</v>
      </c>
      <c r="I56" s="5" t="s">
        <v>51</v>
      </c>
      <c r="J56" s="5" t="s">
        <v>43</v>
      </c>
      <c r="K56" s="5" t="s">
        <v>45</v>
      </c>
      <c r="L56" s="5" t="n">
        <v>250</v>
      </c>
      <c r="M56" s="5" t="n">
        <v>500</v>
      </c>
      <c r="N56" s="6" t="n">
        <f aca="false">L56*0.6*H56</f>
        <v>300</v>
      </c>
      <c r="O56" s="6" t="n">
        <f aca="false">M56-N56</f>
        <v>200</v>
      </c>
      <c r="P56" s="7" t="n">
        <f aca="false">IF(M56=0,0,O56/M56)</f>
        <v>0.4</v>
      </c>
    </row>
    <row r="57" customFormat="false" ht="15" hidden="false" customHeight="false" outlineLevel="0" collapsed="false">
      <c r="A57" s="3" t="n">
        <v>1289</v>
      </c>
      <c r="B57" s="3" t="s">
        <v>325</v>
      </c>
      <c r="C57" s="3" t="s">
        <v>324</v>
      </c>
      <c r="D57" s="3" t="s">
        <v>108</v>
      </c>
      <c r="E57" s="3" t="s">
        <v>3659</v>
      </c>
      <c r="F57" s="3" t="s">
        <v>3608</v>
      </c>
      <c r="G57" s="3" t="s">
        <v>3604</v>
      </c>
      <c r="H57" s="8" t="n">
        <v>2</v>
      </c>
      <c r="I57" s="8" t="s">
        <v>51</v>
      </c>
      <c r="J57" s="8" t="s">
        <v>36</v>
      </c>
      <c r="K57" s="8" t="s">
        <v>170</v>
      </c>
      <c r="L57" s="8" t="n">
        <v>1200</v>
      </c>
      <c r="M57" s="8" t="n">
        <v>2400</v>
      </c>
      <c r="N57" s="6" t="n">
        <f aca="false">L57*0.6*H57</f>
        <v>1440</v>
      </c>
      <c r="O57" s="6" t="n">
        <f aca="false">M57-N57</f>
        <v>960</v>
      </c>
      <c r="P57" s="7" t="n">
        <f aca="false">IF(M57=0,0,O57/M57)</f>
        <v>0.4</v>
      </c>
    </row>
    <row r="58" customFormat="false" ht="15" hidden="false" customHeight="false" outlineLevel="0" collapsed="false">
      <c r="A58" s="2" t="n">
        <v>1290</v>
      </c>
      <c r="B58" s="2" t="s">
        <v>330</v>
      </c>
      <c r="C58" s="2" t="s">
        <v>329</v>
      </c>
      <c r="D58" s="2" t="s">
        <v>34</v>
      </c>
      <c r="E58" s="2" t="s">
        <v>3660</v>
      </c>
      <c r="F58" s="2" t="s">
        <v>3603</v>
      </c>
      <c r="G58" s="2" t="s">
        <v>3604</v>
      </c>
      <c r="H58" s="5" t="n">
        <v>3</v>
      </c>
      <c r="I58" s="5" t="s">
        <v>27</v>
      </c>
      <c r="J58" s="5" t="s">
        <v>59</v>
      </c>
      <c r="K58" s="5" t="s">
        <v>99</v>
      </c>
      <c r="L58" s="5" t="n">
        <v>300</v>
      </c>
      <c r="M58" s="5" t="n">
        <v>900</v>
      </c>
      <c r="N58" s="6" t="n">
        <f aca="false">L58*0.6*H58</f>
        <v>540</v>
      </c>
      <c r="O58" s="6" t="n">
        <f aca="false">M58-N58</f>
        <v>360</v>
      </c>
      <c r="P58" s="7" t="n">
        <f aca="false">IF(M58=0,0,O58/M58)</f>
        <v>0.4</v>
      </c>
    </row>
    <row r="59" customFormat="false" ht="15" hidden="false" customHeight="false" outlineLevel="0" collapsed="false">
      <c r="A59" s="3" t="n">
        <v>1291</v>
      </c>
      <c r="B59" s="3" t="s">
        <v>335</v>
      </c>
      <c r="C59" s="3" t="s">
        <v>334</v>
      </c>
      <c r="D59" s="3" t="s">
        <v>108</v>
      </c>
      <c r="E59" s="3" t="s">
        <v>3661</v>
      </c>
      <c r="F59" s="3" t="s">
        <v>3599</v>
      </c>
      <c r="G59" s="3" t="s">
        <v>3600</v>
      </c>
      <c r="H59" s="8" t="n">
        <v>1</v>
      </c>
      <c r="I59" s="8" t="s">
        <v>51</v>
      </c>
      <c r="J59" s="8" t="s">
        <v>28</v>
      </c>
      <c r="K59" s="8" t="s">
        <v>30</v>
      </c>
      <c r="L59" s="8" t="n">
        <v>1200</v>
      </c>
      <c r="M59" s="8" t="n">
        <v>1200</v>
      </c>
      <c r="N59" s="6" t="n">
        <f aca="false">L59*0.6*H59</f>
        <v>720</v>
      </c>
      <c r="O59" s="6" t="n">
        <f aca="false">M59-N59</f>
        <v>480</v>
      </c>
      <c r="P59" s="7" t="n">
        <f aca="false">IF(M59=0,0,O59/M59)</f>
        <v>0.4</v>
      </c>
    </row>
    <row r="60" customFormat="false" ht="15" hidden="false" customHeight="false" outlineLevel="0" collapsed="false">
      <c r="A60" s="2" t="n">
        <v>1292</v>
      </c>
      <c r="B60" s="2" t="s">
        <v>339</v>
      </c>
      <c r="C60" s="2" t="s">
        <v>299</v>
      </c>
      <c r="D60" s="2" t="s">
        <v>49</v>
      </c>
      <c r="E60" s="2" t="s">
        <v>3662</v>
      </c>
      <c r="F60" s="2" t="s">
        <v>2379</v>
      </c>
      <c r="G60" s="2" t="s">
        <v>3592</v>
      </c>
      <c r="H60" s="5" t="n">
        <v>3</v>
      </c>
      <c r="I60" s="5" t="s">
        <v>18</v>
      </c>
      <c r="J60" s="5" t="s">
        <v>121</v>
      </c>
      <c r="K60" s="5" t="s">
        <v>123</v>
      </c>
      <c r="L60" s="5" t="n">
        <v>250</v>
      </c>
      <c r="M60" s="5" t="n">
        <v>750</v>
      </c>
      <c r="N60" s="6" t="n">
        <f aca="false">L60*0.6*H60</f>
        <v>450</v>
      </c>
      <c r="O60" s="6" t="n">
        <f aca="false">M60-N60</f>
        <v>300</v>
      </c>
      <c r="P60" s="7" t="n">
        <f aca="false">IF(M60=0,0,O60/M60)</f>
        <v>0.4</v>
      </c>
    </row>
    <row r="61" customFormat="false" ht="15" hidden="false" customHeight="false" outlineLevel="0" collapsed="false">
      <c r="A61" s="3" t="n">
        <v>1293</v>
      </c>
      <c r="B61" s="3" t="s">
        <v>344</v>
      </c>
      <c r="C61" s="3" t="s">
        <v>343</v>
      </c>
      <c r="D61" s="3" t="s">
        <v>108</v>
      </c>
      <c r="E61" s="3" t="s">
        <v>3663</v>
      </c>
      <c r="F61" s="3" t="s">
        <v>3625</v>
      </c>
      <c r="G61" s="3" t="s">
        <v>3592</v>
      </c>
      <c r="H61" s="8" t="n">
        <v>2</v>
      </c>
      <c r="I61" s="8" t="s">
        <v>51</v>
      </c>
      <c r="J61" s="8" t="s">
        <v>36</v>
      </c>
      <c r="K61" s="8" t="s">
        <v>192</v>
      </c>
      <c r="L61" s="8" t="n">
        <v>1200</v>
      </c>
      <c r="M61" s="8" t="n">
        <v>2400</v>
      </c>
      <c r="N61" s="6" t="n">
        <f aca="false">L61*0.6*H61</f>
        <v>1440</v>
      </c>
      <c r="O61" s="6" t="n">
        <f aca="false">M61-N61</f>
        <v>960</v>
      </c>
      <c r="P61" s="7" t="n">
        <f aca="false">IF(M61=0,0,O61/M61)</f>
        <v>0.4</v>
      </c>
    </row>
    <row r="62" customFormat="false" ht="15" hidden="false" customHeight="false" outlineLevel="0" collapsed="false">
      <c r="A62" s="2" t="n">
        <v>1294</v>
      </c>
      <c r="B62" s="2" t="s">
        <v>47</v>
      </c>
      <c r="C62" s="2" t="s">
        <v>348</v>
      </c>
      <c r="D62" s="2" t="s">
        <v>108</v>
      </c>
      <c r="E62" s="2" t="s">
        <v>3664</v>
      </c>
      <c r="F62" s="2" t="s">
        <v>3628</v>
      </c>
      <c r="G62" s="2" t="s">
        <v>3595</v>
      </c>
      <c r="H62" s="5" t="n">
        <v>3</v>
      </c>
      <c r="I62" s="5" t="s">
        <v>51</v>
      </c>
      <c r="J62" s="5" t="s">
        <v>19</v>
      </c>
      <c r="K62" s="5" t="s">
        <v>176</v>
      </c>
      <c r="L62" s="5" t="n">
        <v>1200</v>
      </c>
      <c r="M62" s="5" t="n">
        <v>3600</v>
      </c>
      <c r="N62" s="6" t="n">
        <f aca="false">L62*0.6*H62</f>
        <v>2160</v>
      </c>
      <c r="O62" s="6" t="n">
        <f aca="false">M62-N62</f>
        <v>1440</v>
      </c>
      <c r="P62" s="7" t="n">
        <f aca="false">IF(M62=0,0,O62/M62)</f>
        <v>0.4</v>
      </c>
    </row>
    <row r="63" customFormat="false" ht="15" hidden="false" customHeight="false" outlineLevel="0" collapsed="false">
      <c r="A63" s="3" t="n">
        <v>1295</v>
      </c>
      <c r="B63" s="3" t="s">
        <v>353</v>
      </c>
      <c r="C63" s="3" t="s">
        <v>352</v>
      </c>
      <c r="D63" s="3" t="s">
        <v>147</v>
      </c>
      <c r="E63" s="3" t="s">
        <v>3665</v>
      </c>
      <c r="F63" s="3" t="s">
        <v>3628</v>
      </c>
      <c r="G63" s="3" t="s">
        <v>3595</v>
      </c>
      <c r="H63" s="8" t="n">
        <v>3</v>
      </c>
      <c r="I63" s="8" t="s">
        <v>51</v>
      </c>
      <c r="J63" s="8" t="s">
        <v>36</v>
      </c>
      <c r="K63" s="8" t="s">
        <v>38</v>
      </c>
      <c r="L63" s="8" t="n">
        <v>600</v>
      </c>
      <c r="M63" s="8" t="n">
        <v>1800</v>
      </c>
      <c r="N63" s="6" t="n">
        <f aca="false">L63*0.6*H63</f>
        <v>1080</v>
      </c>
      <c r="O63" s="6" t="n">
        <f aca="false">M63-N63</f>
        <v>720</v>
      </c>
      <c r="P63" s="7" t="n">
        <f aca="false">IF(M63=0,0,O63/M63)</f>
        <v>0.4</v>
      </c>
    </row>
    <row r="64" customFormat="false" ht="15" hidden="false" customHeight="false" outlineLevel="0" collapsed="false">
      <c r="A64" s="2" t="n">
        <v>1296</v>
      </c>
      <c r="B64" s="2" t="s">
        <v>358</v>
      </c>
      <c r="C64" s="2" t="s">
        <v>357</v>
      </c>
      <c r="D64" s="2" t="s">
        <v>49</v>
      </c>
      <c r="E64" s="2" t="s">
        <v>3665</v>
      </c>
      <c r="F64" s="2" t="s">
        <v>3628</v>
      </c>
      <c r="G64" s="2" t="s">
        <v>3595</v>
      </c>
      <c r="H64" s="5" t="n">
        <v>1</v>
      </c>
      <c r="I64" s="5" t="s">
        <v>18</v>
      </c>
      <c r="J64" s="5" t="s">
        <v>52</v>
      </c>
      <c r="K64" s="5" t="s">
        <v>54</v>
      </c>
      <c r="L64" s="5" t="n">
        <v>250</v>
      </c>
      <c r="M64" s="5" t="n">
        <v>250</v>
      </c>
      <c r="N64" s="6" t="n">
        <f aca="false">L64*0.6*H64</f>
        <v>150</v>
      </c>
      <c r="O64" s="6" t="n">
        <f aca="false">M64-N64</f>
        <v>100</v>
      </c>
      <c r="P64" s="7" t="n">
        <f aca="false">IF(M64=0,0,O64/M64)</f>
        <v>0.4</v>
      </c>
    </row>
    <row r="65" customFormat="false" ht="15" hidden="false" customHeight="false" outlineLevel="0" collapsed="false">
      <c r="A65" s="3" t="n">
        <v>1297</v>
      </c>
      <c r="B65" s="3" t="s">
        <v>362</v>
      </c>
      <c r="C65" s="3" t="s">
        <v>361</v>
      </c>
      <c r="D65" s="3" t="s">
        <v>49</v>
      </c>
      <c r="E65" s="3" t="s">
        <v>3666</v>
      </c>
      <c r="F65" s="3" t="s">
        <v>3603</v>
      </c>
      <c r="G65" s="3" t="s">
        <v>3604</v>
      </c>
      <c r="H65" s="8" t="n">
        <v>3</v>
      </c>
      <c r="I65" s="8" t="s">
        <v>18</v>
      </c>
      <c r="J65" s="8" t="s">
        <v>121</v>
      </c>
      <c r="K65" s="8" t="s">
        <v>123</v>
      </c>
      <c r="L65" s="8" t="n">
        <v>250</v>
      </c>
      <c r="M65" s="8" t="n">
        <v>750</v>
      </c>
      <c r="N65" s="6" t="n">
        <f aca="false">L65*0.6*H65</f>
        <v>450</v>
      </c>
      <c r="O65" s="6" t="n">
        <f aca="false">M65-N65</f>
        <v>300</v>
      </c>
      <c r="P65" s="7" t="n">
        <f aca="false">IF(M65=0,0,O65/M65)</f>
        <v>0.4</v>
      </c>
    </row>
    <row r="66" customFormat="false" ht="15" hidden="false" customHeight="false" outlineLevel="0" collapsed="false">
      <c r="A66" s="2" t="n">
        <v>1298</v>
      </c>
      <c r="B66" s="2" t="s">
        <v>367</v>
      </c>
      <c r="C66" s="2" t="s">
        <v>366</v>
      </c>
      <c r="D66" s="2" t="s">
        <v>108</v>
      </c>
      <c r="E66" s="2" t="s">
        <v>3667</v>
      </c>
      <c r="F66" s="2" t="s">
        <v>3613</v>
      </c>
      <c r="G66" s="2" t="s">
        <v>3604</v>
      </c>
      <c r="H66" s="5" t="n">
        <v>3</v>
      </c>
      <c r="I66" s="5" t="s">
        <v>51</v>
      </c>
      <c r="J66" s="5" t="s">
        <v>78</v>
      </c>
      <c r="K66" s="5" t="s">
        <v>80</v>
      </c>
      <c r="L66" s="5" t="n">
        <v>1200</v>
      </c>
      <c r="M66" s="5" t="n">
        <v>3600</v>
      </c>
      <c r="N66" s="6" t="n">
        <f aca="false">L66*0.6*H66</f>
        <v>2160</v>
      </c>
      <c r="O66" s="6" t="n">
        <f aca="false">M66-N66</f>
        <v>1440</v>
      </c>
      <c r="P66" s="7" t="n">
        <f aca="false">IF(M66=0,0,O66/M66)</f>
        <v>0.4</v>
      </c>
    </row>
    <row r="67" customFormat="false" ht="15" hidden="false" customHeight="false" outlineLevel="0" collapsed="false">
      <c r="A67" s="3" t="n">
        <v>1299</v>
      </c>
      <c r="B67" s="3" t="s">
        <v>371</v>
      </c>
      <c r="C67" s="3" t="s">
        <v>57</v>
      </c>
      <c r="D67" s="3" t="s">
        <v>108</v>
      </c>
      <c r="E67" s="3" t="s">
        <v>3668</v>
      </c>
      <c r="F67" s="3" t="s">
        <v>3610</v>
      </c>
      <c r="G67" s="3" t="s">
        <v>3600</v>
      </c>
      <c r="H67" s="8" t="n">
        <v>3</v>
      </c>
      <c r="I67" s="8" t="s">
        <v>51</v>
      </c>
      <c r="J67" s="8" t="s">
        <v>121</v>
      </c>
      <c r="K67" s="8" t="s">
        <v>317</v>
      </c>
      <c r="L67" s="8" t="n">
        <v>1200</v>
      </c>
      <c r="M67" s="8" t="n">
        <v>3600</v>
      </c>
      <c r="N67" s="6" t="n">
        <f aca="false">L67*0.6*H67</f>
        <v>2160</v>
      </c>
      <c r="O67" s="6" t="n">
        <f aca="false">M67-N67</f>
        <v>1440</v>
      </c>
      <c r="P67" s="7" t="n">
        <f aca="false">IF(M67=0,0,O67/M67)</f>
        <v>0.4</v>
      </c>
    </row>
    <row r="68" customFormat="false" ht="15" hidden="false" customHeight="false" outlineLevel="0" collapsed="false">
      <c r="A68" s="2" t="n">
        <v>1300</v>
      </c>
      <c r="B68" s="2" t="s">
        <v>376</v>
      </c>
      <c r="C68" s="2" t="s">
        <v>375</v>
      </c>
      <c r="D68" s="2" t="s">
        <v>34</v>
      </c>
      <c r="E68" s="2" t="s">
        <v>3669</v>
      </c>
      <c r="F68" s="2" t="s">
        <v>3591</v>
      </c>
      <c r="G68" s="2" t="s">
        <v>3592</v>
      </c>
      <c r="H68" s="5" t="n">
        <v>1</v>
      </c>
      <c r="I68" s="5" t="s">
        <v>18</v>
      </c>
      <c r="J68" s="5" t="s">
        <v>28</v>
      </c>
      <c r="K68" s="5" t="s">
        <v>30</v>
      </c>
      <c r="L68" s="5" t="n">
        <v>300</v>
      </c>
      <c r="M68" s="5" t="n">
        <v>300</v>
      </c>
      <c r="N68" s="6" t="n">
        <f aca="false">L68*0.6*H68</f>
        <v>180</v>
      </c>
      <c r="O68" s="6" t="n">
        <f aca="false">M68-N68</f>
        <v>120</v>
      </c>
      <c r="P68" s="7" t="n">
        <f aca="false">IF(M68=0,0,O68/M68)</f>
        <v>0.4</v>
      </c>
    </row>
    <row r="69" customFormat="false" ht="15" hidden="false" customHeight="false" outlineLevel="0" collapsed="false">
      <c r="A69" s="3" t="n">
        <v>1301</v>
      </c>
      <c r="B69" s="3" t="s">
        <v>381</v>
      </c>
      <c r="C69" s="3" t="s">
        <v>380</v>
      </c>
      <c r="D69" s="3" t="s">
        <v>147</v>
      </c>
      <c r="E69" s="3" t="s">
        <v>3670</v>
      </c>
      <c r="F69" s="3" t="s">
        <v>3603</v>
      </c>
      <c r="G69" s="3" t="s">
        <v>3604</v>
      </c>
      <c r="H69" s="8" t="n">
        <v>2</v>
      </c>
      <c r="I69" s="8" t="s">
        <v>18</v>
      </c>
      <c r="J69" s="8" t="s">
        <v>19</v>
      </c>
      <c r="K69" s="8" t="s">
        <v>21</v>
      </c>
      <c r="L69" s="8" t="n">
        <v>600</v>
      </c>
      <c r="M69" s="8" t="n">
        <v>1200</v>
      </c>
      <c r="N69" s="6" t="n">
        <f aca="false">L69*0.6*H69</f>
        <v>720</v>
      </c>
      <c r="O69" s="6" t="n">
        <f aca="false">M69-N69</f>
        <v>480</v>
      </c>
      <c r="P69" s="7" t="n">
        <f aca="false">IF(M69=0,0,O69/M69)</f>
        <v>0.4</v>
      </c>
    </row>
    <row r="70" customFormat="false" ht="15" hidden="false" customHeight="false" outlineLevel="0" collapsed="false">
      <c r="A70" s="2" t="n">
        <v>1302</v>
      </c>
      <c r="B70" s="2" t="s">
        <v>386</v>
      </c>
      <c r="C70" s="2" t="s">
        <v>385</v>
      </c>
      <c r="D70" s="2" t="s">
        <v>49</v>
      </c>
      <c r="E70" s="2" t="s">
        <v>3671</v>
      </c>
      <c r="F70" s="2" t="s">
        <v>3594</v>
      </c>
      <c r="G70" s="2" t="s">
        <v>3595</v>
      </c>
      <c r="H70" s="5" t="n">
        <v>1</v>
      </c>
      <c r="I70" s="5" t="s">
        <v>51</v>
      </c>
      <c r="J70" s="5" t="s">
        <v>78</v>
      </c>
      <c r="K70" s="5" t="s">
        <v>80</v>
      </c>
      <c r="L70" s="5" t="n">
        <v>250</v>
      </c>
      <c r="M70" s="5" t="n">
        <v>250</v>
      </c>
      <c r="N70" s="6" t="n">
        <f aca="false">L70*0.6*H70</f>
        <v>150</v>
      </c>
      <c r="O70" s="6" t="n">
        <f aca="false">M70-N70</f>
        <v>100</v>
      </c>
      <c r="P70" s="7" t="n">
        <f aca="false">IF(M70=0,0,O70/M70)</f>
        <v>0.4</v>
      </c>
    </row>
    <row r="71" customFormat="false" ht="15" hidden="false" customHeight="false" outlineLevel="0" collapsed="false">
      <c r="A71" s="3" t="n">
        <v>1303</v>
      </c>
      <c r="B71" s="3" t="s">
        <v>391</v>
      </c>
      <c r="C71" s="3" t="s">
        <v>390</v>
      </c>
      <c r="D71" s="3" t="s">
        <v>108</v>
      </c>
      <c r="E71" s="3" t="s">
        <v>3672</v>
      </c>
      <c r="F71" s="3" t="s">
        <v>3606</v>
      </c>
      <c r="G71" s="3" t="s">
        <v>3600</v>
      </c>
      <c r="H71" s="8" t="n">
        <v>3</v>
      </c>
      <c r="I71" s="8" t="s">
        <v>18</v>
      </c>
      <c r="J71" s="8" t="s">
        <v>36</v>
      </c>
      <c r="K71" s="8" t="s">
        <v>170</v>
      </c>
      <c r="L71" s="8" t="n">
        <v>1200</v>
      </c>
      <c r="M71" s="8" t="n">
        <v>3600</v>
      </c>
      <c r="N71" s="6" t="n">
        <f aca="false">L71*0.6*H71</f>
        <v>2160</v>
      </c>
      <c r="O71" s="6" t="n">
        <f aca="false">M71-N71</f>
        <v>1440</v>
      </c>
      <c r="P71" s="7" t="n">
        <f aca="false">IF(M71=0,0,O71/M71)</f>
        <v>0.4</v>
      </c>
    </row>
    <row r="72" customFormat="false" ht="15" hidden="false" customHeight="false" outlineLevel="0" collapsed="false">
      <c r="A72" s="2" t="n">
        <v>1304</v>
      </c>
      <c r="B72" s="2" t="s">
        <v>395</v>
      </c>
      <c r="C72" s="2" t="s">
        <v>254</v>
      </c>
      <c r="D72" s="2" t="s">
        <v>147</v>
      </c>
      <c r="E72" s="2" t="s">
        <v>3673</v>
      </c>
      <c r="F72" s="2" t="s">
        <v>3610</v>
      </c>
      <c r="G72" s="2" t="s">
        <v>3600</v>
      </c>
      <c r="H72" s="5" t="n">
        <v>1</v>
      </c>
      <c r="I72" s="5" t="s">
        <v>18</v>
      </c>
      <c r="J72" s="5" t="s">
        <v>121</v>
      </c>
      <c r="K72" s="5" t="s">
        <v>317</v>
      </c>
      <c r="L72" s="5" t="n">
        <v>600</v>
      </c>
      <c r="M72" s="5" t="n">
        <v>600</v>
      </c>
      <c r="N72" s="6" t="n">
        <f aca="false">L72*0.6*H72</f>
        <v>360</v>
      </c>
      <c r="O72" s="6" t="n">
        <f aca="false">M72-N72</f>
        <v>240</v>
      </c>
      <c r="P72" s="7" t="n">
        <f aca="false">IF(M72=0,0,O72/M72)</f>
        <v>0.4</v>
      </c>
    </row>
    <row r="73" customFormat="false" ht="15" hidden="false" customHeight="false" outlineLevel="0" collapsed="false">
      <c r="A73" s="3" t="n">
        <v>1305</v>
      </c>
      <c r="B73" s="3" t="s">
        <v>400</v>
      </c>
      <c r="C73" s="3" t="s">
        <v>399</v>
      </c>
      <c r="D73" s="3" t="s">
        <v>34</v>
      </c>
      <c r="E73" s="3" t="s">
        <v>3674</v>
      </c>
      <c r="F73" s="3" t="s">
        <v>3594</v>
      </c>
      <c r="G73" s="3" t="s">
        <v>3595</v>
      </c>
      <c r="H73" s="8" t="n">
        <v>1</v>
      </c>
      <c r="I73" s="8" t="s">
        <v>18</v>
      </c>
      <c r="J73" s="8" t="s">
        <v>43</v>
      </c>
      <c r="K73" s="8" t="s">
        <v>45</v>
      </c>
      <c r="L73" s="8" t="n">
        <v>300</v>
      </c>
      <c r="M73" s="8" t="n">
        <v>300</v>
      </c>
      <c r="N73" s="6" t="n">
        <f aca="false">L73*0.6*H73</f>
        <v>180</v>
      </c>
      <c r="O73" s="6" t="n">
        <f aca="false">M73-N73</f>
        <v>120</v>
      </c>
      <c r="P73" s="7" t="n">
        <f aca="false">IF(M73=0,0,O73/M73)</f>
        <v>0.4</v>
      </c>
    </row>
    <row r="74" customFormat="false" ht="15" hidden="false" customHeight="false" outlineLevel="0" collapsed="false">
      <c r="A74" s="2" t="n">
        <v>1306</v>
      </c>
      <c r="B74" s="2" t="s">
        <v>405</v>
      </c>
      <c r="C74" s="2" t="s">
        <v>404</v>
      </c>
      <c r="D74" s="2" t="s">
        <v>108</v>
      </c>
      <c r="E74" s="2" t="s">
        <v>3675</v>
      </c>
      <c r="F74" s="2" t="s">
        <v>3628</v>
      </c>
      <c r="G74" s="2" t="s">
        <v>3595</v>
      </c>
      <c r="H74" s="5" t="n">
        <v>1</v>
      </c>
      <c r="I74" s="5" t="s">
        <v>18</v>
      </c>
      <c r="J74" s="5" t="s">
        <v>78</v>
      </c>
      <c r="K74" s="5" t="s">
        <v>408</v>
      </c>
      <c r="L74" s="5" t="n">
        <v>1200</v>
      </c>
      <c r="M74" s="5" t="n">
        <v>1200</v>
      </c>
      <c r="N74" s="6" t="n">
        <f aca="false">L74*0.6*H74</f>
        <v>720</v>
      </c>
      <c r="O74" s="6" t="n">
        <f aca="false">M74-N74</f>
        <v>480</v>
      </c>
      <c r="P74" s="7" t="n">
        <f aca="false">IF(M74=0,0,O74/M74)</f>
        <v>0.4</v>
      </c>
    </row>
    <row r="75" customFormat="false" ht="15" hidden="false" customHeight="false" outlineLevel="0" collapsed="false">
      <c r="A75" s="3" t="n">
        <v>1307</v>
      </c>
      <c r="B75" s="3" t="s">
        <v>411</v>
      </c>
      <c r="C75" s="3" t="s">
        <v>410</v>
      </c>
      <c r="D75" s="3" t="s">
        <v>16</v>
      </c>
      <c r="E75" s="3" t="s">
        <v>3667</v>
      </c>
      <c r="F75" s="3" t="s">
        <v>3613</v>
      </c>
      <c r="G75" s="3" t="s">
        <v>3604</v>
      </c>
      <c r="H75" s="8" t="n">
        <v>1</v>
      </c>
      <c r="I75" s="8" t="s">
        <v>27</v>
      </c>
      <c r="J75" s="8" t="s">
        <v>59</v>
      </c>
      <c r="K75" s="8" t="s">
        <v>99</v>
      </c>
      <c r="L75" s="8" t="n">
        <v>250</v>
      </c>
      <c r="M75" s="8" t="n">
        <v>250</v>
      </c>
      <c r="N75" s="6" t="n">
        <f aca="false">L75*0.6*H75</f>
        <v>150</v>
      </c>
      <c r="O75" s="6" t="n">
        <f aca="false">M75-N75</f>
        <v>100</v>
      </c>
      <c r="P75" s="7" t="n">
        <f aca="false">IF(M75=0,0,O75/M75)</f>
        <v>0.4</v>
      </c>
    </row>
    <row r="76" customFormat="false" ht="15" hidden="false" customHeight="false" outlineLevel="0" collapsed="false">
      <c r="A76" s="2" t="n">
        <v>1308</v>
      </c>
      <c r="B76" s="2" t="s">
        <v>415</v>
      </c>
      <c r="C76" s="2" t="s">
        <v>414</v>
      </c>
      <c r="D76" s="2" t="s">
        <v>49</v>
      </c>
      <c r="E76" s="2" t="s">
        <v>3676</v>
      </c>
      <c r="F76" s="2" t="s">
        <v>3625</v>
      </c>
      <c r="G76" s="2" t="s">
        <v>3592</v>
      </c>
      <c r="H76" s="5" t="n">
        <v>3</v>
      </c>
      <c r="I76" s="5" t="s">
        <v>18</v>
      </c>
      <c r="J76" s="5" t="s">
        <v>121</v>
      </c>
      <c r="K76" s="5" t="s">
        <v>317</v>
      </c>
      <c r="L76" s="5" t="n">
        <v>250</v>
      </c>
      <c r="M76" s="5" t="n">
        <v>750</v>
      </c>
      <c r="N76" s="6" t="n">
        <f aca="false">L76*0.6*H76</f>
        <v>450</v>
      </c>
      <c r="O76" s="6" t="n">
        <f aca="false">M76-N76</f>
        <v>300</v>
      </c>
      <c r="P76" s="7" t="n">
        <f aca="false">IF(M76=0,0,O76/M76)</f>
        <v>0.4</v>
      </c>
    </row>
    <row r="77" customFormat="false" ht="15" hidden="false" customHeight="false" outlineLevel="0" collapsed="false">
      <c r="A77" s="3" t="n">
        <v>1309</v>
      </c>
      <c r="B77" s="3" t="s">
        <v>420</v>
      </c>
      <c r="C77" s="3" t="s">
        <v>419</v>
      </c>
      <c r="D77" s="3" t="s">
        <v>16</v>
      </c>
      <c r="E77" s="3" t="s">
        <v>3677</v>
      </c>
      <c r="F77" s="3" t="s">
        <v>1756</v>
      </c>
      <c r="G77" s="3" t="s">
        <v>3595</v>
      </c>
      <c r="H77" s="8" t="n">
        <v>2</v>
      </c>
      <c r="I77" s="8" t="s">
        <v>18</v>
      </c>
      <c r="J77" s="8" t="s">
        <v>43</v>
      </c>
      <c r="K77" s="8" t="s">
        <v>67</v>
      </c>
      <c r="L77" s="8" t="n">
        <v>250</v>
      </c>
      <c r="M77" s="8" t="n">
        <v>500</v>
      </c>
      <c r="N77" s="6" t="n">
        <f aca="false">L77*0.6*H77</f>
        <v>300</v>
      </c>
      <c r="O77" s="6" t="n">
        <f aca="false">M77-N77</f>
        <v>200</v>
      </c>
      <c r="P77" s="7" t="n">
        <f aca="false">IF(M77=0,0,O77/M77)</f>
        <v>0.4</v>
      </c>
    </row>
    <row r="78" customFormat="false" ht="15" hidden="false" customHeight="false" outlineLevel="0" collapsed="false">
      <c r="A78" s="2" t="n">
        <v>1310</v>
      </c>
      <c r="B78" s="2" t="s">
        <v>220</v>
      </c>
      <c r="C78" s="2" t="s">
        <v>424</v>
      </c>
      <c r="D78" s="2" t="s">
        <v>25</v>
      </c>
      <c r="E78" s="2" t="s">
        <v>3678</v>
      </c>
      <c r="F78" s="2" t="s">
        <v>3603</v>
      </c>
      <c r="G78" s="2" t="s">
        <v>3604</v>
      </c>
      <c r="H78" s="5" t="n">
        <v>1</v>
      </c>
      <c r="I78" s="5" t="s">
        <v>18</v>
      </c>
      <c r="J78" s="5" t="s">
        <v>28</v>
      </c>
      <c r="K78" s="5" t="s">
        <v>30</v>
      </c>
      <c r="L78" s="5" t="n">
        <v>800</v>
      </c>
      <c r="M78" s="5" t="n">
        <v>800</v>
      </c>
      <c r="N78" s="6" t="n">
        <f aca="false">L78*0.6*H78</f>
        <v>480</v>
      </c>
      <c r="O78" s="6" t="n">
        <f aca="false">M78-N78</f>
        <v>320</v>
      </c>
      <c r="P78" s="7" t="n">
        <f aca="false">IF(M78=0,0,O78/M78)</f>
        <v>0.4</v>
      </c>
    </row>
    <row r="79" customFormat="false" ht="15" hidden="false" customHeight="false" outlineLevel="0" collapsed="false">
      <c r="A79" s="3" t="n">
        <v>1311</v>
      </c>
      <c r="B79" s="3" t="s">
        <v>429</v>
      </c>
      <c r="C79" s="3" t="s">
        <v>428</v>
      </c>
      <c r="D79" s="3" t="s">
        <v>108</v>
      </c>
      <c r="E79" s="3" t="s">
        <v>3679</v>
      </c>
      <c r="F79" s="3" t="s">
        <v>3628</v>
      </c>
      <c r="G79" s="3" t="s">
        <v>3595</v>
      </c>
      <c r="H79" s="8" t="n">
        <v>2</v>
      </c>
      <c r="I79" s="8" t="s">
        <v>18</v>
      </c>
      <c r="J79" s="8" t="s">
        <v>121</v>
      </c>
      <c r="K79" s="8" t="s">
        <v>123</v>
      </c>
      <c r="L79" s="8" t="n">
        <v>1200</v>
      </c>
      <c r="M79" s="8" t="n">
        <v>2400</v>
      </c>
      <c r="N79" s="6" t="n">
        <f aca="false">L79*0.6*H79</f>
        <v>1440</v>
      </c>
      <c r="O79" s="6" t="n">
        <f aca="false">M79-N79</f>
        <v>960</v>
      </c>
      <c r="P79" s="7" t="n">
        <f aca="false">IF(M79=0,0,O79/M79)</f>
        <v>0.4</v>
      </c>
    </row>
    <row r="80" customFormat="false" ht="15" hidden="false" customHeight="false" outlineLevel="0" collapsed="false">
      <c r="A80" s="2" t="n">
        <v>1312</v>
      </c>
      <c r="B80" s="2" t="s">
        <v>434</v>
      </c>
      <c r="C80" s="2" t="s">
        <v>433</v>
      </c>
      <c r="D80" s="2" t="s">
        <v>49</v>
      </c>
      <c r="E80" s="2" t="s">
        <v>3680</v>
      </c>
      <c r="F80" s="2" t="s">
        <v>3610</v>
      </c>
      <c r="G80" s="2" t="s">
        <v>3600</v>
      </c>
      <c r="H80" s="5" t="n">
        <v>2</v>
      </c>
      <c r="I80" s="5" t="s">
        <v>51</v>
      </c>
      <c r="J80" s="5" t="s">
        <v>43</v>
      </c>
      <c r="K80" s="5" t="s">
        <v>111</v>
      </c>
      <c r="L80" s="5" t="n">
        <v>250</v>
      </c>
      <c r="M80" s="5" t="n">
        <v>500</v>
      </c>
      <c r="N80" s="6" t="n">
        <f aca="false">L80*0.6*H80</f>
        <v>300</v>
      </c>
      <c r="O80" s="6" t="n">
        <f aca="false">M80-N80</f>
        <v>200</v>
      </c>
      <c r="P80" s="7" t="n">
        <f aca="false">IF(M80=0,0,O80/M80)</f>
        <v>0.4</v>
      </c>
    </row>
    <row r="81" customFormat="false" ht="15" hidden="false" customHeight="false" outlineLevel="0" collapsed="false">
      <c r="A81" s="3" t="n">
        <v>1313</v>
      </c>
      <c r="B81" s="3" t="s">
        <v>439</v>
      </c>
      <c r="C81" s="3" t="s">
        <v>438</v>
      </c>
      <c r="D81" s="3" t="s">
        <v>108</v>
      </c>
      <c r="E81" s="3" t="s">
        <v>3681</v>
      </c>
      <c r="F81" s="3" t="s">
        <v>1756</v>
      </c>
      <c r="G81" s="3" t="s">
        <v>3595</v>
      </c>
      <c r="H81" s="8" t="n">
        <v>1</v>
      </c>
      <c r="I81" s="8" t="s">
        <v>27</v>
      </c>
      <c r="J81" s="8" t="s">
        <v>36</v>
      </c>
      <c r="K81" s="8" t="s">
        <v>170</v>
      </c>
      <c r="L81" s="8" t="n">
        <v>1200</v>
      </c>
      <c r="M81" s="8" t="n">
        <v>1200</v>
      </c>
      <c r="N81" s="6" t="n">
        <f aca="false">L81*0.6*H81</f>
        <v>720</v>
      </c>
      <c r="O81" s="6" t="n">
        <f aca="false">M81-N81</f>
        <v>480</v>
      </c>
      <c r="P81" s="7" t="n">
        <f aca="false">IF(M81=0,0,O81/M81)</f>
        <v>0.4</v>
      </c>
    </row>
    <row r="82" customFormat="false" ht="15" hidden="false" customHeight="false" outlineLevel="0" collapsed="false">
      <c r="A82" s="2" t="n">
        <v>1314</v>
      </c>
      <c r="B82" s="2" t="s">
        <v>444</v>
      </c>
      <c r="C82" s="2" t="s">
        <v>443</v>
      </c>
      <c r="D82" s="2" t="s">
        <v>49</v>
      </c>
      <c r="E82" s="2" t="s">
        <v>3682</v>
      </c>
      <c r="F82" s="2" t="s">
        <v>1756</v>
      </c>
      <c r="G82" s="2" t="s">
        <v>3595</v>
      </c>
      <c r="H82" s="5" t="n">
        <v>3</v>
      </c>
      <c r="I82" s="5" t="s">
        <v>51</v>
      </c>
      <c r="J82" s="5" t="s">
        <v>43</v>
      </c>
      <c r="K82" s="5" t="s">
        <v>111</v>
      </c>
      <c r="L82" s="5" t="n">
        <v>250</v>
      </c>
      <c r="M82" s="5" t="n">
        <v>750</v>
      </c>
      <c r="N82" s="6" t="n">
        <f aca="false">L82*0.6*H82</f>
        <v>450</v>
      </c>
      <c r="O82" s="6" t="n">
        <f aca="false">M82-N82</f>
        <v>300</v>
      </c>
      <c r="P82" s="7" t="n">
        <f aca="false">IF(M82=0,0,O82/M82)</f>
        <v>0.4</v>
      </c>
    </row>
    <row r="83" customFormat="false" ht="15" hidden="false" customHeight="false" outlineLevel="0" collapsed="false">
      <c r="A83" s="3" t="n">
        <v>1315</v>
      </c>
      <c r="B83" s="3" t="s">
        <v>448</v>
      </c>
      <c r="C83" s="3" t="s">
        <v>113</v>
      </c>
      <c r="D83" s="3" t="s">
        <v>34</v>
      </c>
      <c r="E83" s="3" t="s">
        <v>3683</v>
      </c>
      <c r="F83" s="3" t="s">
        <v>1756</v>
      </c>
      <c r="G83" s="3" t="s">
        <v>3595</v>
      </c>
      <c r="H83" s="8" t="n">
        <v>3</v>
      </c>
      <c r="I83" s="8" t="s">
        <v>51</v>
      </c>
      <c r="J83" s="8" t="s">
        <v>52</v>
      </c>
      <c r="K83" s="8" t="s">
        <v>54</v>
      </c>
      <c r="L83" s="8" t="n">
        <v>300</v>
      </c>
      <c r="M83" s="8" t="n">
        <v>900</v>
      </c>
      <c r="N83" s="6" t="n">
        <f aca="false">L83*0.6*H83</f>
        <v>540</v>
      </c>
      <c r="O83" s="6" t="n">
        <f aca="false">M83-N83</f>
        <v>360</v>
      </c>
      <c r="P83" s="7" t="n">
        <f aca="false">IF(M83=0,0,O83/M83)</f>
        <v>0.4</v>
      </c>
    </row>
    <row r="84" customFormat="false" ht="15" hidden="false" customHeight="false" outlineLevel="0" collapsed="false">
      <c r="A84" s="2" t="n">
        <v>1316</v>
      </c>
      <c r="B84" s="2" t="s">
        <v>453</v>
      </c>
      <c r="C84" s="2" t="s">
        <v>452</v>
      </c>
      <c r="D84" s="2" t="s">
        <v>16</v>
      </c>
      <c r="E84" s="2" t="s">
        <v>3684</v>
      </c>
      <c r="F84" s="2" t="s">
        <v>3599</v>
      </c>
      <c r="G84" s="2" t="s">
        <v>3600</v>
      </c>
      <c r="H84" s="5" t="n">
        <v>1</v>
      </c>
      <c r="I84" s="5" t="s">
        <v>51</v>
      </c>
      <c r="J84" s="5" t="s">
        <v>43</v>
      </c>
      <c r="K84" s="5" t="s">
        <v>45</v>
      </c>
      <c r="L84" s="5" t="n">
        <v>250</v>
      </c>
      <c r="M84" s="5" t="n">
        <v>250</v>
      </c>
      <c r="N84" s="6" t="n">
        <f aca="false">L84*0.6*H84</f>
        <v>150</v>
      </c>
      <c r="O84" s="6" t="n">
        <f aca="false">M84-N84</f>
        <v>100</v>
      </c>
      <c r="P84" s="7" t="n">
        <f aca="false">IF(M84=0,0,O84/M84)</f>
        <v>0.4</v>
      </c>
    </row>
    <row r="85" customFormat="false" ht="15" hidden="false" customHeight="false" outlineLevel="0" collapsed="false">
      <c r="A85" s="3" t="n">
        <v>1317</v>
      </c>
      <c r="B85" s="3" t="s">
        <v>458</v>
      </c>
      <c r="C85" s="3" t="s">
        <v>457</v>
      </c>
      <c r="D85" s="3" t="s">
        <v>108</v>
      </c>
      <c r="E85" s="3" t="s">
        <v>3685</v>
      </c>
      <c r="F85" s="3" t="s">
        <v>3610</v>
      </c>
      <c r="G85" s="3" t="s">
        <v>3600</v>
      </c>
      <c r="H85" s="8" t="n">
        <v>3</v>
      </c>
      <c r="I85" s="8" t="s">
        <v>18</v>
      </c>
      <c r="J85" s="8" t="s">
        <v>28</v>
      </c>
      <c r="K85" s="8" t="s">
        <v>30</v>
      </c>
      <c r="L85" s="8" t="n">
        <v>1200</v>
      </c>
      <c r="M85" s="8" t="n">
        <v>3600</v>
      </c>
      <c r="N85" s="6" t="n">
        <f aca="false">L85*0.6*H85</f>
        <v>2160</v>
      </c>
      <c r="O85" s="6" t="n">
        <f aca="false">M85-N85</f>
        <v>1440</v>
      </c>
      <c r="P85" s="7" t="n">
        <f aca="false">IF(M85=0,0,O85/M85)</f>
        <v>0.4</v>
      </c>
    </row>
    <row r="86" customFormat="false" ht="15" hidden="false" customHeight="false" outlineLevel="0" collapsed="false">
      <c r="A86" s="2" t="n">
        <v>1318</v>
      </c>
      <c r="B86" s="2" t="s">
        <v>463</v>
      </c>
      <c r="C86" s="2" t="s">
        <v>462</v>
      </c>
      <c r="D86" s="2" t="s">
        <v>108</v>
      </c>
      <c r="E86" s="2" t="s">
        <v>3686</v>
      </c>
      <c r="F86" s="2" t="s">
        <v>3594</v>
      </c>
      <c r="G86" s="2" t="s">
        <v>3595</v>
      </c>
      <c r="H86" s="5" t="n">
        <v>2</v>
      </c>
      <c r="I86" s="5" t="s">
        <v>51</v>
      </c>
      <c r="J86" s="5" t="s">
        <v>52</v>
      </c>
      <c r="K86" s="5" t="s">
        <v>54</v>
      </c>
      <c r="L86" s="5" t="n">
        <v>1200</v>
      </c>
      <c r="M86" s="5" t="n">
        <v>2400</v>
      </c>
      <c r="N86" s="6" t="n">
        <f aca="false">L86*0.6*H86</f>
        <v>1440</v>
      </c>
      <c r="O86" s="6" t="n">
        <f aca="false">M86-N86</f>
        <v>960</v>
      </c>
      <c r="P86" s="7" t="n">
        <f aca="false">IF(M86=0,0,O86/M86)</f>
        <v>0.4</v>
      </c>
    </row>
    <row r="87" customFormat="false" ht="15" hidden="false" customHeight="false" outlineLevel="0" collapsed="false">
      <c r="A87" s="3" t="n">
        <v>1319</v>
      </c>
      <c r="B87" s="3" t="s">
        <v>468</v>
      </c>
      <c r="C87" s="3" t="s">
        <v>467</v>
      </c>
      <c r="D87" s="3" t="s">
        <v>108</v>
      </c>
      <c r="E87" s="3" t="s">
        <v>3687</v>
      </c>
      <c r="F87" s="3" t="s">
        <v>3625</v>
      </c>
      <c r="G87" s="3" t="s">
        <v>3592</v>
      </c>
      <c r="H87" s="8" t="n">
        <v>2</v>
      </c>
      <c r="I87" s="8" t="s">
        <v>18</v>
      </c>
      <c r="J87" s="8" t="s">
        <v>78</v>
      </c>
      <c r="K87" s="8" t="s">
        <v>80</v>
      </c>
      <c r="L87" s="8" t="n">
        <v>1200</v>
      </c>
      <c r="M87" s="8" t="n">
        <v>2400</v>
      </c>
      <c r="N87" s="6" t="n">
        <f aca="false">L87*0.6*H87</f>
        <v>1440</v>
      </c>
      <c r="O87" s="6" t="n">
        <f aca="false">M87-N87</f>
        <v>960</v>
      </c>
      <c r="P87" s="7" t="n">
        <f aca="false">IF(M87=0,0,O87/M87)</f>
        <v>0.4</v>
      </c>
    </row>
    <row r="88" customFormat="false" ht="15" hidden="false" customHeight="false" outlineLevel="0" collapsed="false">
      <c r="A88" s="2" t="n">
        <v>1320</v>
      </c>
      <c r="B88" s="2" t="s">
        <v>473</v>
      </c>
      <c r="C88" s="2" t="s">
        <v>472</v>
      </c>
      <c r="D88" s="2" t="s">
        <v>147</v>
      </c>
      <c r="E88" s="2" t="s">
        <v>3688</v>
      </c>
      <c r="F88" s="2" t="s">
        <v>3613</v>
      </c>
      <c r="G88" s="2" t="s">
        <v>3604</v>
      </c>
      <c r="H88" s="5" t="n">
        <v>1</v>
      </c>
      <c r="I88" s="5" t="s">
        <v>27</v>
      </c>
      <c r="J88" s="5" t="s">
        <v>121</v>
      </c>
      <c r="K88" s="5" t="s">
        <v>317</v>
      </c>
      <c r="L88" s="5" t="n">
        <v>600</v>
      </c>
      <c r="M88" s="5" t="n">
        <v>600</v>
      </c>
      <c r="N88" s="6" t="n">
        <f aca="false">L88*0.6*H88</f>
        <v>360</v>
      </c>
      <c r="O88" s="6" t="n">
        <f aca="false">M88-N88</f>
        <v>240</v>
      </c>
      <c r="P88" s="7" t="n">
        <f aca="false">IF(M88=0,0,O88/M88)</f>
        <v>0.4</v>
      </c>
    </row>
    <row r="89" customFormat="false" ht="15" hidden="false" customHeight="false" outlineLevel="0" collapsed="false">
      <c r="A89" s="3" t="n">
        <v>1321</v>
      </c>
      <c r="B89" s="3" t="s">
        <v>478</v>
      </c>
      <c r="C89" s="3" t="s">
        <v>477</v>
      </c>
      <c r="D89" s="3" t="s">
        <v>16</v>
      </c>
      <c r="E89" s="3" t="s">
        <v>3689</v>
      </c>
      <c r="F89" s="3" t="s">
        <v>3625</v>
      </c>
      <c r="G89" s="3" t="s">
        <v>3592</v>
      </c>
      <c r="H89" s="8" t="n">
        <v>1</v>
      </c>
      <c r="I89" s="8" t="s">
        <v>18</v>
      </c>
      <c r="J89" s="8" t="s">
        <v>78</v>
      </c>
      <c r="K89" s="8" t="s">
        <v>86</v>
      </c>
      <c r="L89" s="8" t="n">
        <v>250</v>
      </c>
      <c r="M89" s="8" t="n">
        <v>250</v>
      </c>
      <c r="N89" s="6" t="n">
        <f aca="false">L89*0.6*H89</f>
        <v>150</v>
      </c>
      <c r="O89" s="6" t="n">
        <f aca="false">M89-N89</f>
        <v>100</v>
      </c>
      <c r="P89" s="7" t="n">
        <f aca="false">IF(M89=0,0,O89/M89)</f>
        <v>0.4</v>
      </c>
    </row>
    <row r="90" customFormat="false" ht="15" hidden="false" customHeight="false" outlineLevel="0" collapsed="false">
      <c r="A90" s="2" t="n">
        <v>1322</v>
      </c>
      <c r="B90" s="2" t="s">
        <v>304</v>
      </c>
      <c r="C90" s="2" t="s">
        <v>482</v>
      </c>
      <c r="D90" s="2" t="s">
        <v>49</v>
      </c>
      <c r="E90" s="2" t="s">
        <v>3690</v>
      </c>
      <c r="F90" s="2" t="s">
        <v>3594</v>
      </c>
      <c r="G90" s="2" t="s">
        <v>3595</v>
      </c>
      <c r="H90" s="5" t="n">
        <v>3</v>
      </c>
      <c r="I90" s="5" t="s">
        <v>18</v>
      </c>
      <c r="J90" s="5" t="s">
        <v>36</v>
      </c>
      <c r="K90" s="5" t="s">
        <v>170</v>
      </c>
      <c r="L90" s="5" t="n">
        <v>250</v>
      </c>
      <c r="M90" s="5" t="n">
        <v>750</v>
      </c>
      <c r="N90" s="6" t="n">
        <f aca="false">L90*0.6*H90</f>
        <v>450</v>
      </c>
      <c r="O90" s="6" t="n">
        <f aca="false">M90-N90</f>
        <v>300</v>
      </c>
      <c r="P90" s="7" t="n">
        <f aca="false">IF(M90=0,0,O90/M90)</f>
        <v>0.4</v>
      </c>
    </row>
    <row r="91" customFormat="false" ht="15" hidden="false" customHeight="false" outlineLevel="0" collapsed="false">
      <c r="A91" s="3" t="n">
        <v>1323</v>
      </c>
      <c r="B91" s="3" t="s">
        <v>487</v>
      </c>
      <c r="C91" s="3" t="s">
        <v>486</v>
      </c>
      <c r="D91" s="3" t="s">
        <v>147</v>
      </c>
      <c r="E91" s="3" t="s">
        <v>3691</v>
      </c>
      <c r="F91" s="3" t="s">
        <v>3628</v>
      </c>
      <c r="G91" s="3" t="s">
        <v>3595</v>
      </c>
      <c r="H91" s="8" t="n">
        <v>3</v>
      </c>
      <c r="I91" s="8" t="s">
        <v>18</v>
      </c>
      <c r="J91" s="8" t="s">
        <v>59</v>
      </c>
      <c r="K91" s="8" t="s">
        <v>61</v>
      </c>
      <c r="L91" s="8" t="n">
        <v>600</v>
      </c>
      <c r="M91" s="8" t="n">
        <v>1800</v>
      </c>
      <c r="N91" s="6" t="n">
        <f aca="false">L91*0.6*H91</f>
        <v>1080</v>
      </c>
      <c r="O91" s="6" t="n">
        <f aca="false">M91-N91</f>
        <v>720</v>
      </c>
      <c r="P91" s="7" t="n">
        <f aca="false">IF(M91=0,0,O91/M91)</f>
        <v>0.4</v>
      </c>
    </row>
    <row r="92" customFormat="false" ht="15" hidden="false" customHeight="false" outlineLevel="0" collapsed="false">
      <c r="A92" s="2" t="n">
        <v>1324</v>
      </c>
      <c r="B92" s="2" t="s">
        <v>492</v>
      </c>
      <c r="C92" s="2" t="s">
        <v>491</v>
      </c>
      <c r="D92" s="2" t="s">
        <v>147</v>
      </c>
      <c r="E92" s="2" t="s">
        <v>3692</v>
      </c>
      <c r="F92" s="2" t="s">
        <v>3599</v>
      </c>
      <c r="G92" s="2" t="s">
        <v>3600</v>
      </c>
      <c r="H92" s="5" t="n">
        <v>1</v>
      </c>
      <c r="I92" s="5" t="s">
        <v>18</v>
      </c>
      <c r="J92" s="5" t="s">
        <v>121</v>
      </c>
      <c r="K92" s="5" t="s">
        <v>123</v>
      </c>
      <c r="L92" s="5" t="n">
        <v>600</v>
      </c>
      <c r="M92" s="5" t="n">
        <v>600</v>
      </c>
      <c r="N92" s="6" t="n">
        <f aca="false">L92*0.6*H92</f>
        <v>360</v>
      </c>
      <c r="O92" s="6" t="n">
        <f aca="false">M92-N92</f>
        <v>240</v>
      </c>
      <c r="P92" s="7" t="n">
        <f aca="false">IF(M92=0,0,O92/M92)</f>
        <v>0.4</v>
      </c>
    </row>
    <row r="93" customFormat="false" ht="15" hidden="false" customHeight="false" outlineLevel="0" collapsed="false">
      <c r="A93" s="3" t="n">
        <v>1325</v>
      </c>
      <c r="B93" s="3" t="s">
        <v>381</v>
      </c>
      <c r="C93" s="3" t="s">
        <v>496</v>
      </c>
      <c r="D93" s="3" t="s">
        <v>16</v>
      </c>
      <c r="E93" s="3" t="s">
        <v>3693</v>
      </c>
      <c r="F93" s="3" t="s">
        <v>3603</v>
      </c>
      <c r="G93" s="3" t="s">
        <v>3604</v>
      </c>
      <c r="H93" s="8" t="n">
        <v>2</v>
      </c>
      <c r="I93" s="8" t="s">
        <v>51</v>
      </c>
      <c r="J93" s="8" t="s">
        <v>59</v>
      </c>
      <c r="K93" s="8" t="s">
        <v>99</v>
      </c>
      <c r="L93" s="8" t="n">
        <v>250</v>
      </c>
      <c r="M93" s="8" t="n">
        <v>500</v>
      </c>
      <c r="N93" s="6" t="n">
        <f aca="false">L93*0.6*H93</f>
        <v>300</v>
      </c>
      <c r="O93" s="6" t="n">
        <f aca="false">M93-N93</f>
        <v>200</v>
      </c>
      <c r="P93" s="7" t="n">
        <f aca="false">IF(M93=0,0,O93/M93)</f>
        <v>0.4</v>
      </c>
    </row>
    <row r="94" customFormat="false" ht="15" hidden="false" customHeight="false" outlineLevel="0" collapsed="false">
      <c r="A94" s="2" t="n">
        <v>1326</v>
      </c>
      <c r="B94" s="2" t="s">
        <v>501</v>
      </c>
      <c r="C94" s="2" t="s">
        <v>500</v>
      </c>
      <c r="D94" s="2" t="s">
        <v>16</v>
      </c>
      <c r="E94" s="2" t="s">
        <v>3694</v>
      </c>
      <c r="F94" s="2" t="s">
        <v>3603</v>
      </c>
      <c r="G94" s="2" t="s">
        <v>3604</v>
      </c>
      <c r="H94" s="5" t="n">
        <v>3</v>
      </c>
      <c r="I94" s="5" t="s">
        <v>18</v>
      </c>
      <c r="J94" s="5" t="s">
        <v>78</v>
      </c>
      <c r="K94" s="5" t="s">
        <v>86</v>
      </c>
      <c r="L94" s="5" t="n">
        <v>250</v>
      </c>
      <c r="M94" s="5" t="n">
        <v>750</v>
      </c>
      <c r="N94" s="6" t="n">
        <f aca="false">L94*0.6*H94</f>
        <v>450</v>
      </c>
      <c r="O94" s="6" t="n">
        <f aca="false">M94-N94</f>
        <v>300</v>
      </c>
      <c r="P94" s="7" t="n">
        <f aca="false">IF(M94=0,0,O94/M94)</f>
        <v>0.4</v>
      </c>
    </row>
    <row r="95" customFormat="false" ht="15" hidden="false" customHeight="false" outlineLevel="0" collapsed="false">
      <c r="A95" s="3" t="n">
        <v>1327</v>
      </c>
      <c r="B95" s="3" t="s">
        <v>506</v>
      </c>
      <c r="C95" s="3" t="s">
        <v>505</v>
      </c>
      <c r="D95" s="3" t="s">
        <v>25</v>
      </c>
      <c r="E95" s="3" t="s">
        <v>3695</v>
      </c>
      <c r="F95" s="3" t="s">
        <v>1756</v>
      </c>
      <c r="G95" s="3" t="s">
        <v>3595</v>
      </c>
      <c r="H95" s="8" t="n">
        <v>2</v>
      </c>
      <c r="I95" s="8" t="s">
        <v>51</v>
      </c>
      <c r="J95" s="8" t="s">
        <v>43</v>
      </c>
      <c r="K95" s="8" t="s">
        <v>67</v>
      </c>
      <c r="L95" s="8" t="n">
        <v>800</v>
      </c>
      <c r="M95" s="8" t="n">
        <v>1600</v>
      </c>
      <c r="N95" s="6" t="n">
        <f aca="false">L95*0.6*H95</f>
        <v>960</v>
      </c>
      <c r="O95" s="6" t="n">
        <f aca="false">M95-N95</f>
        <v>640</v>
      </c>
      <c r="P95" s="7" t="n">
        <f aca="false">IF(M95=0,0,O95/M95)</f>
        <v>0.4</v>
      </c>
    </row>
    <row r="96" customFormat="false" ht="15" hidden="false" customHeight="false" outlineLevel="0" collapsed="false">
      <c r="A96" s="2" t="n">
        <v>1328</v>
      </c>
      <c r="B96" s="2" t="s">
        <v>511</v>
      </c>
      <c r="C96" s="2" t="s">
        <v>510</v>
      </c>
      <c r="D96" s="2" t="s">
        <v>108</v>
      </c>
      <c r="E96" s="2" t="s">
        <v>3696</v>
      </c>
      <c r="F96" s="2" t="s">
        <v>3625</v>
      </c>
      <c r="G96" s="2" t="s">
        <v>3592</v>
      </c>
      <c r="H96" s="5" t="n">
        <v>3</v>
      </c>
      <c r="I96" s="5" t="s">
        <v>97</v>
      </c>
      <c r="J96" s="5" t="s">
        <v>121</v>
      </c>
      <c r="K96" s="5" t="s">
        <v>123</v>
      </c>
      <c r="L96" s="5" t="n">
        <v>1200</v>
      </c>
      <c r="M96" s="5" t="n">
        <v>3600</v>
      </c>
      <c r="N96" s="6" t="n">
        <f aca="false">L96*0.6*H96</f>
        <v>2160</v>
      </c>
      <c r="O96" s="6" t="n">
        <f aca="false">M96-N96</f>
        <v>1440</v>
      </c>
      <c r="P96" s="7" t="n">
        <f aca="false">IF(M96=0,0,O96/M96)</f>
        <v>0.4</v>
      </c>
    </row>
    <row r="97" customFormat="false" ht="15" hidden="false" customHeight="false" outlineLevel="0" collapsed="false">
      <c r="A97" s="3" t="n">
        <v>1329</v>
      </c>
      <c r="B97" s="3" t="s">
        <v>516</v>
      </c>
      <c r="C97" s="3" t="s">
        <v>515</v>
      </c>
      <c r="D97" s="3" t="s">
        <v>34</v>
      </c>
      <c r="E97" s="3" t="s">
        <v>3676</v>
      </c>
      <c r="F97" s="3" t="s">
        <v>3625</v>
      </c>
      <c r="G97" s="3" t="s">
        <v>3592</v>
      </c>
      <c r="H97" s="8" t="n">
        <v>2</v>
      </c>
      <c r="I97" s="8" t="s">
        <v>18</v>
      </c>
      <c r="J97" s="8" t="s">
        <v>52</v>
      </c>
      <c r="K97" s="8" t="s">
        <v>92</v>
      </c>
      <c r="L97" s="8" t="n">
        <v>300</v>
      </c>
      <c r="M97" s="8" t="n">
        <v>600</v>
      </c>
      <c r="N97" s="6" t="n">
        <f aca="false">L97*0.6*H97</f>
        <v>360</v>
      </c>
      <c r="O97" s="6" t="n">
        <f aca="false">M97-N97</f>
        <v>240</v>
      </c>
      <c r="P97" s="7" t="n">
        <f aca="false">IF(M97=0,0,O97/M97)</f>
        <v>0.4</v>
      </c>
    </row>
    <row r="98" customFormat="false" ht="15" hidden="false" customHeight="false" outlineLevel="0" collapsed="false">
      <c r="A98" s="2" t="n">
        <v>1330</v>
      </c>
      <c r="B98" s="2" t="s">
        <v>520</v>
      </c>
      <c r="C98" s="2" t="s">
        <v>519</v>
      </c>
      <c r="D98" s="2" t="s">
        <v>16</v>
      </c>
      <c r="E98" s="2" t="s">
        <v>3697</v>
      </c>
      <c r="F98" s="2" t="s">
        <v>3591</v>
      </c>
      <c r="G98" s="2" t="s">
        <v>3592</v>
      </c>
      <c r="H98" s="5" t="n">
        <v>1</v>
      </c>
      <c r="I98" s="5" t="s">
        <v>51</v>
      </c>
      <c r="J98" s="5" t="s">
        <v>78</v>
      </c>
      <c r="K98" s="5" t="s">
        <v>86</v>
      </c>
      <c r="L98" s="5" t="n">
        <v>250</v>
      </c>
      <c r="M98" s="5" t="n">
        <v>250</v>
      </c>
      <c r="N98" s="6" t="n">
        <f aca="false">L98*0.6*H98</f>
        <v>150</v>
      </c>
      <c r="O98" s="6" t="n">
        <f aca="false">M98-N98</f>
        <v>100</v>
      </c>
      <c r="P98" s="7" t="n">
        <f aca="false">IF(M98=0,0,O98/M98)</f>
        <v>0.4</v>
      </c>
    </row>
    <row r="99" customFormat="false" ht="15" hidden="false" customHeight="false" outlineLevel="0" collapsed="false">
      <c r="A99" s="3" t="n">
        <v>1331</v>
      </c>
      <c r="B99" s="3" t="s">
        <v>525</v>
      </c>
      <c r="C99" s="3" t="s">
        <v>524</v>
      </c>
      <c r="D99" s="3" t="s">
        <v>108</v>
      </c>
      <c r="E99" s="3" t="s">
        <v>3698</v>
      </c>
      <c r="F99" s="3" t="s">
        <v>3599</v>
      </c>
      <c r="G99" s="3" t="s">
        <v>3600</v>
      </c>
      <c r="H99" s="8" t="n">
        <v>2</v>
      </c>
      <c r="I99" s="8" t="s">
        <v>51</v>
      </c>
      <c r="J99" s="8" t="s">
        <v>52</v>
      </c>
      <c r="K99" s="8" t="s">
        <v>92</v>
      </c>
      <c r="L99" s="8" t="n">
        <v>1200</v>
      </c>
      <c r="M99" s="8" t="n">
        <v>2400</v>
      </c>
      <c r="N99" s="6" t="n">
        <f aca="false">L99*0.6*H99</f>
        <v>1440</v>
      </c>
      <c r="O99" s="6" t="n">
        <f aca="false">M99-N99</f>
        <v>960</v>
      </c>
      <c r="P99" s="7" t="n">
        <f aca="false">IF(M99=0,0,O99/M99)</f>
        <v>0.4</v>
      </c>
    </row>
    <row r="100" customFormat="false" ht="15" hidden="false" customHeight="false" outlineLevel="0" collapsed="false">
      <c r="A100" s="2" t="n">
        <v>1332</v>
      </c>
      <c r="B100" s="2" t="s">
        <v>530</v>
      </c>
      <c r="C100" s="2" t="s">
        <v>529</v>
      </c>
      <c r="D100" s="2" t="s">
        <v>108</v>
      </c>
      <c r="E100" s="2" t="s">
        <v>3699</v>
      </c>
      <c r="F100" s="2" t="s">
        <v>3591</v>
      </c>
      <c r="G100" s="2" t="s">
        <v>3592</v>
      </c>
      <c r="H100" s="5" t="n">
        <v>2</v>
      </c>
      <c r="I100" s="5" t="s">
        <v>18</v>
      </c>
      <c r="J100" s="5" t="s">
        <v>36</v>
      </c>
      <c r="K100" s="5" t="s">
        <v>170</v>
      </c>
      <c r="L100" s="5" t="n">
        <v>1200</v>
      </c>
      <c r="M100" s="5" t="n">
        <v>2400</v>
      </c>
      <c r="N100" s="6" t="n">
        <f aca="false">L100*0.6*H100</f>
        <v>1440</v>
      </c>
      <c r="O100" s="6" t="n">
        <f aca="false">M100-N100</f>
        <v>960</v>
      </c>
      <c r="P100" s="7" t="n">
        <f aca="false">IF(M100=0,0,O100/M100)</f>
        <v>0.4</v>
      </c>
    </row>
    <row r="101" customFormat="false" ht="15" hidden="false" customHeight="false" outlineLevel="0" collapsed="false">
      <c r="A101" s="3" t="n">
        <v>1333</v>
      </c>
      <c r="B101" s="3" t="s">
        <v>535</v>
      </c>
      <c r="C101" s="3" t="s">
        <v>534</v>
      </c>
      <c r="D101" s="3" t="s">
        <v>34</v>
      </c>
      <c r="E101" s="3" t="s">
        <v>3700</v>
      </c>
      <c r="F101" s="3" t="s">
        <v>3599</v>
      </c>
      <c r="G101" s="3" t="s">
        <v>3600</v>
      </c>
      <c r="H101" s="8" t="n">
        <v>2</v>
      </c>
      <c r="I101" s="8" t="s">
        <v>51</v>
      </c>
      <c r="J101" s="8" t="s">
        <v>59</v>
      </c>
      <c r="K101" s="8" t="s">
        <v>61</v>
      </c>
      <c r="L101" s="8" t="n">
        <v>300</v>
      </c>
      <c r="M101" s="8" t="n">
        <v>600</v>
      </c>
      <c r="N101" s="6" t="n">
        <f aca="false">L101*0.6*H101</f>
        <v>360</v>
      </c>
      <c r="O101" s="6" t="n">
        <f aca="false">M101-N101</f>
        <v>240</v>
      </c>
      <c r="P101" s="7" t="n">
        <f aca="false">IF(M101=0,0,O101/M101)</f>
        <v>0.4</v>
      </c>
    </row>
    <row r="102" customFormat="false" ht="15" hidden="false" customHeight="false" outlineLevel="0" collapsed="false">
      <c r="A102" s="2" t="n">
        <v>1334</v>
      </c>
      <c r="B102" s="2" t="s">
        <v>540</v>
      </c>
      <c r="C102" s="2" t="s">
        <v>539</v>
      </c>
      <c r="D102" s="2" t="s">
        <v>16</v>
      </c>
      <c r="E102" s="2" t="s">
        <v>3701</v>
      </c>
      <c r="F102" s="2" t="s">
        <v>3625</v>
      </c>
      <c r="G102" s="2" t="s">
        <v>3592</v>
      </c>
      <c r="H102" s="5" t="n">
        <v>2</v>
      </c>
      <c r="I102" s="5" t="s">
        <v>18</v>
      </c>
      <c r="J102" s="5" t="s">
        <v>121</v>
      </c>
      <c r="K102" s="5" t="s">
        <v>123</v>
      </c>
      <c r="L102" s="5" t="n">
        <v>250</v>
      </c>
      <c r="M102" s="5" t="n">
        <v>500</v>
      </c>
      <c r="N102" s="6" t="n">
        <f aca="false">L102*0.6*H102</f>
        <v>300</v>
      </c>
      <c r="O102" s="6" t="n">
        <f aca="false">M102-N102</f>
        <v>200</v>
      </c>
      <c r="P102" s="7" t="n">
        <f aca="false">IF(M102=0,0,O102/M102)</f>
        <v>0.4</v>
      </c>
    </row>
    <row r="103" customFormat="false" ht="15" hidden="false" customHeight="false" outlineLevel="0" collapsed="false">
      <c r="A103" s="3" t="n">
        <v>1335</v>
      </c>
      <c r="B103" s="3" t="s">
        <v>544</v>
      </c>
      <c r="C103" s="3" t="s">
        <v>264</v>
      </c>
      <c r="D103" s="3" t="s">
        <v>49</v>
      </c>
      <c r="E103" s="3" t="s">
        <v>3643</v>
      </c>
      <c r="F103" s="3" t="s">
        <v>3591</v>
      </c>
      <c r="G103" s="3" t="s">
        <v>3592</v>
      </c>
      <c r="H103" s="8" t="n">
        <v>3</v>
      </c>
      <c r="I103" s="8" t="s">
        <v>18</v>
      </c>
      <c r="J103" s="8" t="s">
        <v>19</v>
      </c>
      <c r="K103" s="8" t="s">
        <v>176</v>
      </c>
      <c r="L103" s="8" t="n">
        <v>250</v>
      </c>
      <c r="M103" s="8" t="n">
        <v>750</v>
      </c>
      <c r="N103" s="6" t="n">
        <f aca="false">L103*0.6*H103</f>
        <v>450</v>
      </c>
      <c r="O103" s="6" t="n">
        <f aca="false">M103-N103</f>
        <v>300</v>
      </c>
      <c r="P103" s="7" t="n">
        <f aca="false">IF(M103=0,0,O103/M103)</f>
        <v>0.4</v>
      </c>
    </row>
    <row r="104" customFormat="false" ht="15" hidden="false" customHeight="false" outlineLevel="0" collapsed="false">
      <c r="A104" s="2" t="n">
        <v>1336</v>
      </c>
      <c r="B104" s="2" t="s">
        <v>548</v>
      </c>
      <c r="C104" s="2" t="s">
        <v>547</v>
      </c>
      <c r="D104" s="2" t="s">
        <v>147</v>
      </c>
      <c r="E104" s="2" t="s">
        <v>3702</v>
      </c>
      <c r="F104" s="2" t="s">
        <v>3610</v>
      </c>
      <c r="G104" s="2" t="s">
        <v>3600</v>
      </c>
      <c r="H104" s="5" t="n">
        <v>1</v>
      </c>
      <c r="I104" s="5" t="s">
        <v>51</v>
      </c>
      <c r="J104" s="5" t="s">
        <v>59</v>
      </c>
      <c r="K104" s="5" t="s">
        <v>292</v>
      </c>
      <c r="L104" s="5" t="n">
        <v>600</v>
      </c>
      <c r="M104" s="5" t="n">
        <v>600</v>
      </c>
      <c r="N104" s="6" t="n">
        <f aca="false">L104*0.6*H104</f>
        <v>360</v>
      </c>
      <c r="O104" s="6" t="n">
        <f aca="false">M104-N104</f>
        <v>240</v>
      </c>
      <c r="P104" s="7" t="n">
        <f aca="false">IF(M104=0,0,O104/M104)</f>
        <v>0.4</v>
      </c>
    </row>
    <row r="105" customFormat="false" ht="15" hidden="false" customHeight="false" outlineLevel="0" collapsed="false">
      <c r="A105" s="3" t="n">
        <v>1337</v>
      </c>
      <c r="B105" s="3" t="s">
        <v>552</v>
      </c>
      <c r="C105" s="3" t="s">
        <v>534</v>
      </c>
      <c r="D105" s="3" t="s">
        <v>108</v>
      </c>
      <c r="E105" s="3" t="s">
        <v>3703</v>
      </c>
      <c r="F105" s="3" t="s">
        <v>3594</v>
      </c>
      <c r="G105" s="3" t="s">
        <v>3595</v>
      </c>
      <c r="H105" s="8" t="n">
        <v>3</v>
      </c>
      <c r="I105" s="8" t="s">
        <v>18</v>
      </c>
      <c r="J105" s="8" t="s">
        <v>52</v>
      </c>
      <c r="K105" s="8" t="s">
        <v>92</v>
      </c>
      <c r="L105" s="8" t="n">
        <v>1200</v>
      </c>
      <c r="M105" s="8" t="n">
        <v>3600</v>
      </c>
      <c r="N105" s="6" t="n">
        <f aca="false">L105*0.6*H105</f>
        <v>2160</v>
      </c>
      <c r="O105" s="6" t="n">
        <f aca="false">M105-N105</f>
        <v>1440</v>
      </c>
      <c r="P105" s="7" t="n">
        <f aca="false">IF(M105=0,0,O105/M105)</f>
        <v>0.4</v>
      </c>
    </row>
    <row r="106" customFormat="false" ht="15" hidden="false" customHeight="false" outlineLevel="0" collapsed="false">
      <c r="A106" s="2" t="n">
        <v>1338</v>
      </c>
      <c r="B106" s="2" t="s">
        <v>557</v>
      </c>
      <c r="C106" s="2" t="s">
        <v>556</v>
      </c>
      <c r="D106" s="2" t="s">
        <v>16</v>
      </c>
      <c r="E106" s="2" t="s">
        <v>3704</v>
      </c>
      <c r="F106" s="2" t="s">
        <v>2379</v>
      </c>
      <c r="G106" s="2" t="s">
        <v>3592</v>
      </c>
      <c r="H106" s="5" t="n">
        <v>2</v>
      </c>
      <c r="I106" s="5" t="s">
        <v>18</v>
      </c>
      <c r="J106" s="5" t="s">
        <v>36</v>
      </c>
      <c r="K106" s="5" t="s">
        <v>38</v>
      </c>
      <c r="L106" s="5" t="n">
        <v>250</v>
      </c>
      <c r="M106" s="5" t="n">
        <v>500</v>
      </c>
      <c r="N106" s="6" t="n">
        <f aca="false">L106*0.6*H106</f>
        <v>300</v>
      </c>
      <c r="O106" s="6" t="n">
        <f aca="false">M106-N106</f>
        <v>200</v>
      </c>
      <c r="P106" s="7" t="n">
        <f aca="false">IF(M106=0,0,O106/M106)</f>
        <v>0.4</v>
      </c>
    </row>
    <row r="107" customFormat="false" ht="15" hidden="false" customHeight="false" outlineLevel="0" collapsed="false">
      <c r="A107" s="3" t="n">
        <v>1339</v>
      </c>
      <c r="B107" s="3" t="s">
        <v>562</v>
      </c>
      <c r="C107" s="3" t="s">
        <v>561</v>
      </c>
      <c r="D107" s="3" t="s">
        <v>49</v>
      </c>
      <c r="E107" s="3" t="s">
        <v>3705</v>
      </c>
      <c r="F107" s="3" t="s">
        <v>3594</v>
      </c>
      <c r="G107" s="3" t="s">
        <v>3595</v>
      </c>
      <c r="H107" s="8" t="n">
        <v>2</v>
      </c>
      <c r="I107" s="8" t="s">
        <v>18</v>
      </c>
      <c r="J107" s="8" t="s">
        <v>19</v>
      </c>
      <c r="K107" s="8" t="s">
        <v>21</v>
      </c>
      <c r="L107" s="8" t="n">
        <v>250</v>
      </c>
      <c r="M107" s="8" t="n">
        <v>500</v>
      </c>
      <c r="N107" s="6" t="n">
        <f aca="false">L107*0.6*H107</f>
        <v>300</v>
      </c>
      <c r="O107" s="6" t="n">
        <f aca="false">M107-N107</f>
        <v>200</v>
      </c>
      <c r="P107" s="7" t="n">
        <f aca="false">IF(M107=0,0,O107/M107)</f>
        <v>0.4</v>
      </c>
    </row>
    <row r="108" customFormat="false" ht="15" hidden="false" customHeight="false" outlineLevel="0" collapsed="false">
      <c r="A108" s="2" t="n">
        <v>1340</v>
      </c>
      <c r="B108" s="2" t="s">
        <v>567</v>
      </c>
      <c r="C108" s="2" t="s">
        <v>566</v>
      </c>
      <c r="D108" s="2" t="s">
        <v>49</v>
      </c>
      <c r="E108" s="2" t="s">
        <v>3624</v>
      </c>
      <c r="F108" s="2" t="s">
        <v>3625</v>
      </c>
      <c r="G108" s="2" t="s">
        <v>3592</v>
      </c>
      <c r="H108" s="5" t="n">
        <v>3</v>
      </c>
      <c r="I108" s="5" t="s">
        <v>18</v>
      </c>
      <c r="J108" s="5" t="s">
        <v>19</v>
      </c>
      <c r="K108" s="5" t="s">
        <v>21</v>
      </c>
      <c r="L108" s="5" t="n">
        <v>250</v>
      </c>
      <c r="M108" s="5" t="n">
        <v>750</v>
      </c>
      <c r="N108" s="6" t="n">
        <f aca="false">L108*0.6*H108</f>
        <v>450</v>
      </c>
      <c r="O108" s="6" t="n">
        <f aca="false">M108-N108</f>
        <v>300</v>
      </c>
      <c r="P108" s="7" t="n">
        <f aca="false">IF(M108=0,0,O108/M108)</f>
        <v>0.4</v>
      </c>
    </row>
    <row r="109" customFormat="false" ht="15" hidden="false" customHeight="false" outlineLevel="0" collapsed="false">
      <c r="A109" s="3" t="n">
        <v>1341</v>
      </c>
      <c r="B109" s="3" t="s">
        <v>119</v>
      </c>
      <c r="C109" s="3" t="s">
        <v>570</v>
      </c>
      <c r="D109" s="3" t="s">
        <v>25</v>
      </c>
      <c r="E109" s="3" t="s">
        <v>3706</v>
      </c>
      <c r="F109" s="3" t="s">
        <v>3606</v>
      </c>
      <c r="G109" s="3" t="s">
        <v>3600</v>
      </c>
      <c r="H109" s="8" t="n">
        <v>3</v>
      </c>
      <c r="I109" s="8" t="s">
        <v>51</v>
      </c>
      <c r="J109" s="8" t="s">
        <v>36</v>
      </c>
      <c r="K109" s="8" t="s">
        <v>170</v>
      </c>
      <c r="L109" s="8" t="n">
        <v>800</v>
      </c>
      <c r="M109" s="8" t="n">
        <v>2400</v>
      </c>
      <c r="N109" s="6" t="n">
        <f aca="false">L109*0.6*H109</f>
        <v>1440</v>
      </c>
      <c r="O109" s="6" t="n">
        <f aca="false">M109-N109</f>
        <v>960</v>
      </c>
      <c r="P109" s="7" t="n">
        <f aca="false">IF(M109=0,0,O109/M109)</f>
        <v>0.4</v>
      </c>
    </row>
    <row r="110" customFormat="false" ht="15" hidden="false" customHeight="false" outlineLevel="0" collapsed="false">
      <c r="A110" s="2" t="n">
        <v>1342</v>
      </c>
      <c r="B110" s="2" t="s">
        <v>575</v>
      </c>
      <c r="C110" s="2" t="s">
        <v>574</v>
      </c>
      <c r="D110" s="2" t="s">
        <v>108</v>
      </c>
      <c r="E110" s="2" t="s">
        <v>3707</v>
      </c>
      <c r="F110" s="2" t="s">
        <v>3625</v>
      </c>
      <c r="G110" s="2" t="s">
        <v>3592</v>
      </c>
      <c r="H110" s="5" t="n">
        <v>1</v>
      </c>
      <c r="I110" s="5" t="s">
        <v>51</v>
      </c>
      <c r="J110" s="5" t="s">
        <v>52</v>
      </c>
      <c r="K110" s="5" t="s">
        <v>182</v>
      </c>
      <c r="L110" s="5" t="n">
        <v>1200</v>
      </c>
      <c r="M110" s="5" t="n">
        <v>1200</v>
      </c>
      <c r="N110" s="6" t="n">
        <f aca="false">L110*0.6*H110</f>
        <v>720</v>
      </c>
      <c r="O110" s="6" t="n">
        <f aca="false">M110-N110</f>
        <v>480</v>
      </c>
      <c r="P110" s="7" t="n">
        <f aca="false">IF(M110=0,0,O110/M110)</f>
        <v>0.4</v>
      </c>
    </row>
    <row r="111" customFormat="false" ht="15" hidden="false" customHeight="false" outlineLevel="0" collapsed="false">
      <c r="A111" s="3" t="n">
        <v>1343</v>
      </c>
      <c r="B111" s="3" t="s">
        <v>580</v>
      </c>
      <c r="C111" s="3" t="s">
        <v>579</v>
      </c>
      <c r="D111" s="3" t="s">
        <v>49</v>
      </c>
      <c r="E111" s="3" t="s">
        <v>3708</v>
      </c>
      <c r="F111" s="3" t="s">
        <v>3608</v>
      </c>
      <c r="G111" s="3" t="s">
        <v>3604</v>
      </c>
      <c r="H111" s="8" t="n">
        <v>3</v>
      </c>
      <c r="I111" s="8" t="s">
        <v>51</v>
      </c>
      <c r="J111" s="8" t="s">
        <v>59</v>
      </c>
      <c r="K111" s="8" t="s">
        <v>99</v>
      </c>
      <c r="L111" s="8" t="n">
        <v>250</v>
      </c>
      <c r="M111" s="8" t="n">
        <v>750</v>
      </c>
      <c r="N111" s="6" t="n">
        <f aca="false">L111*0.6*H111</f>
        <v>450</v>
      </c>
      <c r="O111" s="6" t="n">
        <f aca="false">M111-N111</f>
        <v>300</v>
      </c>
      <c r="P111" s="7" t="n">
        <f aca="false">IF(M111=0,0,O111/M111)</f>
        <v>0.4</v>
      </c>
    </row>
    <row r="112" customFormat="false" ht="15" hidden="false" customHeight="false" outlineLevel="0" collapsed="false">
      <c r="A112" s="2" t="n">
        <v>1344</v>
      </c>
      <c r="B112" s="2" t="s">
        <v>585</v>
      </c>
      <c r="C112" s="2" t="s">
        <v>584</v>
      </c>
      <c r="D112" s="2" t="s">
        <v>108</v>
      </c>
      <c r="E112" s="2" t="s">
        <v>3709</v>
      </c>
      <c r="F112" s="2" t="s">
        <v>3594</v>
      </c>
      <c r="G112" s="2" t="s">
        <v>3595</v>
      </c>
      <c r="H112" s="5" t="n">
        <v>3</v>
      </c>
      <c r="I112" s="5" t="s">
        <v>97</v>
      </c>
      <c r="J112" s="5" t="s">
        <v>59</v>
      </c>
      <c r="K112" s="5" t="s">
        <v>99</v>
      </c>
      <c r="L112" s="5" t="n">
        <v>1200</v>
      </c>
      <c r="M112" s="5" t="n">
        <v>3600</v>
      </c>
      <c r="N112" s="6" t="n">
        <f aca="false">L112*0.6*H112</f>
        <v>2160</v>
      </c>
      <c r="O112" s="6" t="n">
        <f aca="false">M112-N112</f>
        <v>1440</v>
      </c>
      <c r="P112" s="7" t="n">
        <f aca="false">IF(M112=0,0,O112/M112)</f>
        <v>0.4</v>
      </c>
    </row>
    <row r="113" customFormat="false" ht="15" hidden="false" customHeight="false" outlineLevel="0" collapsed="false">
      <c r="A113" s="3" t="n">
        <v>1345</v>
      </c>
      <c r="B113" s="3" t="s">
        <v>589</v>
      </c>
      <c r="C113" s="3" t="s">
        <v>496</v>
      </c>
      <c r="D113" s="3" t="s">
        <v>16</v>
      </c>
      <c r="E113" s="3" t="s">
        <v>3710</v>
      </c>
      <c r="F113" s="3" t="s">
        <v>3594</v>
      </c>
      <c r="G113" s="3" t="s">
        <v>3595</v>
      </c>
      <c r="H113" s="8" t="n">
        <v>1</v>
      </c>
      <c r="I113" s="8" t="s">
        <v>51</v>
      </c>
      <c r="J113" s="8" t="s">
        <v>52</v>
      </c>
      <c r="K113" s="8" t="s">
        <v>54</v>
      </c>
      <c r="L113" s="8" t="n">
        <v>250</v>
      </c>
      <c r="M113" s="8" t="n">
        <v>250</v>
      </c>
      <c r="N113" s="6" t="n">
        <f aca="false">L113*0.6*H113</f>
        <v>150</v>
      </c>
      <c r="O113" s="6" t="n">
        <f aca="false">M113-N113</f>
        <v>100</v>
      </c>
      <c r="P113" s="7" t="n">
        <f aca="false">IF(M113=0,0,O113/M113)</f>
        <v>0.4</v>
      </c>
    </row>
    <row r="114" customFormat="false" ht="15" hidden="false" customHeight="false" outlineLevel="0" collapsed="false">
      <c r="A114" s="2" t="n">
        <v>1346</v>
      </c>
      <c r="B114" s="2" t="s">
        <v>152</v>
      </c>
      <c r="C114" s="2" t="s">
        <v>24</v>
      </c>
      <c r="D114" s="2" t="s">
        <v>25</v>
      </c>
      <c r="E114" s="2" t="s">
        <v>3711</v>
      </c>
      <c r="F114" s="2" t="s">
        <v>3610</v>
      </c>
      <c r="G114" s="2" t="s">
        <v>3600</v>
      </c>
      <c r="H114" s="5" t="n">
        <v>2</v>
      </c>
      <c r="I114" s="5" t="s">
        <v>51</v>
      </c>
      <c r="J114" s="5" t="s">
        <v>52</v>
      </c>
      <c r="K114" s="5" t="s">
        <v>92</v>
      </c>
      <c r="L114" s="5" t="n">
        <v>800</v>
      </c>
      <c r="M114" s="5" t="n">
        <v>1600</v>
      </c>
      <c r="N114" s="6" t="n">
        <f aca="false">L114*0.6*H114</f>
        <v>960</v>
      </c>
      <c r="O114" s="6" t="n">
        <f aca="false">M114-N114</f>
        <v>640</v>
      </c>
      <c r="P114" s="7" t="n">
        <f aca="false">IF(M114=0,0,O114/M114)</f>
        <v>0.4</v>
      </c>
    </row>
    <row r="115" customFormat="false" ht="15" hidden="false" customHeight="false" outlineLevel="0" collapsed="false">
      <c r="A115" s="3" t="n">
        <v>1347</v>
      </c>
      <c r="B115" s="3" t="s">
        <v>597</v>
      </c>
      <c r="C115" s="3" t="s">
        <v>596</v>
      </c>
      <c r="D115" s="3" t="s">
        <v>34</v>
      </c>
      <c r="E115" s="3" t="s">
        <v>3712</v>
      </c>
      <c r="F115" s="3" t="s">
        <v>3594</v>
      </c>
      <c r="G115" s="3" t="s">
        <v>3595</v>
      </c>
      <c r="H115" s="8" t="n">
        <v>3</v>
      </c>
      <c r="I115" s="8" t="s">
        <v>18</v>
      </c>
      <c r="J115" s="8" t="s">
        <v>78</v>
      </c>
      <c r="K115" s="8" t="s">
        <v>80</v>
      </c>
      <c r="L115" s="8" t="n">
        <v>300</v>
      </c>
      <c r="M115" s="8" t="n">
        <v>900</v>
      </c>
      <c r="N115" s="6" t="n">
        <f aca="false">L115*0.6*H115</f>
        <v>540</v>
      </c>
      <c r="O115" s="6" t="n">
        <f aca="false">M115-N115</f>
        <v>360</v>
      </c>
      <c r="P115" s="7" t="n">
        <f aca="false">IF(M115=0,0,O115/M115)</f>
        <v>0.4</v>
      </c>
    </row>
    <row r="116" customFormat="false" ht="15" hidden="false" customHeight="false" outlineLevel="0" collapsed="false">
      <c r="A116" s="2" t="n">
        <v>1348</v>
      </c>
      <c r="B116" s="2" t="s">
        <v>601</v>
      </c>
      <c r="C116" s="2" t="s">
        <v>491</v>
      </c>
      <c r="D116" s="2" t="s">
        <v>25</v>
      </c>
      <c r="E116" s="2" t="s">
        <v>3713</v>
      </c>
      <c r="F116" s="2" t="s">
        <v>3613</v>
      </c>
      <c r="G116" s="2" t="s">
        <v>3604</v>
      </c>
      <c r="H116" s="5" t="n">
        <v>1</v>
      </c>
      <c r="I116" s="5" t="s">
        <v>51</v>
      </c>
      <c r="J116" s="5" t="s">
        <v>59</v>
      </c>
      <c r="K116" s="5" t="s">
        <v>99</v>
      </c>
      <c r="L116" s="5" t="n">
        <v>800</v>
      </c>
      <c r="M116" s="5" t="n">
        <v>800</v>
      </c>
      <c r="N116" s="6" t="n">
        <f aca="false">L116*0.6*H116</f>
        <v>480</v>
      </c>
      <c r="O116" s="6" t="n">
        <f aca="false">M116-N116</f>
        <v>320</v>
      </c>
      <c r="P116" s="7" t="n">
        <f aca="false">IF(M116=0,0,O116/M116)</f>
        <v>0.4</v>
      </c>
    </row>
    <row r="117" customFormat="false" ht="15" hidden="false" customHeight="false" outlineLevel="0" collapsed="false">
      <c r="A117" s="3" t="n">
        <v>1349</v>
      </c>
      <c r="B117" s="3" t="s">
        <v>606</v>
      </c>
      <c r="C117" s="3" t="s">
        <v>605</v>
      </c>
      <c r="D117" s="3" t="s">
        <v>147</v>
      </c>
      <c r="E117" s="3" t="s">
        <v>3714</v>
      </c>
      <c r="F117" s="3" t="s">
        <v>3603</v>
      </c>
      <c r="G117" s="3" t="s">
        <v>3604</v>
      </c>
      <c r="H117" s="8" t="n">
        <v>1</v>
      </c>
      <c r="I117" s="8" t="s">
        <v>18</v>
      </c>
      <c r="J117" s="8" t="s">
        <v>28</v>
      </c>
      <c r="K117" s="8" t="s">
        <v>30</v>
      </c>
      <c r="L117" s="8" t="n">
        <v>600</v>
      </c>
      <c r="M117" s="8" t="n">
        <v>600</v>
      </c>
      <c r="N117" s="6" t="n">
        <f aca="false">L117*0.6*H117</f>
        <v>360</v>
      </c>
      <c r="O117" s="6" t="n">
        <f aca="false">M117-N117</f>
        <v>240</v>
      </c>
      <c r="P117" s="7" t="n">
        <f aca="false">IF(M117=0,0,O117/M117)</f>
        <v>0.4</v>
      </c>
    </row>
    <row r="118" customFormat="false" ht="15" hidden="false" customHeight="false" outlineLevel="0" collapsed="false">
      <c r="A118" s="2" t="n">
        <v>1350</v>
      </c>
      <c r="B118" s="2" t="s">
        <v>610</v>
      </c>
      <c r="C118" s="2" t="s">
        <v>329</v>
      </c>
      <c r="D118" s="2" t="s">
        <v>108</v>
      </c>
      <c r="E118" s="2" t="s">
        <v>3618</v>
      </c>
      <c r="F118" s="2" t="s">
        <v>3610</v>
      </c>
      <c r="G118" s="2" t="s">
        <v>3600</v>
      </c>
      <c r="H118" s="5" t="n">
        <v>2</v>
      </c>
      <c r="I118" s="5" t="s">
        <v>51</v>
      </c>
      <c r="J118" s="5" t="s">
        <v>36</v>
      </c>
      <c r="K118" s="5" t="s">
        <v>170</v>
      </c>
      <c r="L118" s="5" t="n">
        <v>1200</v>
      </c>
      <c r="M118" s="5" t="n">
        <v>2400</v>
      </c>
      <c r="N118" s="6" t="n">
        <f aca="false">L118*0.6*H118</f>
        <v>1440</v>
      </c>
      <c r="O118" s="6" t="n">
        <f aca="false">M118-N118</f>
        <v>960</v>
      </c>
      <c r="P118" s="7" t="n">
        <f aca="false">IF(M118=0,0,O118/M118)</f>
        <v>0.4</v>
      </c>
    </row>
    <row r="119" customFormat="false" ht="15" hidden="false" customHeight="false" outlineLevel="0" collapsed="false">
      <c r="A119" s="3" t="n">
        <v>1351</v>
      </c>
      <c r="B119" s="3" t="s">
        <v>614</v>
      </c>
      <c r="C119" s="3" t="s">
        <v>613</v>
      </c>
      <c r="D119" s="3" t="s">
        <v>147</v>
      </c>
      <c r="E119" s="3" t="s">
        <v>3660</v>
      </c>
      <c r="F119" s="3" t="s">
        <v>3603</v>
      </c>
      <c r="G119" s="3" t="s">
        <v>3604</v>
      </c>
      <c r="H119" s="8" t="n">
        <v>3</v>
      </c>
      <c r="I119" s="8" t="s">
        <v>51</v>
      </c>
      <c r="J119" s="8" t="s">
        <v>78</v>
      </c>
      <c r="K119" s="8" t="s">
        <v>408</v>
      </c>
      <c r="L119" s="8" t="n">
        <v>600</v>
      </c>
      <c r="M119" s="8" t="n">
        <v>1800</v>
      </c>
      <c r="N119" s="6" t="n">
        <f aca="false">L119*0.6*H119</f>
        <v>1080</v>
      </c>
      <c r="O119" s="6" t="n">
        <f aca="false">M119-N119</f>
        <v>720</v>
      </c>
      <c r="P119" s="7" t="n">
        <f aca="false">IF(M119=0,0,O119/M119)</f>
        <v>0.4</v>
      </c>
    </row>
    <row r="120" customFormat="false" ht="15" hidden="false" customHeight="false" outlineLevel="0" collapsed="false">
      <c r="A120" s="2" t="n">
        <v>1352</v>
      </c>
      <c r="B120" s="2" t="s">
        <v>618</v>
      </c>
      <c r="C120" s="2" t="s">
        <v>617</v>
      </c>
      <c r="D120" s="2" t="s">
        <v>34</v>
      </c>
      <c r="E120" s="2" t="s">
        <v>3715</v>
      </c>
      <c r="F120" s="2" t="s">
        <v>3599</v>
      </c>
      <c r="G120" s="2" t="s">
        <v>3600</v>
      </c>
      <c r="H120" s="5" t="n">
        <v>3</v>
      </c>
      <c r="I120" s="5" t="s">
        <v>27</v>
      </c>
      <c r="J120" s="5" t="s">
        <v>59</v>
      </c>
      <c r="K120" s="5" t="s">
        <v>99</v>
      </c>
      <c r="L120" s="5" t="n">
        <v>300</v>
      </c>
      <c r="M120" s="5" t="n">
        <v>900</v>
      </c>
      <c r="N120" s="6" t="n">
        <f aca="false">L120*0.6*H120</f>
        <v>540</v>
      </c>
      <c r="O120" s="6" t="n">
        <f aca="false">M120-N120</f>
        <v>360</v>
      </c>
      <c r="P120" s="7" t="n">
        <f aca="false">IF(M120=0,0,O120/M120)</f>
        <v>0.4</v>
      </c>
    </row>
    <row r="121" customFormat="false" ht="15" hidden="false" customHeight="false" outlineLevel="0" collapsed="false">
      <c r="A121" s="3" t="n">
        <v>1353</v>
      </c>
      <c r="B121" s="3" t="s">
        <v>623</v>
      </c>
      <c r="C121" s="3" t="s">
        <v>622</v>
      </c>
      <c r="D121" s="3" t="s">
        <v>108</v>
      </c>
      <c r="E121" s="3" t="s">
        <v>3716</v>
      </c>
      <c r="F121" s="3" t="s">
        <v>2379</v>
      </c>
      <c r="G121" s="3" t="s">
        <v>3592</v>
      </c>
      <c r="H121" s="8" t="n">
        <v>2</v>
      </c>
      <c r="I121" s="8" t="s">
        <v>18</v>
      </c>
      <c r="J121" s="8" t="s">
        <v>59</v>
      </c>
      <c r="K121" s="8" t="s">
        <v>61</v>
      </c>
      <c r="L121" s="8" t="n">
        <v>1200</v>
      </c>
      <c r="M121" s="8" t="n">
        <v>2400</v>
      </c>
      <c r="N121" s="6" t="n">
        <f aca="false">L121*0.6*H121</f>
        <v>1440</v>
      </c>
      <c r="O121" s="6" t="n">
        <f aca="false">M121-N121</f>
        <v>960</v>
      </c>
      <c r="P121" s="7" t="n">
        <f aca="false">IF(M121=0,0,O121/M121)</f>
        <v>0.4</v>
      </c>
    </row>
    <row r="122" customFormat="false" ht="15" hidden="false" customHeight="false" outlineLevel="0" collapsed="false">
      <c r="A122" s="2" t="n">
        <v>1354</v>
      </c>
      <c r="B122" s="2" t="s">
        <v>487</v>
      </c>
      <c r="C122" s="2" t="s">
        <v>627</v>
      </c>
      <c r="D122" s="2" t="s">
        <v>147</v>
      </c>
      <c r="E122" s="2" t="s">
        <v>3651</v>
      </c>
      <c r="F122" s="2" t="s">
        <v>1756</v>
      </c>
      <c r="G122" s="2" t="s">
        <v>3595</v>
      </c>
      <c r="H122" s="5" t="n">
        <v>2</v>
      </c>
      <c r="I122" s="5" t="s">
        <v>18</v>
      </c>
      <c r="J122" s="5" t="s">
        <v>52</v>
      </c>
      <c r="K122" s="5" t="s">
        <v>54</v>
      </c>
      <c r="L122" s="5" t="n">
        <v>600</v>
      </c>
      <c r="M122" s="5" t="n">
        <v>1200</v>
      </c>
      <c r="N122" s="6" t="n">
        <f aca="false">L122*0.6*H122</f>
        <v>720</v>
      </c>
      <c r="O122" s="6" t="n">
        <f aca="false">M122-N122</f>
        <v>480</v>
      </c>
      <c r="P122" s="7" t="n">
        <f aca="false">IF(M122=0,0,O122/M122)</f>
        <v>0.4</v>
      </c>
    </row>
    <row r="123" customFormat="false" ht="15" hidden="false" customHeight="false" outlineLevel="0" collapsed="false">
      <c r="A123" s="3" t="n">
        <v>1355</v>
      </c>
      <c r="B123" s="3" t="s">
        <v>630</v>
      </c>
      <c r="C123" s="3" t="s">
        <v>380</v>
      </c>
      <c r="D123" s="3" t="s">
        <v>34</v>
      </c>
      <c r="E123" s="3" t="s">
        <v>3683</v>
      </c>
      <c r="F123" s="3" t="s">
        <v>1756</v>
      </c>
      <c r="G123" s="3" t="s">
        <v>3595</v>
      </c>
      <c r="H123" s="8" t="n">
        <v>2</v>
      </c>
      <c r="I123" s="8" t="s">
        <v>18</v>
      </c>
      <c r="J123" s="8" t="s">
        <v>121</v>
      </c>
      <c r="K123" s="8" t="s">
        <v>317</v>
      </c>
      <c r="L123" s="8" t="n">
        <v>300</v>
      </c>
      <c r="M123" s="8" t="n">
        <v>600</v>
      </c>
      <c r="N123" s="6" t="n">
        <f aca="false">L123*0.6*H123</f>
        <v>360</v>
      </c>
      <c r="O123" s="6" t="n">
        <f aca="false">M123-N123</f>
        <v>240</v>
      </c>
      <c r="P123" s="7" t="n">
        <f aca="false">IF(M123=0,0,O123/M123)</f>
        <v>0.4</v>
      </c>
    </row>
    <row r="124" customFormat="false" ht="15" hidden="false" customHeight="false" outlineLevel="0" collapsed="false">
      <c r="A124" s="2" t="n">
        <v>1356</v>
      </c>
      <c r="B124" s="2" t="s">
        <v>634</v>
      </c>
      <c r="C124" s="2" t="s">
        <v>633</v>
      </c>
      <c r="D124" s="2" t="s">
        <v>49</v>
      </c>
      <c r="E124" s="2" t="s">
        <v>3717</v>
      </c>
      <c r="F124" s="2" t="s">
        <v>3625</v>
      </c>
      <c r="G124" s="2" t="s">
        <v>3592</v>
      </c>
      <c r="H124" s="5" t="n">
        <v>1</v>
      </c>
      <c r="I124" s="5" t="s">
        <v>51</v>
      </c>
      <c r="J124" s="5" t="s">
        <v>28</v>
      </c>
      <c r="K124" s="5" t="s">
        <v>30</v>
      </c>
      <c r="L124" s="5" t="n">
        <v>250</v>
      </c>
      <c r="M124" s="5" t="n">
        <v>250</v>
      </c>
      <c r="N124" s="6" t="n">
        <f aca="false">L124*0.6*H124</f>
        <v>150</v>
      </c>
      <c r="O124" s="6" t="n">
        <f aca="false">M124-N124</f>
        <v>100</v>
      </c>
      <c r="P124" s="7" t="n">
        <f aca="false">IF(M124=0,0,O124/M124)</f>
        <v>0.4</v>
      </c>
    </row>
    <row r="125" customFormat="false" ht="15" hidden="false" customHeight="false" outlineLevel="0" collapsed="false">
      <c r="A125" s="3" t="n">
        <v>1357</v>
      </c>
      <c r="B125" s="3" t="s">
        <v>639</v>
      </c>
      <c r="C125" s="3" t="s">
        <v>638</v>
      </c>
      <c r="D125" s="3" t="s">
        <v>16</v>
      </c>
      <c r="E125" s="3" t="s">
        <v>3718</v>
      </c>
      <c r="F125" s="3" t="s">
        <v>1756</v>
      </c>
      <c r="G125" s="3" t="s">
        <v>3595</v>
      </c>
      <c r="H125" s="8" t="n">
        <v>1</v>
      </c>
      <c r="I125" s="8" t="s">
        <v>18</v>
      </c>
      <c r="J125" s="8" t="s">
        <v>19</v>
      </c>
      <c r="K125" s="8" t="s">
        <v>73</v>
      </c>
      <c r="L125" s="8" t="n">
        <v>250</v>
      </c>
      <c r="M125" s="8" t="n">
        <v>250</v>
      </c>
      <c r="N125" s="6" t="n">
        <f aca="false">L125*0.6*H125</f>
        <v>150</v>
      </c>
      <c r="O125" s="6" t="n">
        <f aca="false">M125-N125</f>
        <v>100</v>
      </c>
      <c r="P125" s="7" t="n">
        <f aca="false">IF(M125=0,0,O125/M125)</f>
        <v>0.4</v>
      </c>
    </row>
    <row r="126" customFormat="false" ht="15" hidden="false" customHeight="false" outlineLevel="0" collapsed="false">
      <c r="A126" s="2" t="n">
        <v>1358</v>
      </c>
      <c r="B126" s="2" t="s">
        <v>644</v>
      </c>
      <c r="C126" s="2" t="s">
        <v>643</v>
      </c>
      <c r="D126" s="2" t="s">
        <v>34</v>
      </c>
      <c r="E126" s="2" t="s">
        <v>3719</v>
      </c>
      <c r="F126" s="2" t="s">
        <v>3608</v>
      </c>
      <c r="G126" s="2" t="s">
        <v>3604</v>
      </c>
      <c r="H126" s="5" t="n">
        <v>3</v>
      </c>
      <c r="I126" s="5" t="s">
        <v>27</v>
      </c>
      <c r="J126" s="5" t="s">
        <v>43</v>
      </c>
      <c r="K126" s="5" t="s">
        <v>45</v>
      </c>
      <c r="L126" s="5" t="n">
        <v>300</v>
      </c>
      <c r="M126" s="5" t="n">
        <v>900</v>
      </c>
      <c r="N126" s="6" t="n">
        <f aca="false">L126*0.6*H126</f>
        <v>540</v>
      </c>
      <c r="O126" s="6" t="n">
        <f aca="false">M126-N126</f>
        <v>360</v>
      </c>
      <c r="P126" s="7" t="n">
        <f aca="false">IF(M126=0,0,O126/M126)</f>
        <v>0.4</v>
      </c>
    </row>
    <row r="127" customFormat="false" ht="15" hidden="false" customHeight="false" outlineLevel="0" collapsed="false">
      <c r="A127" s="3" t="n">
        <v>1359</v>
      </c>
      <c r="B127" s="3" t="s">
        <v>649</v>
      </c>
      <c r="C127" s="3" t="s">
        <v>648</v>
      </c>
      <c r="D127" s="3" t="s">
        <v>108</v>
      </c>
      <c r="E127" s="3" t="s">
        <v>3597</v>
      </c>
      <c r="F127" s="3" t="s">
        <v>2379</v>
      </c>
      <c r="G127" s="3" t="s">
        <v>3592</v>
      </c>
      <c r="H127" s="8" t="n">
        <v>3</v>
      </c>
      <c r="I127" s="8" t="s">
        <v>51</v>
      </c>
      <c r="J127" s="8" t="s">
        <v>78</v>
      </c>
      <c r="K127" s="8" t="s">
        <v>408</v>
      </c>
      <c r="L127" s="8" t="n">
        <v>1200</v>
      </c>
      <c r="M127" s="8" t="n">
        <v>3600</v>
      </c>
      <c r="N127" s="6" t="n">
        <f aca="false">L127*0.6*H127</f>
        <v>2160</v>
      </c>
      <c r="O127" s="6" t="n">
        <f aca="false">M127-N127</f>
        <v>1440</v>
      </c>
      <c r="P127" s="7" t="n">
        <f aca="false">IF(M127=0,0,O127/M127)</f>
        <v>0.4</v>
      </c>
    </row>
    <row r="128" customFormat="false" ht="15" hidden="false" customHeight="false" outlineLevel="0" collapsed="false">
      <c r="A128" s="2" t="n">
        <v>1360</v>
      </c>
      <c r="B128" s="2" t="s">
        <v>652</v>
      </c>
      <c r="C128" s="2" t="s">
        <v>570</v>
      </c>
      <c r="D128" s="2" t="s">
        <v>108</v>
      </c>
      <c r="E128" s="2" t="s">
        <v>3720</v>
      </c>
      <c r="F128" s="2" t="s">
        <v>3625</v>
      </c>
      <c r="G128" s="2" t="s">
        <v>3592</v>
      </c>
      <c r="H128" s="5" t="n">
        <v>3</v>
      </c>
      <c r="I128" s="5" t="s">
        <v>18</v>
      </c>
      <c r="J128" s="5" t="s">
        <v>28</v>
      </c>
      <c r="K128" s="5" t="s">
        <v>30</v>
      </c>
      <c r="L128" s="5" t="n">
        <v>1200</v>
      </c>
      <c r="M128" s="5" t="n">
        <v>3600</v>
      </c>
      <c r="N128" s="6" t="n">
        <f aca="false">L128*0.6*H128</f>
        <v>2160</v>
      </c>
      <c r="O128" s="6" t="n">
        <f aca="false">M128-N128</f>
        <v>1440</v>
      </c>
      <c r="P128" s="7" t="n">
        <f aca="false">IF(M128=0,0,O128/M128)</f>
        <v>0.4</v>
      </c>
    </row>
    <row r="129" customFormat="false" ht="15" hidden="false" customHeight="false" outlineLevel="0" collapsed="false">
      <c r="A129" s="3" t="n">
        <v>1361</v>
      </c>
      <c r="B129" s="3" t="s">
        <v>657</v>
      </c>
      <c r="C129" s="3" t="s">
        <v>656</v>
      </c>
      <c r="D129" s="3" t="s">
        <v>49</v>
      </c>
      <c r="E129" s="3" t="s">
        <v>3644</v>
      </c>
      <c r="F129" s="3" t="s">
        <v>3606</v>
      </c>
      <c r="G129" s="3" t="s">
        <v>3600</v>
      </c>
      <c r="H129" s="8" t="n">
        <v>3</v>
      </c>
      <c r="I129" s="8" t="s">
        <v>27</v>
      </c>
      <c r="J129" s="8" t="s">
        <v>28</v>
      </c>
      <c r="K129" s="8" t="s">
        <v>30</v>
      </c>
      <c r="L129" s="8" t="n">
        <v>250</v>
      </c>
      <c r="M129" s="8" t="n">
        <v>750</v>
      </c>
      <c r="N129" s="6" t="n">
        <f aca="false">L129*0.6*H129</f>
        <v>450</v>
      </c>
      <c r="O129" s="6" t="n">
        <f aca="false">M129-N129</f>
        <v>300</v>
      </c>
      <c r="P129" s="7" t="n">
        <f aca="false">IF(M129=0,0,O129/M129)</f>
        <v>0.4</v>
      </c>
    </row>
    <row r="130" customFormat="false" ht="15" hidden="false" customHeight="false" outlineLevel="0" collapsed="false">
      <c r="A130" s="2" t="n">
        <v>1362</v>
      </c>
      <c r="B130" s="2" t="s">
        <v>661</v>
      </c>
      <c r="C130" s="2" t="s">
        <v>660</v>
      </c>
      <c r="D130" s="2" t="s">
        <v>108</v>
      </c>
      <c r="E130" s="2" t="s">
        <v>3721</v>
      </c>
      <c r="F130" s="2" t="s">
        <v>3610</v>
      </c>
      <c r="G130" s="2" t="s">
        <v>3600</v>
      </c>
      <c r="H130" s="5" t="n">
        <v>2</v>
      </c>
      <c r="I130" s="5" t="s">
        <v>51</v>
      </c>
      <c r="J130" s="5" t="s">
        <v>19</v>
      </c>
      <c r="K130" s="5" t="s">
        <v>73</v>
      </c>
      <c r="L130" s="5" t="n">
        <v>1200</v>
      </c>
      <c r="M130" s="5" t="n">
        <v>2400</v>
      </c>
      <c r="N130" s="6" t="n">
        <f aca="false">L130*0.6*H130</f>
        <v>1440</v>
      </c>
      <c r="O130" s="6" t="n">
        <f aca="false">M130-N130</f>
        <v>960</v>
      </c>
      <c r="P130" s="7" t="n">
        <f aca="false">IF(M130=0,0,O130/M130)</f>
        <v>0.4</v>
      </c>
    </row>
    <row r="131" customFormat="false" ht="15" hidden="false" customHeight="false" outlineLevel="0" collapsed="false">
      <c r="A131" s="3" t="n">
        <v>1363</v>
      </c>
      <c r="B131" s="3" t="s">
        <v>666</v>
      </c>
      <c r="C131" s="3" t="s">
        <v>665</v>
      </c>
      <c r="D131" s="3" t="s">
        <v>108</v>
      </c>
      <c r="E131" s="3" t="s">
        <v>3670</v>
      </c>
      <c r="F131" s="3" t="s">
        <v>3603</v>
      </c>
      <c r="G131" s="3" t="s">
        <v>3604</v>
      </c>
      <c r="H131" s="8" t="n">
        <v>2</v>
      </c>
      <c r="I131" s="8" t="s">
        <v>27</v>
      </c>
      <c r="J131" s="8" t="s">
        <v>52</v>
      </c>
      <c r="K131" s="8" t="s">
        <v>92</v>
      </c>
      <c r="L131" s="8" t="n">
        <v>1200</v>
      </c>
      <c r="M131" s="8" t="n">
        <v>2400</v>
      </c>
      <c r="N131" s="6" t="n">
        <f aca="false">L131*0.6*H131</f>
        <v>1440</v>
      </c>
      <c r="O131" s="6" t="n">
        <f aca="false">M131-N131</f>
        <v>960</v>
      </c>
      <c r="P131" s="7" t="n">
        <f aca="false">IF(M131=0,0,O131/M131)</f>
        <v>0.4</v>
      </c>
    </row>
    <row r="132" customFormat="false" ht="15" hidden="false" customHeight="false" outlineLevel="0" collapsed="false">
      <c r="A132" s="2" t="n">
        <v>1364</v>
      </c>
      <c r="B132" s="2" t="s">
        <v>670</v>
      </c>
      <c r="C132" s="2" t="s">
        <v>669</v>
      </c>
      <c r="D132" s="2" t="s">
        <v>108</v>
      </c>
      <c r="E132" s="2" t="s">
        <v>3722</v>
      </c>
      <c r="F132" s="2" t="s">
        <v>3613</v>
      </c>
      <c r="G132" s="2" t="s">
        <v>3604</v>
      </c>
      <c r="H132" s="5" t="n">
        <v>3</v>
      </c>
      <c r="I132" s="5" t="s">
        <v>51</v>
      </c>
      <c r="J132" s="5" t="s">
        <v>59</v>
      </c>
      <c r="K132" s="5" t="s">
        <v>292</v>
      </c>
      <c r="L132" s="5" t="n">
        <v>1200</v>
      </c>
      <c r="M132" s="5" t="n">
        <v>3600</v>
      </c>
      <c r="N132" s="6" t="n">
        <f aca="false">L132*0.6*H132</f>
        <v>2160</v>
      </c>
      <c r="O132" s="6" t="n">
        <f aca="false">M132-N132</f>
        <v>1440</v>
      </c>
      <c r="P132" s="7" t="n">
        <f aca="false">IF(M132=0,0,O132/M132)</f>
        <v>0.4</v>
      </c>
    </row>
    <row r="133" customFormat="false" ht="15" hidden="false" customHeight="false" outlineLevel="0" collapsed="false">
      <c r="A133" s="3" t="n">
        <v>1365</v>
      </c>
      <c r="B133" s="3" t="s">
        <v>675</v>
      </c>
      <c r="C133" s="3" t="s">
        <v>674</v>
      </c>
      <c r="D133" s="3" t="s">
        <v>34</v>
      </c>
      <c r="E133" s="3" t="s">
        <v>3723</v>
      </c>
      <c r="F133" s="3" t="s">
        <v>3613</v>
      </c>
      <c r="G133" s="3" t="s">
        <v>3604</v>
      </c>
      <c r="H133" s="8" t="n">
        <v>3</v>
      </c>
      <c r="I133" s="8" t="s">
        <v>51</v>
      </c>
      <c r="J133" s="8" t="s">
        <v>28</v>
      </c>
      <c r="K133" s="8" t="s">
        <v>30</v>
      </c>
      <c r="L133" s="8" t="n">
        <v>300</v>
      </c>
      <c r="M133" s="8" t="n">
        <v>900</v>
      </c>
      <c r="N133" s="6" t="n">
        <f aca="false">L133*0.6*H133</f>
        <v>540</v>
      </c>
      <c r="O133" s="6" t="n">
        <f aca="false">M133-N133</f>
        <v>360</v>
      </c>
      <c r="P133" s="7" t="n">
        <f aca="false">IF(M133=0,0,O133/M133)</f>
        <v>0.4</v>
      </c>
    </row>
    <row r="134" customFormat="false" ht="15" hidden="false" customHeight="false" outlineLevel="0" collapsed="false">
      <c r="A134" s="2" t="n">
        <v>1366</v>
      </c>
      <c r="B134" s="2" t="s">
        <v>680</v>
      </c>
      <c r="C134" s="2" t="s">
        <v>679</v>
      </c>
      <c r="D134" s="2" t="s">
        <v>108</v>
      </c>
      <c r="E134" s="2" t="s">
        <v>3661</v>
      </c>
      <c r="F134" s="2" t="s">
        <v>3599</v>
      </c>
      <c r="G134" s="2" t="s">
        <v>3600</v>
      </c>
      <c r="H134" s="5" t="n">
        <v>3</v>
      </c>
      <c r="I134" s="5" t="s">
        <v>97</v>
      </c>
      <c r="J134" s="5" t="s">
        <v>78</v>
      </c>
      <c r="K134" s="5" t="s">
        <v>86</v>
      </c>
      <c r="L134" s="5" t="n">
        <v>1200</v>
      </c>
      <c r="M134" s="5" t="n">
        <v>3600</v>
      </c>
      <c r="N134" s="6" t="n">
        <f aca="false">L134*0.6*H134</f>
        <v>2160</v>
      </c>
      <c r="O134" s="6" t="n">
        <f aca="false">M134-N134</f>
        <v>1440</v>
      </c>
      <c r="P134" s="7" t="n">
        <f aca="false">IF(M134=0,0,O134/M134)</f>
        <v>0.4</v>
      </c>
    </row>
    <row r="135" customFormat="false" ht="15" hidden="false" customHeight="false" outlineLevel="0" collapsed="false">
      <c r="A135" s="3" t="n">
        <v>1367</v>
      </c>
      <c r="B135" s="3" t="s">
        <v>684</v>
      </c>
      <c r="C135" s="3" t="s">
        <v>683</v>
      </c>
      <c r="D135" s="3" t="s">
        <v>25</v>
      </c>
      <c r="E135" s="3" t="s">
        <v>3724</v>
      </c>
      <c r="F135" s="3" t="s">
        <v>1756</v>
      </c>
      <c r="G135" s="3" t="s">
        <v>3595</v>
      </c>
      <c r="H135" s="8" t="n">
        <v>2</v>
      </c>
      <c r="I135" s="8" t="s">
        <v>51</v>
      </c>
      <c r="J135" s="8" t="s">
        <v>59</v>
      </c>
      <c r="K135" s="8" t="s">
        <v>292</v>
      </c>
      <c r="L135" s="8" t="n">
        <v>800</v>
      </c>
      <c r="M135" s="8" t="n">
        <v>1600</v>
      </c>
      <c r="N135" s="6" t="n">
        <f aca="false">L135*0.6*H135</f>
        <v>960</v>
      </c>
      <c r="O135" s="6" t="n">
        <f aca="false">M135-N135</f>
        <v>640</v>
      </c>
      <c r="P135" s="7" t="n">
        <f aca="false">IF(M135=0,0,O135/M135)</f>
        <v>0.4</v>
      </c>
    </row>
    <row r="136" customFormat="false" ht="15" hidden="false" customHeight="false" outlineLevel="0" collapsed="false">
      <c r="A136" s="2" t="n">
        <v>1368</v>
      </c>
      <c r="B136" s="2" t="s">
        <v>688</v>
      </c>
      <c r="C136" s="2" t="s">
        <v>596</v>
      </c>
      <c r="D136" s="2" t="s">
        <v>25</v>
      </c>
      <c r="E136" s="2" t="s">
        <v>3674</v>
      </c>
      <c r="F136" s="2" t="s">
        <v>3594</v>
      </c>
      <c r="G136" s="2" t="s">
        <v>3595</v>
      </c>
      <c r="H136" s="5" t="n">
        <v>3</v>
      </c>
      <c r="I136" s="5" t="s">
        <v>27</v>
      </c>
      <c r="J136" s="5" t="s">
        <v>78</v>
      </c>
      <c r="K136" s="5" t="s">
        <v>86</v>
      </c>
      <c r="L136" s="5" t="n">
        <v>800</v>
      </c>
      <c r="M136" s="5" t="n">
        <v>2400</v>
      </c>
      <c r="N136" s="6" t="n">
        <f aca="false">L136*0.6*H136</f>
        <v>1440</v>
      </c>
      <c r="O136" s="6" t="n">
        <f aca="false">M136-N136</f>
        <v>960</v>
      </c>
      <c r="P136" s="7" t="n">
        <f aca="false">IF(M136=0,0,O136/M136)</f>
        <v>0.4</v>
      </c>
    </row>
    <row r="137" customFormat="false" ht="15" hidden="false" customHeight="false" outlineLevel="0" collapsed="false">
      <c r="A137" s="3" t="n">
        <v>1369</v>
      </c>
      <c r="B137" s="3" t="s">
        <v>304</v>
      </c>
      <c r="C137" s="3" t="s">
        <v>691</v>
      </c>
      <c r="D137" s="3" t="s">
        <v>108</v>
      </c>
      <c r="E137" s="3" t="s">
        <v>3725</v>
      </c>
      <c r="F137" s="3" t="s">
        <v>3628</v>
      </c>
      <c r="G137" s="3" t="s">
        <v>3595</v>
      </c>
      <c r="H137" s="8" t="n">
        <v>2</v>
      </c>
      <c r="I137" s="8" t="s">
        <v>51</v>
      </c>
      <c r="J137" s="8" t="s">
        <v>52</v>
      </c>
      <c r="K137" s="8" t="s">
        <v>182</v>
      </c>
      <c r="L137" s="8" t="n">
        <v>1200</v>
      </c>
      <c r="M137" s="8" t="n">
        <v>2400</v>
      </c>
      <c r="N137" s="6" t="n">
        <f aca="false">L137*0.6*H137</f>
        <v>1440</v>
      </c>
      <c r="O137" s="6" t="n">
        <f aca="false">M137-N137</f>
        <v>960</v>
      </c>
      <c r="P137" s="7" t="n">
        <f aca="false">IF(M137=0,0,O137/M137)</f>
        <v>0.4</v>
      </c>
    </row>
    <row r="138" customFormat="false" ht="15" hidden="false" customHeight="false" outlineLevel="0" collapsed="false">
      <c r="A138" s="2" t="n">
        <v>1370</v>
      </c>
      <c r="B138" s="2" t="s">
        <v>696</v>
      </c>
      <c r="C138" s="2" t="s">
        <v>695</v>
      </c>
      <c r="D138" s="2" t="s">
        <v>108</v>
      </c>
      <c r="E138" s="2" t="s">
        <v>3726</v>
      </c>
      <c r="F138" s="2" t="s">
        <v>3606</v>
      </c>
      <c r="G138" s="2" t="s">
        <v>3600</v>
      </c>
      <c r="H138" s="5" t="n">
        <v>2</v>
      </c>
      <c r="I138" s="5" t="s">
        <v>27</v>
      </c>
      <c r="J138" s="5" t="s">
        <v>121</v>
      </c>
      <c r="K138" s="5" t="s">
        <v>317</v>
      </c>
      <c r="L138" s="5" t="n">
        <v>1200</v>
      </c>
      <c r="M138" s="5" t="n">
        <v>2400</v>
      </c>
      <c r="N138" s="6" t="n">
        <f aca="false">L138*0.6*H138</f>
        <v>1440</v>
      </c>
      <c r="O138" s="6" t="n">
        <f aca="false">M138-N138</f>
        <v>960</v>
      </c>
      <c r="P138" s="7" t="n">
        <f aca="false">IF(M138=0,0,O138/M138)</f>
        <v>0.4</v>
      </c>
    </row>
    <row r="139" customFormat="false" ht="15" hidden="false" customHeight="false" outlineLevel="0" collapsed="false">
      <c r="A139" s="3" t="n">
        <v>1371</v>
      </c>
      <c r="B139" s="3" t="s">
        <v>701</v>
      </c>
      <c r="C139" s="3" t="s">
        <v>700</v>
      </c>
      <c r="D139" s="3" t="s">
        <v>147</v>
      </c>
      <c r="E139" s="3" t="s">
        <v>3727</v>
      </c>
      <c r="F139" s="3" t="s">
        <v>3591</v>
      </c>
      <c r="G139" s="3" t="s">
        <v>3592</v>
      </c>
      <c r="H139" s="8" t="n">
        <v>3</v>
      </c>
      <c r="I139" s="8" t="s">
        <v>18</v>
      </c>
      <c r="J139" s="8" t="s">
        <v>36</v>
      </c>
      <c r="K139" s="8" t="s">
        <v>170</v>
      </c>
      <c r="L139" s="8" t="n">
        <v>600</v>
      </c>
      <c r="M139" s="8" t="n">
        <v>1800</v>
      </c>
      <c r="N139" s="6" t="n">
        <f aca="false">L139*0.6*H139</f>
        <v>1080</v>
      </c>
      <c r="O139" s="6" t="n">
        <f aca="false">M139-N139</f>
        <v>720</v>
      </c>
      <c r="P139" s="7" t="n">
        <f aca="false">IF(M139=0,0,O139/M139)</f>
        <v>0.4</v>
      </c>
    </row>
    <row r="140" customFormat="false" ht="15" hidden="false" customHeight="false" outlineLevel="0" collapsed="false">
      <c r="A140" s="2" t="n">
        <v>1372</v>
      </c>
      <c r="B140" s="2" t="s">
        <v>706</v>
      </c>
      <c r="C140" s="2" t="s">
        <v>705</v>
      </c>
      <c r="D140" s="2" t="s">
        <v>25</v>
      </c>
      <c r="E140" s="2" t="s">
        <v>3728</v>
      </c>
      <c r="F140" s="2" t="s">
        <v>2379</v>
      </c>
      <c r="G140" s="2" t="s">
        <v>3592</v>
      </c>
      <c r="H140" s="5" t="n">
        <v>1</v>
      </c>
      <c r="I140" s="5" t="s">
        <v>18</v>
      </c>
      <c r="J140" s="5" t="s">
        <v>121</v>
      </c>
      <c r="K140" s="5" t="s">
        <v>317</v>
      </c>
      <c r="L140" s="5" t="n">
        <v>800</v>
      </c>
      <c r="M140" s="5" t="n">
        <v>800</v>
      </c>
      <c r="N140" s="6" t="n">
        <f aca="false">L140*0.6*H140</f>
        <v>480</v>
      </c>
      <c r="O140" s="6" t="n">
        <f aca="false">M140-N140</f>
        <v>320</v>
      </c>
      <c r="P140" s="7" t="n">
        <f aca="false">IF(M140=0,0,O140/M140)</f>
        <v>0.4</v>
      </c>
    </row>
    <row r="141" customFormat="false" ht="15" hidden="false" customHeight="false" outlineLevel="0" collapsed="false">
      <c r="A141" s="3" t="n">
        <v>1373</v>
      </c>
      <c r="B141" s="3" t="s">
        <v>711</v>
      </c>
      <c r="C141" s="3" t="s">
        <v>710</v>
      </c>
      <c r="D141" s="3" t="s">
        <v>16</v>
      </c>
      <c r="E141" s="3" t="s">
        <v>3729</v>
      </c>
      <c r="F141" s="3" t="s">
        <v>3608</v>
      </c>
      <c r="G141" s="3" t="s">
        <v>3604</v>
      </c>
      <c r="H141" s="8" t="n">
        <v>1</v>
      </c>
      <c r="I141" s="8" t="s">
        <v>27</v>
      </c>
      <c r="J141" s="8" t="s">
        <v>28</v>
      </c>
      <c r="K141" s="8" t="s">
        <v>30</v>
      </c>
      <c r="L141" s="8" t="n">
        <v>250</v>
      </c>
      <c r="M141" s="8" t="n">
        <v>250</v>
      </c>
      <c r="N141" s="6" t="n">
        <f aca="false">L141*0.6*H141</f>
        <v>150</v>
      </c>
      <c r="O141" s="6" t="n">
        <f aca="false">M141-N141</f>
        <v>100</v>
      </c>
      <c r="P141" s="7" t="n">
        <f aca="false">IF(M141=0,0,O141/M141)</f>
        <v>0.4</v>
      </c>
    </row>
    <row r="142" customFormat="false" ht="15" hidden="false" customHeight="false" outlineLevel="0" collapsed="false">
      <c r="A142" s="2" t="n">
        <v>1374</v>
      </c>
      <c r="B142" s="2" t="s">
        <v>716</v>
      </c>
      <c r="C142" s="2" t="s">
        <v>715</v>
      </c>
      <c r="D142" s="2" t="s">
        <v>16</v>
      </c>
      <c r="E142" s="2" t="s">
        <v>3670</v>
      </c>
      <c r="F142" s="2" t="s">
        <v>3603</v>
      </c>
      <c r="G142" s="2" t="s">
        <v>3604</v>
      </c>
      <c r="H142" s="5" t="n">
        <v>2</v>
      </c>
      <c r="I142" s="5" t="s">
        <v>18</v>
      </c>
      <c r="J142" s="5" t="s">
        <v>28</v>
      </c>
      <c r="K142" s="5" t="s">
        <v>30</v>
      </c>
      <c r="L142" s="5" t="n">
        <v>250</v>
      </c>
      <c r="M142" s="5" t="n">
        <v>500</v>
      </c>
      <c r="N142" s="6" t="n">
        <f aca="false">L142*0.6*H142</f>
        <v>300</v>
      </c>
      <c r="O142" s="6" t="n">
        <f aca="false">M142-N142</f>
        <v>200</v>
      </c>
      <c r="P142" s="7" t="n">
        <f aca="false">IF(M142=0,0,O142/M142)</f>
        <v>0.4</v>
      </c>
    </row>
    <row r="143" customFormat="false" ht="15" hidden="false" customHeight="false" outlineLevel="0" collapsed="false">
      <c r="A143" s="3" t="n">
        <v>1375</v>
      </c>
      <c r="B143" s="3" t="s">
        <v>64</v>
      </c>
      <c r="C143" s="3" t="s">
        <v>719</v>
      </c>
      <c r="D143" s="3" t="s">
        <v>34</v>
      </c>
      <c r="E143" s="3" t="s">
        <v>3730</v>
      </c>
      <c r="F143" s="3" t="s">
        <v>3594</v>
      </c>
      <c r="G143" s="3" t="s">
        <v>3595</v>
      </c>
      <c r="H143" s="8" t="n">
        <v>3</v>
      </c>
      <c r="I143" s="8" t="s">
        <v>18</v>
      </c>
      <c r="J143" s="8" t="s">
        <v>121</v>
      </c>
      <c r="K143" s="8" t="s">
        <v>317</v>
      </c>
      <c r="L143" s="8" t="n">
        <v>300</v>
      </c>
      <c r="M143" s="8" t="n">
        <v>900</v>
      </c>
      <c r="N143" s="6" t="n">
        <f aca="false">L143*0.6*H143</f>
        <v>540</v>
      </c>
      <c r="O143" s="6" t="n">
        <f aca="false">M143-N143</f>
        <v>360</v>
      </c>
      <c r="P143" s="7" t="n">
        <f aca="false">IF(M143=0,0,O143/M143)</f>
        <v>0.4</v>
      </c>
    </row>
    <row r="144" customFormat="false" ht="15" hidden="false" customHeight="false" outlineLevel="0" collapsed="false">
      <c r="A144" s="2" t="n">
        <v>1376</v>
      </c>
      <c r="B144" s="2" t="s">
        <v>724</v>
      </c>
      <c r="C144" s="2" t="s">
        <v>723</v>
      </c>
      <c r="D144" s="2" t="s">
        <v>34</v>
      </c>
      <c r="E144" s="2" t="s">
        <v>3731</v>
      </c>
      <c r="F144" s="2" t="s">
        <v>3594</v>
      </c>
      <c r="G144" s="2" t="s">
        <v>3595</v>
      </c>
      <c r="H144" s="5" t="n">
        <v>2</v>
      </c>
      <c r="I144" s="5" t="s">
        <v>27</v>
      </c>
      <c r="J144" s="5" t="s">
        <v>36</v>
      </c>
      <c r="K144" s="5" t="s">
        <v>38</v>
      </c>
      <c r="L144" s="5" t="n">
        <v>300</v>
      </c>
      <c r="M144" s="5" t="n">
        <v>600</v>
      </c>
      <c r="N144" s="6" t="n">
        <f aca="false">L144*0.6*H144</f>
        <v>360</v>
      </c>
      <c r="O144" s="6" t="n">
        <f aca="false">M144-N144</f>
        <v>240</v>
      </c>
      <c r="P144" s="7" t="n">
        <f aca="false">IF(M144=0,0,O144/M144)</f>
        <v>0.4</v>
      </c>
    </row>
    <row r="145" customFormat="false" ht="15" hidden="false" customHeight="false" outlineLevel="0" collapsed="false">
      <c r="A145" s="3" t="n">
        <v>1377</v>
      </c>
      <c r="B145" s="3" t="s">
        <v>729</v>
      </c>
      <c r="C145" s="3" t="s">
        <v>728</v>
      </c>
      <c r="D145" s="3" t="s">
        <v>147</v>
      </c>
      <c r="E145" s="3" t="s">
        <v>3732</v>
      </c>
      <c r="F145" s="3" t="s">
        <v>3610</v>
      </c>
      <c r="G145" s="3" t="s">
        <v>3600</v>
      </c>
      <c r="H145" s="8" t="n">
        <v>3</v>
      </c>
      <c r="I145" s="8" t="s">
        <v>51</v>
      </c>
      <c r="J145" s="8" t="s">
        <v>121</v>
      </c>
      <c r="K145" s="8" t="s">
        <v>123</v>
      </c>
      <c r="L145" s="8" t="n">
        <v>600</v>
      </c>
      <c r="M145" s="8" t="n">
        <v>1800</v>
      </c>
      <c r="N145" s="6" t="n">
        <f aca="false">L145*0.6*H145</f>
        <v>1080</v>
      </c>
      <c r="O145" s="6" t="n">
        <f aca="false">M145-N145</f>
        <v>720</v>
      </c>
      <c r="P145" s="7" t="n">
        <f aca="false">IF(M145=0,0,O145/M145)</f>
        <v>0.4</v>
      </c>
    </row>
    <row r="146" customFormat="false" ht="15" hidden="false" customHeight="false" outlineLevel="0" collapsed="false">
      <c r="A146" s="2" t="n">
        <v>1378</v>
      </c>
      <c r="B146" s="2" t="s">
        <v>734</v>
      </c>
      <c r="C146" s="2" t="s">
        <v>733</v>
      </c>
      <c r="D146" s="2" t="s">
        <v>108</v>
      </c>
      <c r="E146" s="2" t="s">
        <v>3733</v>
      </c>
      <c r="F146" s="2" t="s">
        <v>3610</v>
      </c>
      <c r="G146" s="2" t="s">
        <v>3600</v>
      </c>
      <c r="H146" s="5" t="n">
        <v>3</v>
      </c>
      <c r="I146" s="5" t="s">
        <v>18</v>
      </c>
      <c r="J146" s="5" t="s">
        <v>59</v>
      </c>
      <c r="K146" s="5" t="s">
        <v>292</v>
      </c>
      <c r="L146" s="5" t="n">
        <v>1200</v>
      </c>
      <c r="M146" s="5" t="n">
        <v>3600</v>
      </c>
      <c r="N146" s="6" t="n">
        <f aca="false">L146*0.6*H146</f>
        <v>2160</v>
      </c>
      <c r="O146" s="6" t="n">
        <f aca="false">M146-N146</f>
        <v>1440</v>
      </c>
      <c r="P146" s="7" t="n">
        <f aca="false">IF(M146=0,0,O146/M146)</f>
        <v>0.4</v>
      </c>
    </row>
    <row r="147" customFormat="false" ht="15" hidden="false" customHeight="false" outlineLevel="0" collapsed="false">
      <c r="A147" s="3" t="n">
        <v>1379</v>
      </c>
      <c r="B147" s="3" t="s">
        <v>739</v>
      </c>
      <c r="C147" s="3" t="s">
        <v>738</v>
      </c>
      <c r="D147" s="3" t="s">
        <v>34</v>
      </c>
      <c r="E147" s="3" t="s">
        <v>3734</v>
      </c>
      <c r="F147" s="3" t="s">
        <v>3608</v>
      </c>
      <c r="G147" s="3" t="s">
        <v>3604</v>
      </c>
      <c r="H147" s="8" t="n">
        <v>2</v>
      </c>
      <c r="I147" s="8" t="s">
        <v>18</v>
      </c>
      <c r="J147" s="8" t="s">
        <v>121</v>
      </c>
      <c r="K147" s="8" t="s">
        <v>123</v>
      </c>
      <c r="L147" s="8" t="n">
        <v>300</v>
      </c>
      <c r="M147" s="8" t="n">
        <v>600</v>
      </c>
      <c r="N147" s="6" t="n">
        <f aca="false">L147*0.6*H147</f>
        <v>360</v>
      </c>
      <c r="O147" s="6" t="n">
        <f aca="false">M147-N147</f>
        <v>240</v>
      </c>
      <c r="P147" s="7" t="n">
        <f aca="false">IF(M147=0,0,O147/M147)</f>
        <v>0.4</v>
      </c>
    </row>
    <row r="148" customFormat="false" ht="15" hidden="false" customHeight="false" outlineLevel="0" collapsed="false">
      <c r="A148" s="2" t="n">
        <v>1380</v>
      </c>
      <c r="B148" s="2" t="s">
        <v>743</v>
      </c>
      <c r="C148" s="2" t="s">
        <v>89</v>
      </c>
      <c r="D148" s="2" t="s">
        <v>16</v>
      </c>
      <c r="E148" s="2" t="s">
        <v>3735</v>
      </c>
      <c r="F148" s="2" t="s">
        <v>3613</v>
      </c>
      <c r="G148" s="2" t="s">
        <v>3604</v>
      </c>
      <c r="H148" s="5" t="n">
        <v>3</v>
      </c>
      <c r="I148" s="5" t="s">
        <v>51</v>
      </c>
      <c r="J148" s="5" t="s">
        <v>43</v>
      </c>
      <c r="K148" s="5" t="s">
        <v>45</v>
      </c>
      <c r="L148" s="5" t="n">
        <v>250</v>
      </c>
      <c r="M148" s="5" t="n">
        <v>750</v>
      </c>
      <c r="N148" s="6" t="n">
        <f aca="false">L148*0.6*H148</f>
        <v>450</v>
      </c>
      <c r="O148" s="6" t="n">
        <f aca="false">M148-N148</f>
        <v>300</v>
      </c>
      <c r="P148" s="7" t="n">
        <f aca="false">IF(M148=0,0,O148/M148)</f>
        <v>0.4</v>
      </c>
    </row>
    <row r="149" customFormat="false" ht="15" hidden="false" customHeight="false" outlineLevel="0" collapsed="false">
      <c r="A149" s="3" t="n">
        <v>1381</v>
      </c>
      <c r="B149" s="3" t="s">
        <v>748</v>
      </c>
      <c r="C149" s="3" t="s">
        <v>747</v>
      </c>
      <c r="D149" s="3" t="s">
        <v>25</v>
      </c>
      <c r="E149" s="3" t="s">
        <v>3665</v>
      </c>
      <c r="F149" s="3" t="s">
        <v>3628</v>
      </c>
      <c r="G149" s="3" t="s">
        <v>3595</v>
      </c>
      <c r="H149" s="8" t="n">
        <v>3</v>
      </c>
      <c r="I149" s="8" t="s">
        <v>51</v>
      </c>
      <c r="J149" s="8" t="s">
        <v>36</v>
      </c>
      <c r="K149" s="8" t="s">
        <v>192</v>
      </c>
      <c r="L149" s="8" t="n">
        <v>800</v>
      </c>
      <c r="M149" s="8" t="n">
        <v>2400</v>
      </c>
      <c r="N149" s="6" t="n">
        <f aca="false">L149*0.6*H149</f>
        <v>1440</v>
      </c>
      <c r="O149" s="6" t="n">
        <f aca="false">M149-N149</f>
        <v>960</v>
      </c>
      <c r="P149" s="7" t="n">
        <f aca="false">IF(M149=0,0,O149/M149)</f>
        <v>0.4</v>
      </c>
    </row>
    <row r="150" customFormat="false" ht="15" hidden="false" customHeight="false" outlineLevel="0" collapsed="false">
      <c r="A150" s="2" t="n">
        <v>1382</v>
      </c>
      <c r="B150" s="2" t="s">
        <v>752</v>
      </c>
      <c r="C150" s="2" t="s">
        <v>751</v>
      </c>
      <c r="D150" s="2" t="s">
        <v>108</v>
      </c>
      <c r="E150" s="2" t="s">
        <v>3736</v>
      </c>
      <c r="F150" s="2" t="s">
        <v>3599</v>
      </c>
      <c r="G150" s="2" t="s">
        <v>3600</v>
      </c>
      <c r="H150" s="5" t="n">
        <v>2</v>
      </c>
      <c r="I150" s="5" t="s">
        <v>51</v>
      </c>
      <c r="J150" s="5" t="s">
        <v>36</v>
      </c>
      <c r="K150" s="5" t="s">
        <v>192</v>
      </c>
      <c r="L150" s="5" t="n">
        <v>1200</v>
      </c>
      <c r="M150" s="5" t="n">
        <v>2400</v>
      </c>
      <c r="N150" s="6" t="n">
        <f aca="false">L150*0.6*H150</f>
        <v>1440</v>
      </c>
      <c r="O150" s="6" t="n">
        <f aca="false">M150-N150</f>
        <v>960</v>
      </c>
      <c r="P150" s="7" t="n">
        <f aca="false">IF(M150=0,0,O150/M150)</f>
        <v>0.4</v>
      </c>
    </row>
    <row r="151" customFormat="false" ht="15" hidden="false" customHeight="false" outlineLevel="0" collapsed="false">
      <c r="A151" s="3" t="n">
        <v>1383</v>
      </c>
      <c r="B151" s="3" t="s">
        <v>756</v>
      </c>
      <c r="C151" s="3" t="s">
        <v>633</v>
      </c>
      <c r="D151" s="3" t="s">
        <v>34</v>
      </c>
      <c r="E151" s="3" t="s">
        <v>3737</v>
      </c>
      <c r="F151" s="3" t="s">
        <v>3628</v>
      </c>
      <c r="G151" s="3" t="s">
        <v>3595</v>
      </c>
      <c r="H151" s="8" t="n">
        <v>3</v>
      </c>
      <c r="I151" s="8" t="s">
        <v>51</v>
      </c>
      <c r="J151" s="8" t="s">
        <v>36</v>
      </c>
      <c r="K151" s="8" t="s">
        <v>170</v>
      </c>
      <c r="L151" s="8" t="n">
        <v>300</v>
      </c>
      <c r="M151" s="8" t="n">
        <v>900</v>
      </c>
      <c r="N151" s="6" t="n">
        <f aca="false">L151*0.6*H151</f>
        <v>540</v>
      </c>
      <c r="O151" s="6" t="n">
        <f aca="false">M151-N151</f>
        <v>360</v>
      </c>
      <c r="P151" s="7" t="n">
        <f aca="false">IF(M151=0,0,O151/M151)</f>
        <v>0.4</v>
      </c>
    </row>
    <row r="152" customFormat="false" ht="15" hidden="false" customHeight="false" outlineLevel="0" collapsed="false">
      <c r="A152" s="2" t="n">
        <v>1384</v>
      </c>
      <c r="B152" s="2" t="s">
        <v>761</v>
      </c>
      <c r="C152" s="2" t="s">
        <v>760</v>
      </c>
      <c r="D152" s="2" t="s">
        <v>108</v>
      </c>
      <c r="E152" s="2" t="s">
        <v>3738</v>
      </c>
      <c r="F152" s="2" t="s">
        <v>1756</v>
      </c>
      <c r="G152" s="2" t="s">
        <v>3595</v>
      </c>
      <c r="H152" s="5" t="n">
        <v>1</v>
      </c>
      <c r="I152" s="5" t="s">
        <v>51</v>
      </c>
      <c r="J152" s="5" t="s">
        <v>36</v>
      </c>
      <c r="K152" s="5" t="s">
        <v>38</v>
      </c>
      <c r="L152" s="5" t="n">
        <v>1200</v>
      </c>
      <c r="M152" s="5" t="n">
        <v>1200</v>
      </c>
      <c r="N152" s="6" t="n">
        <f aca="false">L152*0.6*H152</f>
        <v>720</v>
      </c>
      <c r="O152" s="6" t="n">
        <f aca="false">M152-N152</f>
        <v>480</v>
      </c>
      <c r="P152" s="7" t="n">
        <f aca="false">IF(M152=0,0,O152/M152)</f>
        <v>0.4</v>
      </c>
    </row>
    <row r="153" customFormat="false" ht="15" hidden="false" customHeight="false" outlineLevel="0" collapsed="false">
      <c r="A153" s="3" t="n">
        <v>1385</v>
      </c>
      <c r="B153" s="3" t="s">
        <v>765</v>
      </c>
      <c r="C153" s="3" t="s">
        <v>56</v>
      </c>
      <c r="D153" s="3" t="s">
        <v>147</v>
      </c>
      <c r="E153" s="3" t="s">
        <v>3739</v>
      </c>
      <c r="F153" s="3" t="s">
        <v>3625</v>
      </c>
      <c r="G153" s="3" t="s">
        <v>3592</v>
      </c>
      <c r="H153" s="8" t="n">
        <v>2</v>
      </c>
      <c r="I153" s="8" t="s">
        <v>51</v>
      </c>
      <c r="J153" s="8" t="s">
        <v>19</v>
      </c>
      <c r="K153" s="8" t="s">
        <v>21</v>
      </c>
      <c r="L153" s="8" t="n">
        <v>600</v>
      </c>
      <c r="M153" s="8" t="n">
        <v>1200</v>
      </c>
      <c r="N153" s="6" t="n">
        <f aca="false">L153*0.6*H153</f>
        <v>720</v>
      </c>
      <c r="O153" s="6" t="n">
        <f aca="false">M153-N153</f>
        <v>480</v>
      </c>
      <c r="P153" s="7" t="n">
        <f aca="false">IF(M153=0,0,O153/M153)</f>
        <v>0.4</v>
      </c>
    </row>
    <row r="154" customFormat="false" ht="15" hidden="false" customHeight="false" outlineLevel="0" collapsed="false">
      <c r="A154" s="2" t="n">
        <v>1386</v>
      </c>
      <c r="B154" s="2" t="s">
        <v>15</v>
      </c>
      <c r="C154" s="2" t="s">
        <v>769</v>
      </c>
      <c r="D154" s="2" t="s">
        <v>34</v>
      </c>
      <c r="E154" s="2" t="s">
        <v>3715</v>
      </c>
      <c r="F154" s="2" t="s">
        <v>3599</v>
      </c>
      <c r="G154" s="2" t="s">
        <v>3600</v>
      </c>
      <c r="H154" s="5" t="n">
        <v>2</v>
      </c>
      <c r="I154" s="5" t="s">
        <v>18</v>
      </c>
      <c r="J154" s="5" t="s">
        <v>28</v>
      </c>
      <c r="K154" s="5" t="s">
        <v>30</v>
      </c>
      <c r="L154" s="5" t="n">
        <v>300</v>
      </c>
      <c r="M154" s="5" t="n">
        <v>600</v>
      </c>
      <c r="N154" s="6" t="n">
        <f aca="false">L154*0.6*H154</f>
        <v>360</v>
      </c>
      <c r="O154" s="6" t="n">
        <f aca="false">M154-N154</f>
        <v>240</v>
      </c>
      <c r="P154" s="7" t="n">
        <f aca="false">IF(M154=0,0,O154/M154)</f>
        <v>0.4</v>
      </c>
    </row>
    <row r="155" customFormat="false" ht="15" hidden="false" customHeight="false" outlineLevel="0" collapsed="false">
      <c r="A155" s="3" t="n">
        <v>1387</v>
      </c>
      <c r="B155" s="3" t="s">
        <v>772</v>
      </c>
      <c r="C155" s="3" t="s">
        <v>584</v>
      </c>
      <c r="D155" s="3" t="s">
        <v>16</v>
      </c>
      <c r="E155" s="3" t="s">
        <v>3740</v>
      </c>
      <c r="F155" s="3" t="s">
        <v>3610</v>
      </c>
      <c r="G155" s="3" t="s">
        <v>3600</v>
      </c>
      <c r="H155" s="8" t="n">
        <v>2</v>
      </c>
      <c r="I155" s="8" t="s">
        <v>51</v>
      </c>
      <c r="J155" s="8" t="s">
        <v>43</v>
      </c>
      <c r="K155" s="8" t="s">
        <v>67</v>
      </c>
      <c r="L155" s="8" t="n">
        <v>250</v>
      </c>
      <c r="M155" s="8" t="n">
        <v>500</v>
      </c>
      <c r="N155" s="6" t="n">
        <f aca="false">L155*0.6*H155</f>
        <v>300</v>
      </c>
      <c r="O155" s="6" t="n">
        <f aca="false">M155-N155</f>
        <v>200</v>
      </c>
      <c r="P155" s="7" t="n">
        <f aca="false">IF(M155=0,0,O155/M155)</f>
        <v>0.4</v>
      </c>
    </row>
    <row r="156" customFormat="false" ht="15" hidden="false" customHeight="false" outlineLevel="0" collapsed="false">
      <c r="A156" s="2" t="n">
        <v>1388</v>
      </c>
      <c r="B156" s="2" t="s">
        <v>777</v>
      </c>
      <c r="C156" s="2" t="s">
        <v>776</v>
      </c>
      <c r="D156" s="2" t="s">
        <v>34</v>
      </c>
      <c r="E156" s="2" t="s">
        <v>3741</v>
      </c>
      <c r="F156" s="2" t="s">
        <v>2379</v>
      </c>
      <c r="G156" s="2" t="s">
        <v>3592</v>
      </c>
      <c r="H156" s="5" t="n">
        <v>2</v>
      </c>
      <c r="I156" s="5" t="s">
        <v>97</v>
      </c>
      <c r="J156" s="5" t="s">
        <v>121</v>
      </c>
      <c r="K156" s="5" t="s">
        <v>317</v>
      </c>
      <c r="L156" s="5" t="n">
        <v>300</v>
      </c>
      <c r="M156" s="5" t="n">
        <v>600</v>
      </c>
      <c r="N156" s="6" t="n">
        <f aca="false">L156*0.6*H156</f>
        <v>360</v>
      </c>
      <c r="O156" s="6" t="n">
        <f aca="false">M156-N156</f>
        <v>240</v>
      </c>
      <c r="P156" s="7" t="n">
        <f aca="false">IF(M156=0,0,O156/M156)</f>
        <v>0.4</v>
      </c>
    </row>
    <row r="157" customFormat="false" ht="15" hidden="false" customHeight="false" outlineLevel="0" collapsed="false">
      <c r="A157" s="3" t="n">
        <v>1389</v>
      </c>
      <c r="B157" s="3" t="s">
        <v>782</v>
      </c>
      <c r="C157" s="3" t="s">
        <v>781</v>
      </c>
      <c r="D157" s="3" t="s">
        <v>147</v>
      </c>
      <c r="E157" s="3" t="s">
        <v>3723</v>
      </c>
      <c r="F157" s="3" t="s">
        <v>3613</v>
      </c>
      <c r="G157" s="3" t="s">
        <v>3604</v>
      </c>
      <c r="H157" s="8" t="n">
        <v>2</v>
      </c>
      <c r="I157" s="8" t="s">
        <v>51</v>
      </c>
      <c r="J157" s="8" t="s">
        <v>19</v>
      </c>
      <c r="K157" s="8" t="s">
        <v>176</v>
      </c>
      <c r="L157" s="8" t="n">
        <v>600</v>
      </c>
      <c r="M157" s="8" t="n">
        <v>1200</v>
      </c>
      <c r="N157" s="6" t="n">
        <f aca="false">L157*0.6*H157</f>
        <v>720</v>
      </c>
      <c r="O157" s="6" t="n">
        <f aca="false">M157-N157</f>
        <v>480</v>
      </c>
      <c r="P157" s="7" t="n">
        <f aca="false">IF(M157=0,0,O157/M157)</f>
        <v>0.4</v>
      </c>
    </row>
    <row r="158" customFormat="false" ht="15" hidden="false" customHeight="false" outlineLevel="0" collapsed="false">
      <c r="A158" s="2" t="n">
        <v>1390</v>
      </c>
      <c r="B158" s="2" t="s">
        <v>548</v>
      </c>
      <c r="C158" s="2" t="s">
        <v>352</v>
      </c>
      <c r="D158" s="2" t="s">
        <v>34</v>
      </c>
      <c r="E158" s="2" t="s">
        <v>3742</v>
      </c>
      <c r="F158" s="2" t="s">
        <v>3606</v>
      </c>
      <c r="G158" s="2" t="s">
        <v>3600</v>
      </c>
      <c r="H158" s="5" t="n">
        <v>2</v>
      </c>
      <c r="I158" s="5" t="s">
        <v>18</v>
      </c>
      <c r="J158" s="5" t="s">
        <v>78</v>
      </c>
      <c r="K158" s="5" t="s">
        <v>80</v>
      </c>
      <c r="L158" s="5" t="n">
        <v>300</v>
      </c>
      <c r="M158" s="5" t="n">
        <v>600</v>
      </c>
      <c r="N158" s="6" t="n">
        <f aca="false">L158*0.6*H158</f>
        <v>360</v>
      </c>
      <c r="O158" s="6" t="n">
        <f aca="false">M158-N158</f>
        <v>240</v>
      </c>
      <c r="P158" s="7" t="n">
        <f aca="false">IF(M158=0,0,O158/M158)</f>
        <v>0.4</v>
      </c>
    </row>
    <row r="159" customFormat="false" ht="15" hidden="false" customHeight="false" outlineLevel="0" collapsed="false">
      <c r="A159" s="3" t="n">
        <v>1391</v>
      </c>
      <c r="B159" s="3" t="s">
        <v>789</v>
      </c>
      <c r="C159" s="3" t="s">
        <v>788</v>
      </c>
      <c r="D159" s="3" t="s">
        <v>108</v>
      </c>
      <c r="E159" s="3" t="s">
        <v>3743</v>
      </c>
      <c r="F159" s="3" t="s">
        <v>3610</v>
      </c>
      <c r="G159" s="3" t="s">
        <v>3600</v>
      </c>
      <c r="H159" s="8" t="n">
        <v>2</v>
      </c>
      <c r="I159" s="8" t="s">
        <v>18</v>
      </c>
      <c r="J159" s="8" t="s">
        <v>78</v>
      </c>
      <c r="K159" s="8" t="s">
        <v>80</v>
      </c>
      <c r="L159" s="8" t="n">
        <v>1200</v>
      </c>
      <c r="M159" s="8" t="n">
        <v>2400</v>
      </c>
      <c r="N159" s="6" t="n">
        <f aca="false">L159*0.6*H159</f>
        <v>1440</v>
      </c>
      <c r="O159" s="6" t="n">
        <f aca="false">M159-N159</f>
        <v>960</v>
      </c>
      <c r="P159" s="7" t="n">
        <f aca="false">IF(M159=0,0,O159/M159)</f>
        <v>0.4</v>
      </c>
    </row>
    <row r="160" customFormat="false" ht="15" hidden="false" customHeight="false" outlineLevel="0" collapsed="false">
      <c r="A160" s="2" t="n">
        <v>1392</v>
      </c>
      <c r="B160" s="2" t="s">
        <v>300</v>
      </c>
      <c r="C160" s="2" t="s">
        <v>309</v>
      </c>
      <c r="D160" s="2" t="s">
        <v>16</v>
      </c>
      <c r="E160" s="2" t="s">
        <v>3744</v>
      </c>
      <c r="F160" s="2" t="s">
        <v>3606</v>
      </c>
      <c r="G160" s="2" t="s">
        <v>3600</v>
      </c>
      <c r="H160" s="5" t="n">
        <v>3</v>
      </c>
      <c r="I160" s="5" t="s">
        <v>51</v>
      </c>
      <c r="J160" s="5" t="s">
        <v>52</v>
      </c>
      <c r="K160" s="5" t="s">
        <v>182</v>
      </c>
      <c r="L160" s="5" t="n">
        <v>250</v>
      </c>
      <c r="M160" s="5" t="n">
        <v>750</v>
      </c>
      <c r="N160" s="6" t="n">
        <f aca="false">L160*0.6*H160</f>
        <v>450</v>
      </c>
      <c r="O160" s="6" t="n">
        <f aca="false">M160-N160</f>
        <v>300</v>
      </c>
      <c r="P160" s="7" t="n">
        <f aca="false">IF(M160=0,0,O160/M160)</f>
        <v>0.4</v>
      </c>
    </row>
    <row r="161" customFormat="false" ht="15" hidden="false" customHeight="false" outlineLevel="0" collapsed="false">
      <c r="A161" s="3" t="n">
        <v>1393</v>
      </c>
      <c r="B161" s="3" t="s">
        <v>797</v>
      </c>
      <c r="C161" s="3" t="s">
        <v>796</v>
      </c>
      <c r="D161" s="3" t="s">
        <v>34</v>
      </c>
      <c r="E161" s="3" t="s">
        <v>3745</v>
      </c>
      <c r="F161" s="3" t="s">
        <v>3599</v>
      </c>
      <c r="G161" s="3" t="s">
        <v>3600</v>
      </c>
      <c r="H161" s="8" t="n">
        <v>3</v>
      </c>
      <c r="I161" s="8" t="s">
        <v>51</v>
      </c>
      <c r="J161" s="8" t="s">
        <v>43</v>
      </c>
      <c r="K161" s="8" t="s">
        <v>45</v>
      </c>
      <c r="L161" s="8" t="n">
        <v>300</v>
      </c>
      <c r="M161" s="8" t="n">
        <v>900</v>
      </c>
      <c r="N161" s="6" t="n">
        <f aca="false">L161*0.6*H161</f>
        <v>540</v>
      </c>
      <c r="O161" s="6" t="n">
        <f aca="false">M161-N161</f>
        <v>360</v>
      </c>
      <c r="P161" s="7" t="n">
        <f aca="false">IF(M161=0,0,O161/M161)</f>
        <v>0.4</v>
      </c>
    </row>
    <row r="162" customFormat="false" ht="15" hidden="false" customHeight="false" outlineLevel="0" collapsed="false">
      <c r="A162" s="2" t="n">
        <v>1394</v>
      </c>
      <c r="B162" s="2" t="s">
        <v>802</v>
      </c>
      <c r="C162" s="2" t="s">
        <v>801</v>
      </c>
      <c r="D162" s="2" t="s">
        <v>147</v>
      </c>
      <c r="E162" s="2" t="s">
        <v>3746</v>
      </c>
      <c r="F162" s="2" t="s">
        <v>2379</v>
      </c>
      <c r="G162" s="2" t="s">
        <v>3592</v>
      </c>
      <c r="H162" s="5" t="n">
        <v>3</v>
      </c>
      <c r="I162" s="5" t="s">
        <v>18</v>
      </c>
      <c r="J162" s="5" t="s">
        <v>36</v>
      </c>
      <c r="K162" s="5" t="s">
        <v>38</v>
      </c>
      <c r="L162" s="5" t="n">
        <v>600</v>
      </c>
      <c r="M162" s="5" t="n">
        <v>1800</v>
      </c>
      <c r="N162" s="6" t="n">
        <f aca="false">L162*0.6*H162</f>
        <v>1080</v>
      </c>
      <c r="O162" s="6" t="n">
        <f aca="false">M162-N162</f>
        <v>720</v>
      </c>
      <c r="P162" s="7" t="n">
        <f aca="false">IF(M162=0,0,O162/M162)</f>
        <v>0.4</v>
      </c>
    </row>
    <row r="163" customFormat="false" ht="15" hidden="false" customHeight="false" outlineLevel="0" collapsed="false">
      <c r="A163" s="3" t="n">
        <v>1395</v>
      </c>
      <c r="B163" s="3" t="s">
        <v>806</v>
      </c>
      <c r="C163" s="3" t="s">
        <v>419</v>
      </c>
      <c r="D163" s="3" t="s">
        <v>108</v>
      </c>
      <c r="E163" s="3" t="s">
        <v>3747</v>
      </c>
      <c r="F163" s="3" t="s">
        <v>3625</v>
      </c>
      <c r="G163" s="3" t="s">
        <v>3592</v>
      </c>
      <c r="H163" s="8" t="n">
        <v>1</v>
      </c>
      <c r="I163" s="8" t="s">
        <v>18</v>
      </c>
      <c r="J163" s="8" t="s">
        <v>121</v>
      </c>
      <c r="K163" s="8" t="s">
        <v>317</v>
      </c>
      <c r="L163" s="8" t="n">
        <v>1200</v>
      </c>
      <c r="M163" s="8" t="n">
        <v>1200</v>
      </c>
      <c r="N163" s="6" t="n">
        <f aca="false">L163*0.6*H163</f>
        <v>720</v>
      </c>
      <c r="O163" s="6" t="n">
        <f aca="false">M163-N163</f>
        <v>480</v>
      </c>
      <c r="P163" s="7" t="n">
        <f aca="false">IF(M163=0,0,O163/M163)</f>
        <v>0.4</v>
      </c>
    </row>
    <row r="164" customFormat="false" ht="15" hidden="false" customHeight="false" outlineLevel="0" collapsed="false">
      <c r="A164" s="2" t="n">
        <v>1396</v>
      </c>
      <c r="B164" s="2" t="s">
        <v>210</v>
      </c>
      <c r="C164" s="2" t="s">
        <v>810</v>
      </c>
      <c r="D164" s="2" t="s">
        <v>25</v>
      </c>
      <c r="E164" s="2" t="s">
        <v>3748</v>
      </c>
      <c r="F164" s="2" t="s">
        <v>3625</v>
      </c>
      <c r="G164" s="2" t="s">
        <v>3592</v>
      </c>
      <c r="H164" s="5" t="n">
        <v>2</v>
      </c>
      <c r="I164" s="5" t="s">
        <v>18</v>
      </c>
      <c r="J164" s="5" t="s">
        <v>19</v>
      </c>
      <c r="K164" s="5" t="s">
        <v>73</v>
      </c>
      <c r="L164" s="5" t="n">
        <v>800</v>
      </c>
      <c r="M164" s="5" t="n">
        <v>1600</v>
      </c>
      <c r="N164" s="6" t="n">
        <f aca="false">L164*0.6*H164</f>
        <v>960</v>
      </c>
      <c r="O164" s="6" t="n">
        <f aca="false">M164-N164</f>
        <v>640</v>
      </c>
      <c r="P164" s="7" t="n">
        <f aca="false">IF(M164=0,0,O164/M164)</f>
        <v>0.4</v>
      </c>
    </row>
    <row r="165" customFormat="false" ht="15" hidden="false" customHeight="false" outlineLevel="0" collapsed="false">
      <c r="A165" s="3" t="n">
        <v>1397</v>
      </c>
      <c r="B165" s="3" t="s">
        <v>815</v>
      </c>
      <c r="C165" s="3" t="s">
        <v>814</v>
      </c>
      <c r="D165" s="3" t="s">
        <v>108</v>
      </c>
      <c r="E165" s="3" t="s">
        <v>3749</v>
      </c>
      <c r="F165" s="3" t="s">
        <v>3608</v>
      </c>
      <c r="G165" s="3" t="s">
        <v>3604</v>
      </c>
      <c r="H165" s="8" t="n">
        <v>1</v>
      </c>
      <c r="I165" s="8" t="s">
        <v>51</v>
      </c>
      <c r="J165" s="8" t="s">
        <v>121</v>
      </c>
      <c r="K165" s="8" t="s">
        <v>123</v>
      </c>
      <c r="L165" s="8" t="n">
        <v>1200</v>
      </c>
      <c r="M165" s="8" t="n">
        <v>1200</v>
      </c>
      <c r="N165" s="6" t="n">
        <f aca="false">L165*0.6*H165</f>
        <v>720</v>
      </c>
      <c r="O165" s="6" t="n">
        <f aca="false">M165-N165</f>
        <v>480</v>
      </c>
      <c r="P165" s="7" t="n">
        <f aca="false">IF(M165=0,0,O165/M165)</f>
        <v>0.4</v>
      </c>
    </row>
    <row r="166" customFormat="false" ht="15" hidden="false" customHeight="false" outlineLevel="0" collapsed="false">
      <c r="A166" s="2" t="n">
        <v>1398</v>
      </c>
      <c r="B166" s="2" t="s">
        <v>562</v>
      </c>
      <c r="C166" s="2" t="s">
        <v>819</v>
      </c>
      <c r="D166" s="2" t="s">
        <v>147</v>
      </c>
      <c r="E166" s="2" t="s">
        <v>3750</v>
      </c>
      <c r="F166" s="2" t="s">
        <v>3628</v>
      </c>
      <c r="G166" s="2" t="s">
        <v>3595</v>
      </c>
      <c r="H166" s="5" t="n">
        <v>1</v>
      </c>
      <c r="I166" s="5" t="s">
        <v>51</v>
      </c>
      <c r="J166" s="5" t="s">
        <v>52</v>
      </c>
      <c r="K166" s="5" t="s">
        <v>182</v>
      </c>
      <c r="L166" s="5" t="n">
        <v>600</v>
      </c>
      <c r="M166" s="5" t="n">
        <v>600</v>
      </c>
      <c r="N166" s="6" t="n">
        <f aca="false">L166*0.6*H166</f>
        <v>360</v>
      </c>
      <c r="O166" s="6" t="n">
        <f aca="false">M166-N166</f>
        <v>240</v>
      </c>
      <c r="P166" s="7" t="n">
        <f aca="false">IF(M166=0,0,O166/M166)</f>
        <v>0.4</v>
      </c>
    </row>
    <row r="167" customFormat="false" ht="15" hidden="false" customHeight="false" outlineLevel="0" collapsed="false">
      <c r="A167" s="3" t="n">
        <v>1399</v>
      </c>
      <c r="B167" s="3" t="s">
        <v>824</v>
      </c>
      <c r="C167" s="3" t="s">
        <v>823</v>
      </c>
      <c r="D167" s="3" t="s">
        <v>16</v>
      </c>
      <c r="E167" s="3" t="s">
        <v>3741</v>
      </c>
      <c r="F167" s="3" t="s">
        <v>2379</v>
      </c>
      <c r="G167" s="3" t="s">
        <v>3592</v>
      </c>
      <c r="H167" s="8" t="n">
        <v>2</v>
      </c>
      <c r="I167" s="8" t="s">
        <v>18</v>
      </c>
      <c r="J167" s="8" t="s">
        <v>19</v>
      </c>
      <c r="K167" s="8" t="s">
        <v>21</v>
      </c>
      <c r="L167" s="8" t="n">
        <v>250</v>
      </c>
      <c r="M167" s="8" t="n">
        <v>500</v>
      </c>
      <c r="N167" s="6" t="n">
        <f aca="false">L167*0.6*H167</f>
        <v>300</v>
      </c>
      <c r="O167" s="6" t="n">
        <f aca="false">M167-N167</f>
        <v>200</v>
      </c>
      <c r="P167" s="7" t="n">
        <f aca="false">IF(M167=0,0,O167/M167)</f>
        <v>0.4</v>
      </c>
    </row>
    <row r="168" customFormat="false" ht="15" hidden="false" customHeight="false" outlineLevel="0" collapsed="false">
      <c r="A168" s="2" t="n">
        <v>1400</v>
      </c>
      <c r="B168" s="2" t="s">
        <v>828</v>
      </c>
      <c r="C168" s="2" t="s">
        <v>827</v>
      </c>
      <c r="D168" s="2" t="s">
        <v>16</v>
      </c>
      <c r="E168" s="2" t="s">
        <v>3751</v>
      </c>
      <c r="F168" s="2" t="s">
        <v>3613</v>
      </c>
      <c r="G168" s="2" t="s">
        <v>3604</v>
      </c>
      <c r="H168" s="5" t="n">
        <v>2</v>
      </c>
      <c r="I168" s="5" t="s">
        <v>97</v>
      </c>
      <c r="J168" s="5" t="s">
        <v>28</v>
      </c>
      <c r="K168" s="5" t="s">
        <v>30</v>
      </c>
      <c r="L168" s="5" t="n">
        <v>250</v>
      </c>
      <c r="M168" s="5" t="n">
        <v>500</v>
      </c>
      <c r="N168" s="6" t="n">
        <f aca="false">L168*0.6*H168</f>
        <v>300</v>
      </c>
      <c r="O168" s="6" t="n">
        <f aca="false">M168-N168</f>
        <v>200</v>
      </c>
      <c r="P168" s="7" t="n">
        <f aca="false">IF(M168=0,0,O168/M168)</f>
        <v>0.4</v>
      </c>
    </row>
    <row r="169" customFormat="false" ht="15" hidden="false" customHeight="false" outlineLevel="0" collapsed="false">
      <c r="A169" s="3" t="n">
        <v>1401</v>
      </c>
      <c r="B169" s="3" t="s">
        <v>833</v>
      </c>
      <c r="C169" s="3" t="s">
        <v>832</v>
      </c>
      <c r="D169" s="3" t="s">
        <v>108</v>
      </c>
      <c r="E169" s="3" t="s">
        <v>3752</v>
      </c>
      <c r="F169" s="3" t="s">
        <v>3606</v>
      </c>
      <c r="G169" s="3" t="s">
        <v>3600</v>
      </c>
      <c r="H169" s="8" t="n">
        <v>1</v>
      </c>
      <c r="I169" s="8" t="s">
        <v>18</v>
      </c>
      <c r="J169" s="8" t="s">
        <v>121</v>
      </c>
      <c r="K169" s="8" t="s">
        <v>317</v>
      </c>
      <c r="L169" s="8" t="n">
        <v>1200</v>
      </c>
      <c r="M169" s="8" t="n">
        <v>1200</v>
      </c>
      <c r="N169" s="6" t="n">
        <f aca="false">L169*0.6*H169</f>
        <v>720</v>
      </c>
      <c r="O169" s="6" t="n">
        <f aca="false">M169-N169</f>
        <v>480</v>
      </c>
      <c r="P169" s="7" t="n">
        <f aca="false">IF(M169=0,0,O169/M169)</f>
        <v>0.4</v>
      </c>
    </row>
    <row r="170" customFormat="false" ht="15" hidden="false" customHeight="false" outlineLevel="0" collapsed="false">
      <c r="A170" s="2" t="n">
        <v>1402</v>
      </c>
      <c r="B170" s="2" t="s">
        <v>448</v>
      </c>
      <c r="C170" s="2" t="s">
        <v>837</v>
      </c>
      <c r="D170" s="2" t="s">
        <v>147</v>
      </c>
      <c r="E170" s="2" t="s">
        <v>3721</v>
      </c>
      <c r="F170" s="2" t="s">
        <v>3610</v>
      </c>
      <c r="G170" s="2" t="s">
        <v>3600</v>
      </c>
      <c r="H170" s="5" t="n">
        <v>2</v>
      </c>
      <c r="I170" s="5" t="s">
        <v>51</v>
      </c>
      <c r="J170" s="5" t="s">
        <v>121</v>
      </c>
      <c r="K170" s="5" t="s">
        <v>123</v>
      </c>
      <c r="L170" s="5" t="n">
        <v>600</v>
      </c>
      <c r="M170" s="5" t="n">
        <v>1200</v>
      </c>
      <c r="N170" s="6" t="n">
        <f aca="false">L170*0.6*H170</f>
        <v>720</v>
      </c>
      <c r="O170" s="6" t="n">
        <f aca="false">M170-N170</f>
        <v>480</v>
      </c>
      <c r="P170" s="7" t="n">
        <f aca="false">IF(M170=0,0,O170/M170)</f>
        <v>0.4</v>
      </c>
    </row>
    <row r="171" customFormat="false" ht="15" hidden="false" customHeight="false" outlineLevel="0" collapsed="false">
      <c r="A171" s="3" t="n">
        <v>1403</v>
      </c>
      <c r="B171" s="3" t="s">
        <v>841</v>
      </c>
      <c r="C171" s="3" t="s">
        <v>840</v>
      </c>
      <c r="D171" s="3" t="s">
        <v>49</v>
      </c>
      <c r="E171" s="3" t="s">
        <v>3742</v>
      </c>
      <c r="F171" s="3" t="s">
        <v>3606</v>
      </c>
      <c r="G171" s="3" t="s">
        <v>3600</v>
      </c>
      <c r="H171" s="8" t="n">
        <v>1</v>
      </c>
      <c r="I171" s="8" t="s">
        <v>51</v>
      </c>
      <c r="J171" s="8" t="s">
        <v>121</v>
      </c>
      <c r="K171" s="8" t="s">
        <v>317</v>
      </c>
      <c r="L171" s="8" t="n">
        <v>250</v>
      </c>
      <c r="M171" s="8" t="n">
        <v>250</v>
      </c>
      <c r="N171" s="6" t="n">
        <f aca="false">L171*0.6*H171</f>
        <v>150</v>
      </c>
      <c r="O171" s="6" t="n">
        <f aca="false">M171-N171</f>
        <v>100</v>
      </c>
      <c r="P171" s="7" t="n">
        <f aca="false">IF(M171=0,0,O171/M171)</f>
        <v>0.4</v>
      </c>
    </row>
    <row r="172" customFormat="false" ht="15" hidden="false" customHeight="false" outlineLevel="0" collapsed="false">
      <c r="A172" s="2" t="n">
        <v>1404</v>
      </c>
      <c r="B172" s="2" t="s">
        <v>386</v>
      </c>
      <c r="C172" s="2" t="s">
        <v>844</v>
      </c>
      <c r="D172" s="2" t="s">
        <v>49</v>
      </c>
      <c r="E172" s="2" t="s">
        <v>3753</v>
      </c>
      <c r="F172" s="2" t="s">
        <v>3625</v>
      </c>
      <c r="G172" s="2" t="s">
        <v>3592</v>
      </c>
      <c r="H172" s="5" t="n">
        <v>3</v>
      </c>
      <c r="I172" s="5" t="s">
        <v>27</v>
      </c>
      <c r="J172" s="5" t="s">
        <v>43</v>
      </c>
      <c r="K172" s="5" t="s">
        <v>67</v>
      </c>
      <c r="L172" s="5" t="n">
        <v>250</v>
      </c>
      <c r="M172" s="5" t="n">
        <v>750</v>
      </c>
      <c r="N172" s="6" t="n">
        <f aca="false">L172*0.6*H172</f>
        <v>450</v>
      </c>
      <c r="O172" s="6" t="n">
        <f aca="false">M172-N172</f>
        <v>300</v>
      </c>
      <c r="P172" s="7" t="n">
        <f aca="false">IF(M172=0,0,O172/M172)</f>
        <v>0.4</v>
      </c>
    </row>
    <row r="173" customFormat="false" ht="15" hidden="false" customHeight="false" outlineLevel="0" collapsed="false">
      <c r="A173" s="3" t="n">
        <v>1405</v>
      </c>
      <c r="B173" s="3" t="s">
        <v>849</v>
      </c>
      <c r="C173" s="3" t="s">
        <v>848</v>
      </c>
      <c r="D173" s="3" t="s">
        <v>25</v>
      </c>
      <c r="E173" s="3" t="s">
        <v>3754</v>
      </c>
      <c r="F173" s="3" t="s">
        <v>3603</v>
      </c>
      <c r="G173" s="3" t="s">
        <v>3604</v>
      </c>
      <c r="H173" s="8" t="n">
        <v>3</v>
      </c>
      <c r="I173" s="8" t="s">
        <v>27</v>
      </c>
      <c r="J173" s="8" t="s">
        <v>36</v>
      </c>
      <c r="K173" s="8" t="s">
        <v>192</v>
      </c>
      <c r="L173" s="8" t="n">
        <v>800</v>
      </c>
      <c r="M173" s="8" t="n">
        <v>2400</v>
      </c>
      <c r="N173" s="6" t="n">
        <f aca="false">L173*0.6*H173</f>
        <v>1440</v>
      </c>
      <c r="O173" s="6" t="n">
        <f aca="false">M173-N173</f>
        <v>960</v>
      </c>
      <c r="P173" s="7" t="n">
        <f aca="false">IF(M173=0,0,O173/M173)</f>
        <v>0.4</v>
      </c>
    </row>
    <row r="174" customFormat="false" ht="15" hidden="false" customHeight="false" outlineLevel="0" collapsed="false">
      <c r="A174" s="2" t="n">
        <v>1406</v>
      </c>
      <c r="B174" s="2" t="s">
        <v>854</v>
      </c>
      <c r="C174" s="2" t="s">
        <v>853</v>
      </c>
      <c r="D174" s="2" t="s">
        <v>16</v>
      </c>
      <c r="E174" s="2" t="s">
        <v>3593</v>
      </c>
      <c r="F174" s="2" t="s">
        <v>3594</v>
      </c>
      <c r="G174" s="2" t="s">
        <v>3595</v>
      </c>
      <c r="H174" s="5" t="n">
        <v>3</v>
      </c>
      <c r="I174" s="5" t="s">
        <v>18</v>
      </c>
      <c r="J174" s="5" t="s">
        <v>36</v>
      </c>
      <c r="K174" s="5" t="s">
        <v>170</v>
      </c>
      <c r="L174" s="5" t="n">
        <v>250</v>
      </c>
      <c r="M174" s="5" t="n">
        <v>750</v>
      </c>
      <c r="N174" s="6" t="n">
        <f aca="false">L174*0.6*H174</f>
        <v>450</v>
      </c>
      <c r="O174" s="6" t="n">
        <f aca="false">M174-N174</f>
        <v>300</v>
      </c>
      <c r="P174" s="7" t="n">
        <f aca="false">IF(M174=0,0,O174/M174)</f>
        <v>0.4</v>
      </c>
    </row>
    <row r="175" customFormat="false" ht="15" hidden="false" customHeight="false" outlineLevel="0" collapsed="false">
      <c r="A175" s="3" t="n">
        <v>1407</v>
      </c>
      <c r="B175" s="3" t="s">
        <v>434</v>
      </c>
      <c r="C175" s="3" t="s">
        <v>857</v>
      </c>
      <c r="D175" s="3" t="s">
        <v>34</v>
      </c>
      <c r="E175" s="3" t="s">
        <v>3755</v>
      </c>
      <c r="F175" s="3" t="s">
        <v>3599</v>
      </c>
      <c r="G175" s="3" t="s">
        <v>3600</v>
      </c>
      <c r="H175" s="8" t="n">
        <v>1</v>
      </c>
      <c r="I175" s="8" t="s">
        <v>97</v>
      </c>
      <c r="J175" s="8" t="s">
        <v>59</v>
      </c>
      <c r="K175" s="8" t="s">
        <v>99</v>
      </c>
      <c r="L175" s="8" t="n">
        <v>300</v>
      </c>
      <c r="M175" s="8" t="n">
        <v>300</v>
      </c>
      <c r="N175" s="6" t="n">
        <f aca="false">L175*0.6*H175</f>
        <v>180</v>
      </c>
      <c r="O175" s="6" t="n">
        <f aca="false">M175-N175</f>
        <v>120</v>
      </c>
      <c r="P175" s="7" t="n">
        <f aca="false">IF(M175=0,0,O175/M175)</f>
        <v>0.4</v>
      </c>
    </row>
    <row r="176" customFormat="false" ht="15" hidden="false" customHeight="false" outlineLevel="0" collapsed="false">
      <c r="A176" s="2" t="n">
        <v>1408</v>
      </c>
      <c r="B176" s="2" t="s">
        <v>861</v>
      </c>
      <c r="C176" s="2" t="s">
        <v>505</v>
      </c>
      <c r="D176" s="2" t="s">
        <v>25</v>
      </c>
      <c r="E176" s="2" t="s">
        <v>3756</v>
      </c>
      <c r="F176" s="2" t="s">
        <v>3599</v>
      </c>
      <c r="G176" s="2" t="s">
        <v>3600</v>
      </c>
      <c r="H176" s="5" t="n">
        <v>1</v>
      </c>
      <c r="I176" s="5" t="s">
        <v>97</v>
      </c>
      <c r="J176" s="5" t="s">
        <v>36</v>
      </c>
      <c r="K176" s="5" t="s">
        <v>38</v>
      </c>
      <c r="L176" s="5" t="n">
        <v>800</v>
      </c>
      <c r="M176" s="5" t="n">
        <v>800</v>
      </c>
      <c r="N176" s="6" t="n">
        <f aca="false">L176*0.6*H176</f>
        <v>480</v>
      </c>
      <c r="O176" s="6" t="n">
        <f aca="false">M176-N176</f>
        <v>320</v>
      </c>
      <c r="P176" s="7" t="n">
        <f aca="false">IF(M176=0,0,O176/M176)</f>
        <v>0.4</v>
      </c>
    </row>
    <row r="177" customFormat="false" ht="15" hidden="false" customHeight="false" outlineLevel="0" collapsed="false">
      <c r="A177" s="3" t="n">
        <v>1409</v>
      </c>
      <c r="B177" s="3" t="s">
        <v>107</v>
      </c>
      <c r="C177" s="3" t="s">
        <v>865</v>
      </c>
      <c r="D177" s="3" t="s">
        <v>25</v>
      </c>
      <c r="E177" s="3" t="s">
        <v>3654</v>
      </c>
      <c r="F177" s="3" t="s">
        <v>3608</v>
      </c>
      <c r="G177" s="3" t="s">
        <v>3604</v>
      </c>
      <c r="H177" s="8" t="n">
        <v>2</v>
      </c>
      <c r="I177" s="8" t="s">
        <v>51</v>
      </c>
      <c r="J177" s="8" t="s">
        <v>43</v>
      </c>
      <c r="K177" s="8" t="s">
        <v>45</v>
      </c>
      <c r="L177" s="8" t="n">
        <v>800</v>
      </c>
      <c r="M177" s="8" t="n">
        <v>1600</v>
      </c>
      <c r="N177" s="6" t="n">
        <f aca="false">L177*0.6*H177</f>
        <v>960</v>
      </c>
      <c r="O177" s="6" t="n">
        <f aca="false">M177-N177</f>
        <v>640</v>
      </c>
      <c r="P177" s="7" t="n">
        <f aca="false">IF(M177=0,0,O177/M177)</f>
        <v>0.4</v>
      </c>
    </row>
    <row r="178" customFormat="false" ht="15" hidden="false" customHeight="false" outlineLevel="0" collapsed="false">
      <c r="A178" s="2" t="n">
        <v>1410</v>
      </c>
      <c r="B178" s="2" t="s">
        <v>869</v>
      </c>
      <c r="C178" s="2" t="s">
        <v>868</v>
      </c>
      <c r="D178" s="2" t="s">
        <v>25</v>
      </c>
      <c r="E178" s="2" t="s">
        <v>3757</v>
      </c>
      <c r="F178" s="2" t="s">
        <v>3625</v>
      </c>
      <c r="G178" s="2" t="s">
        <v>3592</v>
      </c>
      <c r="H178" s="5" t="n">
        <v>3</v>
      </c>
      <c r="I178" s="5" t="s">
        <v>18</v>
      </c>
      <c r="J178" s="5" t="s">
        <v>28</v>
      </c>
      <c r="K178" s="5" t="s">
        <v>30</v>
      </c>
      <c r="L178" s="5" t="n">
        <v>800</v>
      </c>
      <c r="M178" s="5" t="n">
        <v>2400</v>
      </c>
      <c r="N178" s="6" t="n">
        <f aca="false">L178*0.6*H178</f>
        <v>1440</v>
      </c>
      <c r="O178" s="6" t="n">
        <f aca="false">M178-N178</f>
        <v>960</v>
      </c>
      <c r="P178" s="7" t="n">
        <f aca="false">IF(M178=0,0,O178/M178)</f>
        <v>0.4</v>
      </c>
    </row>
    <row r="179" customFormat="false" ht="15" hidden="false" customHeight="false" outlineLevel="0" collapsed="false">
      <c r="A179" s="3" t="n">
        <v>1411</v>
      </c>
      <c r="B179" s="3" t="s">
        <v>874</v>
      </c>
      <c r="C179" s="3" t="s">
        <v>873</v>
      </c>
      <c r="D179" s="3" t="s">
        <v>49</v>
      </c>
      <c r="E179" s="3" t="s">
        <v>3733</v>
      </c>
      <c r="F179" s="3" t="s">
        <v>3610</v>
      </c>
      <c r="G179" s="3" t="s">
        <v>3600</v>
      </c>
      <c r="H179" s="8" t="n">
        <v>2</v>
      </c>
      <c r="I179" s="8" t="s">
        <v>27</v>
      </c>
      <c r="J179" s="8" t="s">
        <v>59</v>
      </c>
      <c r="K179" s="8" t="s">
        <v>99</v>
      </c>
      <c r="L179" s="8" t="n">
        <v>250</v>
      </c>
      <c r="M179" s="8" t="n">
        <v>500</v>
      </c>
      <c r="N179" s="6" t="n">
        <f aca="false">L179*0.6*H179</f>
        <v>300</v>
      </c>
      <c r="O179" s="6" t="n">
        <f aca="false">M179-N179</f>
        <v>200</v>
      </c>
      <c r="P179" s="7" t="n">
        <f aca="false">IF(M179=0,0,O179/M179)</f>
        <v>0.4</v>
      </c>
    </row>
    <row r="180" customFormat="false" ht="15" hidden="false" customHeight="false" outlineLevel="0" collapsed="false">
      <c r="A180" s="2" t="n">
        <v>1412</v>
      </c>
      <c r="B180" s="2" t="s">
        <v>877</v>
      </c>
      <c r="C180" s="2" t="s">
        <v>665</v>
      </c>
      <c r="D180" s="2" t="s">
        <v>49</v>
      </c>
      <c r="E180" s="2" t="s">
        <v>3755</v>
      </c>
      <c r="F180" s="2" t="s">
        <v>3599</v>
      </c>
      <c r="G180" s="2" t="s">
        <v>3600</v>
      </c>
      <c r="H180" s="5" t="n">
        <v>3</v>
      </c>
      <c r="I180" s="5" t="s">
        <v>51</v>
      </c>
      <c r="J180" s="5" t="s">
        <v>19</v>
      </c>
      <c r="K180" s="5" t="s">
        <v>21</v>
      </c>
      <c r="L180" s="5" t="n">
        <v>250</v>
      </c>
      <c r="M180" s="5" t="n">
        <v>750</v>
      </c>
      <c r="N180" s="6" t="n">
        <f aca="false">L180*0.6*H180</f>
        <v>450</v>
      </c>
      <c r="O180" s="6" t="n">
        <f aca="false">M180-N180</f>
        <v>300</v>
      </c>
      <c r="P180" s="7" t="n">
        <f aca="false">IF(M180=0,0,O180/M180)</f>
        <v>0.4</v>
      </c>
    </row>
    <row r="181" customFormat="false" ht="15" hidden="false" customHeight="false" outlineLevel="0" collapsed="false">
      <c r="A181" s="3" t="n">
        <v>1413</v>
      </c>
      <c r="B181" s="3" t="s">
        <v>881</v>
      </c>
      <c r="C181" s="3" t="s">
        <v>880</v>
      </c>
      <c r="D181" s="3" t="s">
        <v>34</v>
      </c>
      <c r="E181" s="3" t="s">
        <v>3758</v>
      </c>
      <c r="F181" s="3" t="s">
        <v>3599</v>
      </c>
      <c r="G181" s="3" t="s">
        <v>3600</v>
      </c>
      <c r="H181" s="8" t="n">
        <v>3</v>
      </c>
      <c r="I181" s="8" t="s">
        <v>18</v>
      </c>
      <c r="J181" s="8" t="s">
        <v>59</v>
      </c>
      <c r="K181" s="8" t="s">
        <v>99</v>
      </c>
      <c r="L181" s="8" t="n">
        <v>300</v>
      </c>
      <c r="M181" s="8" t="n">
        <v>900</v>
      </c>
      <c r="N181" s="6" t="n">
        <f aca="false">L181*0.6*H181</f>
        <v>540</v>
      </c>
      <c r="O181" s="6" t="n">
        <f aca="false">M181-N181</f>
        <v>360</v>
      </c>
      <c r="P181" s="7" t="n">
        <f aca="false">IF(M181=0,0,O181/M181)</f>
        <v>0.4</v>
      </c>
    </row>
    <row r="182" customFormat="false" ht="15" hidden="false" customHeight="false" outlineLevel="0" collapsed="false">
      <c r="A182" s="2" t="n">
        <v>1414</v>
      </c>
      <c r="B182" s="2" t="s">
        <v>886</v>
      </c>
      <c r="C182" s="2" t="s">
        <v>885</v>
      </c>
      <c r="D182" s="2" t="s">
        <v>25</v>
      </c>
      <c r="E182" s="2" t="s">
        <v>3759</v>
      </c>
      <c r="F182" s="2" t="s">
        <v>3603</v>
      </c>
      <c r="G182" s="2" t="s">
        <v>3604</v>
      </c>
      <c r="H182" s="5" t="n">
        <v>2</v>
      </c>
      <c r="I182" s="5" t="s">
        <v>18</v>
      </c>
      <c r="J182" s="5" t="s">
        <v>59</v>
      </c>
      <c r="K182" s="5" t="s">
        <v>292</v>
      </c>
      <c r="L182" s="5" t="n">
        <v>800</v>
      </c>
      <c r="M182" s="5" t="n">
        <v>1600</v>
      </c>
      <c r="N182" s="6" t="n">
        <f aca="false">L182*0.6*H182</f>
        <v>960</v>
      </c>
      <c r="O182" s="6" t="n">
        <f aca="false">M182-N182</f>
        <v>640</v>
      </c>
      <c r="P182" s="7" t="n">
        <f aca="false">IF(M182=0,0,O182/M182)</f>
        <v>0.4</v>
      </c>
    </row>
    <row r="183" customFormat="false" ht="15" hidden="false" customHeight="false" outlineLevel="0" collapsed="false">
      <c r="A183" s="3" t="n">
        <v>1415</v>
      </c>
      <c r="B183" s="3" t="s">
        <v>891</v>
      </c>
      <c r="C183" s="3" t="s">
        <v>890</v>
      </c>
      <c r="D183" s="3" t="s">
        <v>16</v>
      </c>
      <c r="E183" s="3" t="s">
        <v>3760</v>
      </c>
      <c r="F183" s="3" t="s">
        <v>3625</v>
      </c>
      <c r="G183" s="3" t="s">
        <v>3592</v>
      </c>
      <c r="H183" s="8" t="n">
        <v>2</v>
      </c>
      <c r="I183" s="8" t="s">
        <v>18</v>
      </c>
      <c r="J183" s="8" t="s">
        <v>52</v>
      </c>
      <c r="K183" s="8" t="s">
        <v>92</v>
      </c>
      <c r="L183" s="8" t="n">
        <v>250</v>
      </c>
      <c r="M183" s="8" t="n">
        <v>500</v>
      </c>
      <c r="N183" s="6" t="n">
        <f aca="false">L183*0.6*H183</f>
        <v>300</v>
      </c>
      <c r="O183" s="6" t="n">
        <f aca="false">M183-N183</f>
        <v>200</v>
      </c>
      <c r="P183" s="7" t="n">
        <f aca="false">IF(M183=0,0,O183/M183)</f>
        <v>0.4</v>
      </c>
    </row>
    <row r="184" customFormat="false" ht="15" hidden="false" customHeight="false" outlineLevel="0" collapsed="false">
      <c r="A184" s="2" t="n">
        <v>1416</v>
      </c>
      <c r="B184" s="2" t="s">
        <v>896</v>
      </c>
      <c r="C184" s="2" t="s">
        <v>895</v>
      </c>
      <c r="D184" s="2" t="s">
        <v>108</v>
      </c>
      <c r="E184" s="2" t="s">
        <v>3761</v>
      </c>
      <c r="F184" s="2" t="s">
        <v>3594</v>
      </c>
      <c r="G184" s="2" t="s">
        <v>3595</v>
      </c>
      <c r="H184" s="5" t="n">
        <v>1</v>
      </c>
      <c r="I184" s="5" t="s">
        <v>51</v>
      </c>
      <c r="J184" s="5" t="s">
        <v>59</v>
      </c>
      <c r="K184" s="5" t="s">
        <v>292</v>
      </c>
      <c r="L184" s="5" t="n">
        <v>1200</v>
      </c>
      <c r="M184" s="5" t="n">
        <v>1200</v>
      </c>
      <c r="N184" s="6" t="n">
        <f aca="false">L184*0.6*H184</f>
        <v>720</v>
      </c>
      <c r="O184" s="6" t="n">
        <f aca="false">M184-N184</f>
        <v>480</v>
      </c>
      <c r="P184" s="7" t="n">
        <f aca="false">IF(M184=0,0,O184/M184)</f>
        <v>0.4</v>
      </c>
    </row>
    <row r="185" customFormat="false" ht="15" hidden="false" customHeight="false" outlineLevel="0" collapsed="false">
      <c r="A185" s="3" t="n">
        <v>1417</v>
      </c>
      <c r="B185" s="3" t="s">
        <v>901</v>
      </c>
      <c r="C185" s="3" t="s">
        <v>900</v>
      </c>
      <c r="D185" s="3" t="s">
        <v>16</v>
      </c>
      <c r="E185" s="3" t="s">
        <v>3762</v>
      </c>
      <c r="F185" s="3" t="s">
        <v>3603</v>
      </c>
      <c r="G185" s="3" t="s">
        <v>3604</v>
      </c>
      <c r="H185" s="8" t="n">
        <v>2</v>
      </c>
      <c r="I185" s="8" t="s">
        <v>18</v>
      </c>
      <c r="J185" s="8" t="s">
        <v>52</v>
      </c>
      <c r="K185" s="8" t="s">
        <v>92</v>
      </c>
      <c r="L185" s="8" t="n">
        <v>250</v>
      </c>
      <c r="M185" s="8" t="n">
        <v>500</v>
      </c>
      <c r="N185" s="6" t="n">
        <f aca="false">L185*0.6*H185</f>
        <v>300</v>
      </c>
      <c r="O185" s="6" t="n">
        <f aca="false">M185-N185</f>
        <v>200</v>
      </c>
      <c r="P185" s="7" t="n">
        <f aca="false">IF(M185=0,0,O185/M185)</f>
        <v>0.4</v>
      </c>
    </row>
    <row r="186" customFormat="false" ht="15" hidden="false" customHeight="false" outlineLevel="0" collapsed="false">
      <c r="A186" s="2" t="n">
        <v>1418</v>
      </c>
      <c r="B186" s="2" t="s">
        <v>906</v>
      </c>
      <c r="C186" s="2" t="s">
        <v>905</v>
      </c>
      <c r="D186" s="2" t="s">
        <v>16</v>
      </c>
      <c r="E186" s="2" t="s">
        <v>3763</v>
      </c>
      <c r="F186" s="2" t="s">
        <v>3608</v>
      </c>
      <c r="G186" s="2" t="s">
        <v>3604</v>
      </c>
      <c r="H186" s="5" t="n">
        <v>3</v>
      </c>
      <c r="I186" s="5" t="s">
        <v>18</v>
      </c>
      <c r="J186" s="5" t="s">
        <v>43</v>
      </c>
      <c r="K186" s="5" t="s">
        <v>67</v>
      </c>
      <c r="L186" s="5" t="n">
        <v>250</v>
      </c>
      <c r="M186" s="5" t="n">
        <v>750</v>
      </c>
      <c r="N186" s="6" t="n">
        <f aca="false">L186*0.6*H186</f>
        <v>450</v>
      </c>
      <c r="O186" s="6" t="n">
        <f aca="false">M186-N186</f>
        <v>300</v>
      </c>
      <c r="P186" s="7" t="n">
        <f aca="false">IF(M186=0,0,O186/M186)</f>
        <v>0.4</v>
      </c>
    </row>
    <row r="187" customFormat="false" ht="15" hidden="false" customHeight="false" outlineLevel="0" collapsed="false">
      <c r="A187" s="3" t="n">
        <v>1419</v>
      </c>
      <c r="B187" s="3" t="s">
        <v>911</v>
      </c>
      <c r="C187" s="3" t="s">
        <v>910</v>
      </c>
      <c r="D187" s="3" t="s">
        <v>108</v>
      </c>
      <c r="E187" s="3" t="s">
        <v>3730</v>
      </c>
      <c r="F187" s="3" t="s">
        <v>3594</v>
      </c>
      <c r="G187" s="3" t="s">
        <v>3595</v>
      </c>
      <c r="H187" s="8" t="n">
        <v>1</v>
      </c>
      <c r="I187" s="8" t="s">
        <v>51</v>
      </c>
      <c r="J187" s="8" t="s">
        <v>78</v>
      </c>
      <c r="K187" s="8" t="s">
        <v>80</v>
      </c>
      <c r="L187" s="8" t="n">
        <v>1200</v>
      </c>
      <c r="M187" s="8" t="n">
        <v>1200</v>
      </c>
      <c r="N187" s="6" t="n">
        <f aca="false">L187*0.6*H187</f>
        <v>720</v>
      </c>
      <c r="O187" s="6" t="n">
        <f aca="false">M187-N187</f>
        <v>480</v>
      </c>
      <c r="P187" s="7" t="n">
        <f aca="false">IF(M187=0,0,O187/M187)</f>
        <v>0.4</v>
      </c>
    </row>
    <row r="188" customFormat="false" ht="15" hidden="false" customHeight="false" outlineLevel="0" collapsed="false">
      <c r="A188" s="2" t="n">
        <v>1420</v>
      </c>
      <c r="B188" s="2" t="s">
        <v>915</v>
      </c>
      <c r="C188" s="2" t="s">
        <v>914</v>
      </c>
      <c r="D188" s="2" t="s">
        <v>34</v>
      </c>
      <c r="E188" s="2" t="s">
        <v>3721</v>
      </c>
      <c r="F188" s="2" t="s">
        <v>3610</v>
      </c>
      <c r="G188" s="2" t="s">
        <v>3600</v>
      </c>
      <c r="H188" s="5" t="n">
        <v>3</v>
      </c>
      <c r="I188" s="5" t="s">
        <v>51</v>
      </c>
      <c r="J188" s="5" t="s">
        <v>52</v>
      </c>
      <c r="K188" s="5" t="s">
        <v>182</v>
      </c>
      <c r="L188" s="5" t="n">
        <v>300</v>
      </c>
      <c r="M188" s="5" t="n">
        <v>900</v>
      </c>
      <c r="N188" s="6" t="n">
        <f aca="false">L188*0.6*H188</f>
        <v>540</v>
      </c>
      <c r="O188" s="6" t="n">
        <f aca="false">M188-N188</f>
        <v>360</v>
      </c>
      <c r="P188" s="7" t="n">
        <f aca="false">IF(M188=0,0,O188/M188)</f>
        <v>0.4</v>
      </c>
    </row>
    <row r="189" customFormat="false" ht="15" hidden="false" customHeight="false" outlineLevel="0" collapsed="false">
      <c r="A189" s="3" t="n">
        <v>1421</v>
      </c>
      <c r="B189" s="3" t="s">
        <v>919</v>
      </c>
      <c r="C189" s="3" t="s">
        <v>918</v>
      </c>
      <c r="D189" s="3" t="s">
        <v>108</v>
      </c>
      <c r="E189" s="3" t="s">
        <v>3764</v>
      </c>
      <c r="F189" s="3" t="s">
        <v>3610</v>
      </c>
      <c r="G189" s="3" t="s">
        <v>3600</v>
      </c>
      <c r="H189" s="8" t="n">
        <v>3</v>
      </c>
      <c r="I189" s="8" t="s">
        <v>27</v>
      </c>
      <c r="J189" s="8" t="s">
        <v>59</v>
      </c>
      <c r="K189" s="8" t="s">
        <v>292</v>
      </c>
      <c r="L189" s="8" t="n">
        <v>1200</v>
      </c>
      <c r="M189" s="8" t="n">
        <v>3600</v>
      </c>
      <c r="N189" s="6" t="n">
        <f aca="false">L189*0.6*H189</f>
        <v>2160</v>
      </c>
      <c r="O189" s="6" t="n">
        <f aca="false">M189-N189</f>
        <v>1440</v>
      </c>
      <c r="P189" s="7" t="n">
        <f aca="false">IF(M189=0,0,O189/M189)</f>
        <v>0.4</v>
      </c>
    </row>
    <row r="190" customFormat="false" ht="15" hidden="false" customHeight="false" outlineLevel="0" collapsed="false">
      <c r="A190" s="2" t="n">
        <v>1422</v>
      </c>
      <c r="B190" s="2" t="s">
        <v>901</v>
      </c>
      <c r="C190" s="2" t="s">
        <v>923</v>
      </c>
      <c r="D190" s="2" t="s">
        <v>49</v>
      </c>
      <c r="E190" s="2" t="s">
        <v>3765</v>
      </c>
      <c r="F190" s="2" t="s">
        <v>3594</v>
      </c>
      <c r="G190" s="2" t="s">
        <v>3595</v>
      </c>
      <c r="H190" s="5" t="n">
        <v>1</v>
      </c>
      <c r="I190" s="5" t="s">
        <v>97</v>
      </c>
      <c r="J190" s="5" t="s">
        <v>121</v>
      </c>
      <c r="K190" s="5" t="s">
        <v>123</v>
      </c>
      <c r="L190" s="5" t="n">
        <v>250</v>
      </c>
      <c r="M190" s="5" t="n">
        <v>250</v>
      </c>
      <c r="N190" s="6" t="n">
        <f aca="false">L190*0.6*H190</f>
        <v>150</v>
      </c>
      <c r="O190" s="6" t="n">
        <f aca="false">M190-N190</f>
        <v>100</v>
      </c>
      <c r="P190" s="7" t="n">
        <f aca="false">IF(M190=0,0,O190/M190)</f>
        <v>0.4</v>
      </c>
    </row>
    <row r="191" customFormat="false" ht="15" hidden="false" customHeight="false" outlineLevel="0" collapsed="false">
      <c r="A191" s="3" t="n">
        <v>1423</v>
      </c>
      <c r="B191" s="3" t="s">
        <v>928</v>
      </c>
      <c r="C191" s="3" t="s">
        <v>927</v>
      </c>
      <c r="D191" s="3" t="s">
        <v>108</v>
      </c>
      <c r="E191" s="3" t="s">
        <v>3602</v>
      </c>
      <c r="F191" s="3" t="s">
        <v>3603</v>
      </c>
      <c r="G191" s="3" t="s">
        <v>3604</v>
      </c>
      <c r="H191" s="8" t="n">
        <v>1</v>
      </c>
      <c r="I191" s="8" t="s">
        <v>51</v>
      </c>
      <c r="J191" s="8" t="s">
        <v>28</v>
      </c>
      <c r="K191" s="8" t="s">
        <v>30</v>
      </c>
      <c r="L191" s="8" t="n">
        <v>1200</v>
      </c>
      <c r="M191" s="8" t="n">
        <v>1200</v>
      </c>
      <c r="N191" s="6" t="n">
        <f aca="false">L191*0.6*H191</f>
        <v>720</v>
      </c>
      <c r="O191" s="6" t="n">
        <f aca="false">M191-N191</f>
        <v>480</v>
      </c>
      <c r="P191" s="7" t="n">
        <f aca="false">IF(M191=0,0,O191/M191)</f>
        <v>0.4</v>
      </c>
    </row>
    <row r="192" customFormat="false" ht="15" hidden="false" customHeight="false" outlineLevel="0" collapsed="false">
      <c r="A192" s="2" t="n">
        <v>1424</v>
      </c>
      <c r="B192" s="2" t="s">
        <v>614</v>
      </c>
      <c r="C192" s="2" t="s">
        <v>931</v>
      </c>
      <c r="D192" s="2" t="s">
        <v>25</v>
      </c>
      <c r="E192" s="2" t="s">
        <v>3655</v>
      </c>
      <c r="F192" s="2" t="s">
        <v>3613</v>
      </c>
      <c r="G192" s="2" t="s">
        <v>3604</v>
      </c>
      <c r="H192" s="5" t="n">
        <v>2</v>
      </c>
      <c r="I192" s="5" t="s">
        <v>27</v>
      </c>
      <c r="J192" s="5" t="s">
        <v>121</v>
      </c>
      <c r="K192" s="5" t="s">
        <v>123</v>
      </c>
      <c r="L192" s="5" t="n">
        <v>800</v>
      </c>
      <c r="M192" s="5" t="n">
        <v>1600</v>
      </c>
      <c r="N192" s="6" t="n">
        <f aca="false">L192*0.6*H192</f>
        <v>960</v>
      </c>
      <c r="O192" s="6" t="n">
        <f aca="false">M192-N192</f>
        <v>640</v>
      </c>
      <c r="P192" s="7" t="n">
        <f aca="false">IF(M192=0,0,O192/M192)</f>
        <v>0.4</v>
      </c>
    </row>
    <row r="193" customFormat="false" ht="15" hidden="false" customHeight="false" outlineLevel="0" collapsed="false">
      <c r="A193" s="3" t="n">
        <v>1425</v>
      </c>
      <c r="B193" s="3" t="s">
        <v>935</v>
      </c>
      <c r="C193" s="3" t="s">
        <v>934</v>
      </c>
      <c r="D193" s="3" t="s">
        <v>25</v>
      </c>
      <c r="E193" s="3" t="s">
        <v>3624</v>
      </c>
      <c r="F193" s="3" t="s">
        <v>3625</v>
      </c>
      <c r="G193" s="3" t="s">
        <v>3592</v>
      </c>
      <c r="H193" s="8" t="n">
        <v>2</v>
      </c>
      <c r="I193" s="8" t="s">
        <v>51</v>
      </c>
      <c r="J193" s="8" t="s">
        <v>43</v>
      </c>
      <c r="K193" s="8" t="s">
        <v>45</v>
      </c>
      <c r="L193" s="8" t="n">
        <v>800</v>
      </c>
      <c r="M193" s="8" t="n">
        <v>1600</v>
      </c>
      <c r="N193" s="6" t="n">
        <f aca="false">L193*0.6*H193</f>
        <v>960</v>
      </c>
      <c r="O193" s="6" t="n">
        <f aca="false">M193-N193</f>
        <v>640</v>
      </c>
      <c r="P193" s="7" t="n">
        <f aca="false">IF(M193=0,0,O193/M193)</f>
        <v>0.4</v>
      </c>
    </row>
    <row r="194" customFormat="false" ht="15" hidden="false" customHeight="false" outlineLevel="0" collapsed="false">
      <c r="A194" s="2" t="n">
        <v>1426</v>
      </c>
      <c r="B194" s="2" t="s">
        <v>938</v>
      </c>
      <c r="C194" s="2" t="s">
        <v>214</v>
      </c>
      <c r="D194" s="2" t="s">
        <v>147</v>
      </c>
      <c r="E194" s="2" t="s">
        <v>3766</v>
      </c>
      <c r="F194" s="2" t="s">
        <v>3603</v>
      </c>
      <c r="G194" s="2" t="s">
        <v>3604</v>
      </c>
      <c r="H194" s="5" t="n">
        <v>3</v>
      </c>
      <c r="I194" s="5" t="s">
        <v>18</v>
      </c>
      <c r="J194" s="5" t="s">
        <v>52</v>
      </c>
      <c r="K194" s="5" t="s">
        <v>182</v>
      </c>
      <c r="L194" s="5" t="n">
        <v>600</v>
      </c>
      <c r="M194" s="5" t="n">
        <v>1800</v>
      </c>
      <c r="N194" s="6" t="n">
        <f aca="false">L194*0.6*H194</f>
        <v>1080</v>
      </c>
      <c r="O194" s="6" t="n">
        <f aca="false">M194-N194</f>
        <v>720</v>
      </c>
      <c r="P194" s="7" t="n">
        <f aca="false">IF(M194=0,0,O194/M194)</f>
        <v>0.4</v>
      </c>
    </row>
    <row r="195" customFormat="false" ht="15" hidden="false" customHeight="false" outlineLevel="0" collapsed="false">
      <c r="A195" s="3" t="n">
        <v>1427</v>
      </c>
      <c r="B195" s="3" t="s">
        <v>942</v>
      </c>
      <c r="C195" s="3" t="s">
        <v>827</v>
      </c>
      <c r="D195" s="3" t="s">
        <v>49</v>
      </c>
      <c r="E195" s="3" t="s">
        <v>3652</v>
      </c>
      <c r="F195" s="3" t="s">
        <v>3608</v>
      </c>
      <c r="G195" s="3" t="s">
        <v>3604</v>
      </c>
      <c r="H195" s="8" t="n">
        <v>3</v>
      </c>
      <c r="I195" s="8" t="s">
        <v>51</v>
      </c>
      <c r="J195" s="8" t="s">
        <v>43</v>
      </c>
      <c r="K195" s="8" t="s">
        <v>111</v>
      </c>
      <c r="L195" s="8" t="n">
        <v>250</v>
      </c>
      <c r="M195" s="8" t="n">
        <v>750</v>
      </c>
      <c r="N195" s="6" t="n">
        <f aca="false">L195*0.6*H195</f>
        <v>450</v>
      </c>
      <c r="O195" s="6" t="n">
        <f aca="false">M195-N195</f>
        <v>300</v>
      </c>
      <c r="P195" s="7" t="n">
        <f aca="false">IF(M195=0,0,O195/M195)</f>
        <v>0.4</v>
      </c>
    </row>
    <row r="196" customFormat="false" ht="15" hidden="false" customHeight="false" outlineLevel="0" collapsed="false">
      <c r="A196" s="2" t="n">
        <v>1428</v>
      </c>
      <c r="B196" s="2" t="s">
        <v>946</v>
      </c>
      <c r="C196" s="2" t="s">
        <v>945</v>
      </c>
      <c r="D196" s="2" t="s">
        <v>16</v>
      </c>
      <c r="E196" s="2" t="s">
        <v>3767</v>
      </c>
      <c r="F196" s="2" t="s">
        <v>3591</v>
      </c>
      <c r="G196" s="2" t="s">
        <v>3592</v>
      </c>
      <c r="H196" s="5" t="n">
        <v>3</v>
      </c>
      <c r="I196" s="5" t="s">
        <v>18</v>
      </c>
      <c r="J196" s="5" t="s">
        <v>19</v>
      </c>
      <c r="K196" s="5" t="s">
        <v>73</v>
      </c>
      <c r="L196" s="5" t="n">
        <v>250</v>
      </c>
      <c r="M196" s="5" t="n">
        <v>750</v>
      </c>
      <c r="N196" s="6" t="n">
        <f aca="false">L196*0.6*H196</f>
        <v>450</v>
      </c>
      <c r="O196" s="6" t="n">
        <f aca="false">M196-N196</f>
        <v>300</v>
      </c>
      <c r="P196" s="7" t="n">
        <f aca="false">IF(M196=0,0,O196/M196)</f>
        <v>0.4</v>
      </c>
    </row>
    <row r="197" customFormat="false" ht="15" hidden="false" customHeight="false" outlineLevel="0" collapsed="false">
      <c r="A197" s="3" t="n">
        <v>1429</v>
      </c>
      <c r="B197" s="3" t="s">
        <v>950</v>
      </c>
      <c r="C197" s="3" t="s">
        <v>145</v>
      </c>
      <c r="D197" s="3" t="s">
        <v>108</v>
      </c>
      <c r="E197" s="3" t="s">
        <v>3768</v>
      </c>
      <c r="F197" s="3" t="s">
        <v>3628</v>
      </c>
      <c r="G197" s="3" t="s">
        <v>3595</v>
      </c>
      <c r="H197" s="8" t="n">
        <v>3</v>
      </c>
      <c r="I197" s="8" t="s">
        <v>18</v>
      </c>
      <c r="J197" s="8" t="s">
        <v>59</v>
      </c>
      <c r="K197" s="8" t="s">
        <v>61</v>
      </c>
      <c r="L197" s="8" t="n">
        <v>1200</v>
      </c>
      <c r="M197" s="8" t="n">
        <v>3600</v>
      </c>
      <c r="N197" s="6" t="n">
        <f aca="false">L197*0.6*H197</f>
        <v>2160</v>
      </c>
      <c r="O197" s="6" t="n">
        <f aca="false">M197-N197</f>
        <v>1440</v>
      </c>
      <c r="P197" s="7" t="n">
        <f aca="false">IF(M197=0,0,O197/M197)</f>
        <v>0.4</v>
      </c>
    </row>
    <row r="198" customFormat="false" ht="15" hidden="false" customHeight="false" outlineLevel="0" collapsed="false">
      <c r="A198" s="2" t="n">
        <v>1430</v>
      </c>
      <c r="B198" s="2" t="s">
        <v>955</v>
      </c>
      <c r="C198" s="2" t="s">
        <v>954</v>
      </c>
      <c r="D198" s="2" t="s">
        <v>108</v>
      </c>
      <c r="E198" s="2" t="s">
        <v>3741</v>
      </c>
      <c r="F198" s="2" t="s">
        <v>2379</v>
      </c>
      <c r="G198" s="2" t="s">
        <v>3592</v>
      </c>
      <c r="H198" s="5" t="n">
        <v>3</v>
      </c>
      <c r="I198" s="5" t="s">
        <v>18</v>
      </c>
      <c r="J198" s="5" t="s">
        <v>36</v>
      </c>
      <c r="K198" s="5" t="s">
        <v>192</v>
      </c>
      <c r="L198" s="5" t="n">
        <v>1200</v>
      </c>
      <c r="M198" s="5" t="n">
        <v>3600</v>
      </c>
      <c r="N198" s="6" t="n">
        <f aca="false">L198*0.6*H198</f>
        <v>2160</v>
      </c>
      <c r="O198" s="6" t="n">
        <f aca="false">M198-N198</f>
        <v>1440</v>
      </c>
      <c r="P198" s="7" t="n">
        <f aca="false">IF(M198=0,0,O198/M198)</f>
        <v>0.4</v>
      </c>
    </row>
    <row r="199" customFormat="false" ht="15" hidden="false" customHeight="false" outlineLevel="0" collapsed="false">
      <c r="A199" s="3" t="n">
        <v>1431</v>
      </c>
      <c r="B199" s="3" t="s">
        <v>959</v>
      </c>
      <c r="C199" s="3" t="s">
        <v>958</v>
      </c>
      <c r="D199" s="3" t="s">
        <v>108</v>
      </c>
      <c r="E199" s="3" t="s">
        <v>3658</v>
      </c>
      <c r="F199" s="3" t="s">
        <v>3606</v>
      </c>
      <c r="G199" s="3" t="s">
        <v>3600</v>
      </c>
      <c r="H199" s="8" t="n">
        <v>1</v>
      </c>
      <c r="I199" s="8" t="s">
        <v>51</v>
      </c>
      <c r="J199" s="8" t="s">
        <v>121</v>
      </c>
      <c r="K199" s="8" t="s">
        <v>317</v>
      </c>
      <c r="L199" s="8" t="n">
        <v>1200</v>
      </c>
      <c r="M199" s="8" t="n">
        <v>1200</v>
      </c>
      <c r="N199" s="6" t="n">
        <f aca="false">L199*0.6*H199</f>
        <v>720</v>
      </c>
      <c r="O199" s="6" t="n">
        <f aca="false">M199-N199</f>
        <v>480</v>
      </c>
      <c r="P199" s="7" t="n">
        <f aca="false">IF(M199=0,0,O199/M199)</f>
        <v>0.4</v>
      </c>
    </row>
    <row r="200" customFormat="false" ht="15" hidden="false" customHeight="false" outlineLevel="0" collapsed="false">
      <c r="A200" s="2" t="n">
        <v>1432</v>
      </c>
      <c r="B200" s="2" t="s">
        <v>962</v>
      </c>
      <c r="C200" s="2" t="s">
        <v>723</v>
      </c>
      <c r="D200" s="2" t="s">
        <v>108</v>
      </c>
      <c r="E200" s="2" t="s">
        <v>3741</v>
      </c>
      <c r="F200" s="2" t="s">
        <v>2379</v>
      </c>
      <c r="G200" s="2" t="s">
        <v>3592</v>
      </c>
      <c r="H200" s="5" t="n">
        <v>2</v>
      </c>
      <c r="I200" s="5" t="s">
        <v>51</v>
      </c>
      <c r="J200" s="5" t="s">
        <v>19</v>
      </c>
      <c r="K200" s="5" t="s">
        <v>21</v>
      </c>
      <c r="L200" s="5" t="n">
        <v>1200</v>
      </c>
      <c r="M200" s="5" t="n">
        <v>2400</v>
      </c>
      <c r="N200" s="6" t="n">
        <f aca="false">L200*0.6*H200</f>
        <v>1440</v>
      </c>
      <c r="O200" s="6" t="n">
        <f aca="false">M200-N200</f>
        <v>960</v>
      </c>
      <c r="P200" s="7" t="n">
        <f aca="false">IF(M200=0,0,O200/M200)</f>
        <v>0.4</v>
      </c>
    </row>
    <row r="201" customFormat="false" ht="15" hidden="false" customHeight="false" outlineLevel="0" collapsed="false">
      <c r="A201" s="3" t="n">
        <v>1433</v>
      </c>
      <c r="B201" s="3" t="s">
        <v>966</v>
      </c>
      <c r="C201" s="3" t="s">
        <v>965</v>
      </c>
      <c r="D201" s="3" t="s">
        <v>147</v>
      </c>
      <c r="E201" s="3" t="s">
        <v>3769</v>
      </c>
      <c r="F201" s="3" t="s">
        <v>3606</v>
      </c>
      <c r="G201" s="3" t="s">
        <v>3600</v>
      </c>
      <c r="H201" s="8" t="n">
        <v>3</v>
      </c>
      <c r="I201" s="8" t="s">
        <v>51</v>
      </c>
      <c r="J201" s="8" t="s">
        <v>36</v>
      </c>
      <c r="K201" s="8" t="s">
        <v>170</v>
      </c>
      <c r="L201" s="8" t="n">
        <v>600</v>
      </c>
      <c r="M201" s="8" t="n">
        <v>1800</v>
      </c>
      <c r="N201" s="6" t="n">
        <f aca="false">L201*0.6*H201</f>
        <v>1080</v>
      </c>
      <c r="O201" s="6" t="n">
        <f aca="false">M201-N201</f>
        <v>720</v>
      </c>
      <c r="P201" s="7" t="n">
        <f aca="false">IF(M201=0,0,O201/M201)</f>
        <v>0.4</v>
      </c>
    </row>
    <row r="202" customFormat="false" ht="15" hidden="false" customHeight="false" outlineLevel="0" collapsed="false">
      <c r="A202" s="2" t="n">
        <v>1434</v>
      </c>
      <c r="B202" s="2" t="s">
        <v>195</v>
      </c>
      <c r="C202" s="2" t="s">
        <v>970</v>
      </c>
      <c r="D202" s="2" t="s">
        <v>16</v>
      </c>
      <c r="E202" s="2" t="s">
        <v>3770</v>
      </c>
      <c r="F202" s="2" t="s">
        <v>3591</v>
      </c>
      <c r="G202" s="2" t="s">
        <v>3592</v>
      </c>
      <c r="H202" s="5" t="n">
        <v>2</v>
      </c>
      <c r="I202" s="5" t="s">
        <v>97</v>
      </c>
      <c r="J202" s="5" t="s">
        <v>43</v>
      </c>
      <c r="K202" s="5" t="s">
        <v>111</v>
      </c>
      <c r="L202" s="5" t="n">
        <v>250</v>
      </c>
      <c r="M202" s="5" t="n">
        <v>500</v>
      </c>
      <c r="N202" s="6" t="n">
        <f aca="false">L202*0.6*H202</f>
        <v>300</v>
      </c>
      <c r="O202" s="6" t="n">
        <f aca="false">M202-N202</f>
        <v>200</v>
      </c>
      <c r="P202" s="7" t="n">
        <f aca="false">IF(M202=0,0,O202/M202)</f>
        <v>0.4</v>
      </c>
    </row>
    <row r="203" customFormat="false" ht="15" hidden="false" customHeight="false" outlineLevel="0" collapsed="false">
      <c r="A203" s="3" t="n">
        <v>1435</v>
      </c>
      <c r="B203" s="3" t="s">
        <v>975</v>
      </c>
      <c r="C203" s="3" t="s">
        <v>974</v>
      </c>
      <c r="D203" s="3" t="s">
        <v>34</v>
      </c>
      <c r="E203" s="3" t="s">
        <v>3762</v>
      </c>
      <c r="F203" s="3" t="s">
        <v>3603</v>
      </c>
      <c r="G203" s="3" t="s">
        <v>3604</v>
      </c>
      <c r="H203" s="8" t="n">
        <v>1</v>
      </c>
      <c r="I203" s="8" t="s">
        <v>18</v>
      </c>
      <c r="J203" s="8" t="s">
        <v>52</v>
      </c>
      <c r="K203" s="8" t="s">
        <v>92</v>
      </c>
      <c r="L203" s="8" t="n">
        <v>300</v>
      </c>
      <c r="M203" s="8" t="n">
        <v>300</v>
      </c>
      <c r="N203" s="6" t="n">
        <f aca="false">L203*0.6*H203</f>
        <v>180</v>
      </c>
      <c r="O203" s="6" t="n">
        <f aca="false">M203-N203</f>
        <v>120</v>
      </c>
      <c r="P203" s="7" t="n">
        <f aca="false">IF(M203=0,0,O203/M203)</f>
        <v>0.4</v>
      </c>
    </row>
    <row r="204" customFormat="false" ht="15" hidden="false" customHeight="false" outlineLevel="0" collapsed="false">
      <c r="A204" s="2" t="n">
        <v>1436</v>
      </c>
      <c r="B204" s="2" t="s">
        <v>644</v>
      </c>
      <c r="C204" s="2" t="s">
        <v>978</v>
      </c>
      <c r="D204" s="2" t="s">
        <v>108</v>
      </c>
      <c r="E204" s="2" t="s">
        <v>3771</v>
      </c>
      <c r="F204" s="2" t="s">
        <v>3606</v>
      </c>
      <c r="G204" s="2" t="s">
        <v>3600</v>
      </c>
      <c r="H204" s="5" t="n">
        <v>2</v>
      </c>
      <c r="I204" s="5" t="s">
        <v>27</v>
      </c>
      <c r="J204" s="5" t="s">
        <v>28</v>
      </c>
      <c r="K204" s="5" t="s">
        <v>30</v>
      </c>
      <c r="L204" s="5" t="n">
        <v>1200</v>
      </c>
      <c r="M204" s="5" t="n">
        <v>2400</v>
      </c>
      <c r="N204" s="6" t="n">
        <f aca="false">L204*0.6*H204</f>
        <v>1440</v>
      </c>
      <c r="O204" s="6" t="n">
        <f aca="false">M204-N204</f>
        <v>960</v>
      </c>
      <c r="P204" s="7" t="n">
        <f aca="false">IF(M204=0,0,O204/M204)</f>
        <v>0.4</v>
      </c>
    </row>
    <row r="205" customFormat="false" ht="15" hidden="false" customHeight="false" outlineLevel="0" collapsed="false">
      <c r="A205" s="3" t="n">
        <v>1437</v>
      </c>
      <c r="B205" s="3" t="s">
        <v>983</v>
      </c>
      <c r="C205" s="3" t="s">
        <v>982</v>
      </c>
      <c r="D205" s="3" t="s">
        <v>49</v>
      </c>
      <c r="E205" s="3" t="s">
        <v>3729</v>
      </c>
      <c r="F205" s="3" t="s">
        <v>3608</v>
      </c>
      <c r="G205" s="3" t="s">
        <v>3604</v>
      </c>
      <c r="H205" s="8" t="n">
        <v>2</v>
      </c>
      <c r="I205" s="8" t="s">
        <v>18</v>
      </c>
      <c r="J205" s="8" t="s">
        <v>121</v>
      </c>
      <c r="K205" s="8" t="s">
        <v>317</v>
      </c>
      <c r="L205" s="8" t="n">
        <v>250</v>
      </c>
      <c r="M205" s="8" t="n">
        <v>500</v>
      </c>
      <c r="N205" s="6" t="n">
        <f aca="false">L205*0.6*H205</f>
        <v>300</v>
      </c>
      <c r="O205" s="6" t="n">
        <f aca="false">M205-N205</f>
        <v>200</v>
      </c>
      <c r="P205" s="7" t="n">
        <f aca="false">IF(M205=0,0,O205/M205)</f>
        <v>0.4</v>
      </c>
    </row>
    <row r="206" customFormat="false" ht="15" hidden="false" customHeight="false" outlineLevel="0" collapsed="false">
      <c r="A206" s="2" t="n">
        <v>1438</v>
      </c>
      <c r="B206" s="2" t="s">
        <v>987</v>
      </c>
      <c r="C206" s="2" t="s">
        <v>986</v>
      </c>
      <c r="D206" s="2" t="s">
        <v>16</v>
      </c>
      <c r="E206" s="2" t="s">
        <v>3772</v>
      </c>
      <c r="F206" s="2" t="s">
        <v>3606</v>
      </c>
      <c r="G206" s="2" t="s">
        <v>3600</v>
      </c>
      <c r="H206" s="5" t="n">
        <v>1</v>
      </c>
      <c r="I206" s="5" t="s">
        <v>51</v>
      </c>
      <c r="J206" s="5" t="s">
        <v>52</v>
      </c>
      <c r="K206" s="5" t="s">
        <v>92</v>
      </c>
      <c r="L206" s="5" t="n">
        <v>250</v>
      </c>
      <c r="M206" s="5" t="n">
        <v>250</v>
      </c>
      <c r="N206" s="6" t="n">
        <f aca="false">L206*0.6*H206</f>
        <v>150</v>
      </c>
      <c r="O206" s="6" t="n">
        <f aca="false">M206-N206</f>
        <v>100</v>
      </c>
      <c r="P206" s="7" t="n">
        <f aca="false">IF(M206=0,0,O206/M206)</f>
        <v>0.4</v>
      </c>
    </row>
    <row r="207" customFormat="false" ht="15" hidden="false" customHeight="false" outlineLevel="0" collapsed="false">
      <c r="A207" s="3" t="n">
        <v>1439</v>
      </c>
      <c r="B207" s="3" t="s">
        <v>828</v>
      </c>
      <c r="C207" s="3" t="s">
        <v>991</v>
      </c>
      <c r="D207" s="3" t="s">
        <v>49</v>
      </c>
      <c r="E207" s="3" t="s">
        <v>3683</v>
      </c>
      <c r="F207" s="3" t="s">
        <v>1756</v>
      </c>
      <c r="G207" s="3" t="s">
        <v>3595</v>
      </c>
      <c r="H207" s="8" t="n">
        <v>2</v>
      </c>
      <c r="I207" s="8" t="s">
        <v>18</v>
      </c>
      <c r="J207" s="8" t="s">
        <v>78</v>
      </c>
      <c r="K207" s="8" t="s">
        <v>86</v>
      </c>
      <c r="L207" s="8" t="n">
        <v>250</v>
      </c>
      <c r="M207" s="8" t="n">
        <v>500</v>
      </c>
      <c r="N207" s="6" t="n">
        <f aca="false">L207*0.6*H207</f>
        <v>300</v>
      </c>
      <c r="O207" s="6" t="n">
        <f aca="false">M207-N207</f>
        <v>200</v>
      </c>
      <c r="P207" s="7" t="n">
        <f aca="false">IF(M207=0,0,O207/M207)</f>
        <v>0.4</v>
      </c>
    </row>
    <row r="208" customFormat="false" ht="15" hidden="false" customHeight="false" outlineLevel="0" collapsed="false">
      <c r="A208" s="2" t="n">
        <v>1440</v>
      </c>
      <c r="B208" s="2" t="s">
        <v>548</v>
      </c>
      <c r="C208" s="2" t="s">
        <v>994</v>
      </c>
      <c r="D208" s="2" t="s">
        <v>108</v>
      </c>
      <c r="E208" s="2" t="s">
        <v>3773</v>
      </c>
      <c r="F208" s="2" t="s">
        <v>1756</v>
      </c>
      <c r="G208" s="2" t="s">
        <v>3595</v>
      </c>
      <c r="H208" s="5" t="n">
        <v>3</v>
      </c>
      <c r="I208" s="5" t="s">
        <v>97</v>
      </c>
      <c r="J208" s="5" t="s">
        <v>19</v>
      </c>
      <c r="K208" s="5" t="s">
        <v>176</v>
      </c>
      <c r="L208" s="5" t="n">
        <v>1200</v>
      </c>
      <c r="M208" s="5" t="n">
        <v>3600</v>
      </c>
      <c r="N208" s="6" t="n">
        <f aca="false">L208*0.6*H208</f>
        <v>2160</v>
      </c>
      <c r="O208" s="6" t="n">
        <f aca="false">M208-N208</f>
        <v>1440</v>
      </c>
      <c r="P208" s="7" t="n">
        <f aca="false">IF(M208=0,0,O208/M208)</f>
        <v>0.4</v>
      </c>
    </row>
    <row r="209" customFormat="false" ht="15" hidden="false" customHeight="false" outlineLevel="0" collapsed="false">
      <c r="A209" s="3" t="n">
        <v>1441</v>
      </c>
      <c r="B209" s="3" t="s">
        <v>999</v>
      </c>
      <c r="C209" s="3" t="s">
        <v>998</v>
      </c>
      <c r="D209" s="3" t="s">
        <v>16</v>
      </c>
      <c r="E209" s="3" t="s">
        <v>3688</v>
      </c>
      <c r="F209" s="3" t="s">
        <v>3613</v>
      </c>
      <c r="G209" s="3" t="s">
        <v>3604</v>
      </c>
      <c r="H209" s="8" t="n">
        <v>2</v>
      </c>
      <c r="I209" s="8" t="s">
        <v>51</v>
      </c>
      <c r="J209" s="8" t="s">
        <v>52</v>
      </c>
      <c r="K209" s="8" t="s">
        <v>92</v>
      </c>
      <c r="L209" s="8" t="n">
        <v>250</v>
      </c>
      <c r="M209" s="8" t="n">
        <v>500</v>
      </c>
      <c r="N209" s="6" t="n">
        <f aca="false">L209*0.6*H209</f>
        <v>300</v>
      </c>
      <c r="O209" s="6" t="n">
        <f aca="false">M209-N209</f>
        <v>200</v>
      </c>
      <c r="P209" s="7" t="n">
        <f aca="false">IF(M209=0,0,O209/M209)</f>
        <v>0.4</v>
      </c>
    </row>
    <row r="210" customFormat="false" ht="15" hidden="false" customHeight="false" outlineLevel="0" collapsed="false">
      <c r="A210" s="2" t="n">
        <v>1442</v>
      </c>
      <c r="B210" s="2" t="s">
        <v>1003</v>
      </c>
      <c r="C210" s="2" t="s">
        <v>1002</v>
      </c>
      <c r="D210" s="2" t="s">
        <v>25</v>
      </c>
      <c r="E210" s="2" t="s">
        <v>3774</v>
      </c>
      <c r="F210" s="2" t="s">
        <v>3603</v>
      </c>
      <c r="G210" s="2" t="s">
        <v>3604</v>
      </c>
      <c r="H210" s="5" t="n">
        <v>2</v>
      </c>
      <c r="I210" s="5" t="s">
        <v>18</v>
      </c>
      <c r="J210" s="5" t="s">
        <v>43</v>
      </c>
      <c r="K210" s="5" t="s">
        <v>111</v>
      </c>
      <c r="L210" s="5" t="n">
        <v>800</v>
      </c>
      <c r="M210" s="5" t="n">
        <v>1600</v>
      </c>
      <c r="N210" s="6" t="n">
        <f aca="false">L210*0.6*H210</f>
        <v>960</v>
      </c>
      <c r="O210" s="6" t="n">
        <f aca="false">M210-N210</f>
        <v>640</v>
      </c>
      <c r="P210" s="7" t="n">
        <f aca="false">IF(M210=0,0,O210/M210)</f>
        <v>0.4</v>
      </c>
    </row>
    <row r="211" customFormat="false" ht="15" hidden="false" customHeight="false" outlineLevel="0" collapsed="false">
      <c r="A211" s="3" t="n">
        <v>1443</v>
      </c>
      <c r="B211" s="3" t="s">
        <v>1008</v>
      </c>
      <c r="C211" s="3" t="s">
        <v>1007</v>
      </c>
      <c r="D211" s="3" t="s">
        <v>108</v>
      </c>
      <c r="E211" s="3" t="s">
        <v>3775</v>
      </c>
      <c r="F211" s="3" t="s">
        <v>3603</v>
      </c>
      <c r="G211" s="3" t="s">
        <v>3604</v>
      </c>
      <c r="H211" s="8" t="n">
        <v>3</v>
      </c>
      <c r="I211" s="8" t="s">
        <v>18</v>
      </c>
      <c r="J211" s="8" t="s">
        <v>19</v>
      </c>
      <c r="K211" s="8" t="s">
        <v>21</v>
      </c>
      <c r="L211" s="8" t="n">
        <v>1200</v>
      </c>
      <c r="M211" s="8" t="n">
        <v>3600</v>
      </c>
      <c r="N211" s="6" t="n">
        <f aca="false">L211*0.6*H211</f>
        <v>2160</v>
      </c>
      <c r="O211" s="6" t="n">
        <f aca="false">M211-N211</f>
        <v>1440</v>
      </c>
      <c r="P211" s="7" t="n">
        <f aca="false">IF(M211=0,0,O211/M211)</f>
        <v>0.4</v>
      </c>
    </row>
    <row r="212" customFormat="false" ht="15" hidden="false" customHeight="false" outlineLevel="0" collapsed="false">
      <c r="A212" s="2" t="n">
        <v>1444</v>
      </c>
      <c r="B212" s="2" t="s">
        <v>458</v>
      </c>
      <c r="C212" s="2" t="s">
        <v>1012</v>
      </c>
      <c r="D212" s="2" t="s">
        <v>34</v>
      </c>
      <c r="E212" s="2" t="s">
        <v>3776</v>
      </c>
      <c r="F212" s="2" t="s">
        <v>3628</v>
      </c>
      <c r="G212" s="2" t="s">
        <v>3595</v>
      </c>
      <c r="H212" s="5" t="n">
        <v>2</v>
      </c>
      <c r="I212" s="5" t="s">
        <v>18</v>
      </c>
      <c r="J212" s="5" t="s">
        <v>19</v>
      </c>
      <c r="K212" s="5" t="s">
        <v>21</v>
      </c>
      <c r="L212" s="5" t="n">
        <v>300</v>
      </c>
      <c r="M212" s="5" t="n">
        <v>600</v>
      </c>
      <c r="N212" s="6" t="n">
        <f aca="false">L212*0.6*H212</f>
        <v>360</v>
      </c>
      <c r="O212" s="6" t="n">
        <f aca="false">M212-N212</f>
        <v>240</v>
      </c>
      <c r="P212" s="7" t="n">
        <f aca="false">IF(M212=0,0,O212/M212)</f>
        <v>0.4</v>
      </c>
    </row>
    <row r="213" customFormat="false" ht="15" hidden="false" customHeight="false" outlineLevel="0" collapsed="false">
      <c r="A213" s="3" t="n">
        <v>1445</v>
      </c>
      <c r="B213" s="3" t="s">
        <v>1017</v>
      </c>
      <c r="C213" s="3" t="s">
        <v>1016</v>
      </c>
      <c r="D213" s="3" t="s">
        <v>147</v>
      </c>
      <c r="E213" s="3" t="s">
        <v>3665</v>
      </c>
      <c r="F213" s="3" t="s">
        <v>3628</v>
      </c>
      <c r="G213" s="3" t="s">
        <v>3595</v>
      </c>
      <c r="H213" s="8" t="n">
        <v>3</v>
      </c>
      <c r="I213" s="8" t="s">
        <v>51</v>
      </c>
      <c r="J213" s="8" t="s">
        <v>121</v>
      </c>
      <c r="K213" s="8" t="s">
        <v>317</v>
      </c>
      <c r="L213" s="8" t="n">
        <v>600</v>
      </c>
      <c r="M213" s="8" t="n">
        <v>1800</v>
      </c>
      <c r="N213" s="6" t="n">
        <f aca="false">L213*0.6*H213</f>
        <v>1080</v>
      </c>
      <c r="O213" s="6" t="n">
        <f aca="false">M213-N213</f>
        <v>720</v>
      </c>
      <c r="P213" s="7" t="n">
        <f aca="false">IF(M213=0,0,O213/M213)</f>
        <v>0.4</v>
      </c>
    </row>
    <row r="214" customFormat="false" ht="15" hidden="false" customHeight="false" outlineLevel="0" collapsed="false">
      <c r="A214" s="2" t="n">
        <v>1446</v>
      </c>
      <c r="B214" s="2" t="s">
        <v>1021</v>
      </c>
      <c r="C214" s="2" t="s">
        <v>1020</v>
      </c>
      <c r="D214" s="2" t="s">
        <v>25</v>
      </c>
      <c r="E214" s="2" t="s">
        <v>3777</v>
      </c>
      <c r="F214" s="2" t="s">
        <v>3603</v>
      </c>
      <c r="G214" s="2" t="s">
        <v>3604</v>
      </c>
      <c r="H214" s="5" t="n">
        <v>1</v>
      </c>
      <c r="I214" s="5" t="s">
        <v>18</v>
      </c>
      <c r="J214" s="5" t="s">
        <v>59</v>
      </c>
      <c r="K214" s="5" t="s">
        <v>99</v>
      </c>
      <c r="L214" s="5" t="n">
        <v>800</v>
      </c>
      <c r="M214" s="5" t="n">
        <v>800</v>
      </c>
      <c r="N214" s="6" t="n">
        <f aca="false">L214*0.6*H214</f>
        <v>480</v>
      </c>
      <c r="O214" s="6" t="n">
        <f aca="false">M214-N214</f>
        <v>320</v>
      </c>
      <c r="P214" s="7" t="n">
        <f aca="false">IF(M214=0,0,O214/M214)</f>
        <v>0.4</v>
      </c>
    </row>
    <row r="215" customFormat="false" ht="15" hidden="false" customHeight="false" outlineLevel="0" collapsed="false">
      <c r="A215" s="3" t="n">
        <v>1447</v>
      </c>
      <c r="B215" s="3" t="s">
        <v>1026</v>
      </c>
      <c r="C215" s="3" t="s">
        <v>1025</v>
      </c>
      <c r="D215" s="3" t="s">
        <v>49</v>
      </c>
      <c r="E215" s="3" t="s">
        <v>3738</v>
      </c>
      <c r="F215" s="3" t="s">
        <v>1756</v>
      </c>
      <c r="G215" s="3" t="s">
        <v>3595</v>
      </c>
      <c r="H215" s="8" t="n">
        <v>2</v>
      </c>
      <c r="I215" s="8" t="s">
        <v>18</v>
      </c>
      <c r="J215" s="8" t="s">
        <v>52</v>
      </c>
      <c r="K215" s="8" t="s">
        <v>182</v>
      </c>
      <c r="L215" s="8" t="n">
        <v>250</v>
      </c>
      <c r="M215" s="8" t="n">
        <v>500</v>
      </c>
      <c r="N215" s="6" t="n">
        <f aca="false">L215*0.6*H215</f>
        <v>300</v>
      </c>
      <c r="O215" s="6" t="n">
        <f aca="false">M215-N215</f>
        <v>200</v>
      </c>
      <c r="P215" s="7" t="n">
        <f aca="false">IF(M215=0,0,O215/M215)</f>
        <v>0.4</v>
      </c>
    </row>
    <row r="216" customFormat="false" ht="15" hidden="false" customHeight="false" outlineLevel="0" collapsed="false">
      <c r="A216" s="2" t="n">
        <v>1448</v>
      </c>
      <c r="B216" s="2" t="s">
        <v>1030</v>
      </c>
      <c r="C216" s="2" t="s">
        <v>1029</v>
      </c>
      <c r="D216" s="2" t="s">
        <v>34</v>
      </c>
      <c r="E216" s="2" t="s">
        <v>3778</v>
      </c>
      <c r="F216" s="2" t="s">
        <v>1756</v>
      </c>
      <c r="G216" s="2" t="s">
        <v>3595</v>
      </c>
      <c r="H216" s="5" t="n">
        <v>2</v>
      </c>
      <c r="I216" s="5" t="s">
        <v>51</v>
      </c>
      <c r="J216" s="5" t="s">
        <v>43</v>
      </c>
      <c r="K216" s="5" t="s">
        <v>45</v>
      </c>
      <c r="L216" s="5" t="n">
        <v>300</v>
      </c>
      <c r="M216" s="5" t="n">
        <v>600</v>
      </c>
      <c r="N216" s="6" t="n">
        <f aca="false">L216*0.6*H216</f>
        <v>360</v>
      </c>
      <c r="O216" s="6" t="n">
        <f aca="false">M216-N216</f>
        <v>240</v>
      </c>
      <c r="P216" s="7" t="n">
        <f aca="false">IF(M216=0,0,O216/M216)</f>
        <v>0.4</v>
      </c>
    </row>
    <row r="217" customFormat="false" ht="15" hidden="false" customHeight="false" outlineLevel="0" collapsed="false">
      <c r="A217" s="3" t="n">
        <v>1449</v>
      </c>
      <c r="B217" s="3" t="s">
        <v>1035</v>
      </c>
      <c r="C217" s="3" t="s">
        <v>1034</v>
      </c>
      <c r="D217" s="3" t="s">
        <v>108</v>
      </c>
      <c r="E217" s="3" t="s">
        <v>3691</v>
      </c>
      <c r="F217" s="3" t="s">
        <v>3628</v>
      </c>
      <c r="G217" s="3" t="s">
        <v>3595</v>
      </c>
      <c r="H217" s="8" t="n">
        <v>3</v>
      </c>
      <c r="I217" s="8" t="s">
        <v>51</v>
      </c>
      <c r="J217" s="8" t="s">
        <v>121</v>
      </c>
      <c r="K217" s="8" t="s">
        <v>317</v>
      </c>
      <c r="L217" s="8" t="n">
        <v>1200</v>
      </c>
      <c r="M217" s="8" t="n">
        <v>3600</v>
      </c>
      <c r="N217" s="6" t="n">
        <f aca="false">L217*0.6*H217</f>
        <v>2160</v>
      </c>
      <c r="O217" s="6" t="n">
        <f aca="false">M217-N217</f>
        <v>1440</v>
      </c>
      <c r="P217" s="7" t="n">
        <f aca="false">IF(M217=0,0,O217/M217)</f>
        <v>0.4</v>
      </c>
    </row>
    <row r="218" customFormat="false" ht="15" hidden="false" customHeight="false" outlineLevel="0" collapsed="false">
      <c r="A218" s="2" t="n">
        <v>1450</v>
      </c>
      <c r="B218" s="2" t="s">
        <v>567</v>
      </c>
      <c r="C218" s="2" t="s">
        <v>1038</v>
      </c>
      <c r="D218" s="2" t="s">
        <v>108</v>
      </c>
      <c r="E218" s="2" t="s">
        <v>3779</v>
      </c>
      <c r="F218" s="2" t="s">
        <v>3599</v>
      </c>
      <c r="G218" s="2" t="s">
        <v>3600</v>
      </c>
      <c r="H218" s="5" t="n">
        <v>1</v>
      </c>
      <c r="I218" s="5" t="s">
        <v>27</v>
      </c>
      <c r="J218" s="5" t="s">
        <v>121</v>
      </c>
      <c r="K218" s="5" t="s">
        <v>123</v>
      </c>
      <c r="L218" s="5" t="n">
        <v>1200</v>
      </c>
      <c r="M218" s="5" t="n">
        <v>1200</v>
      </c>
      <c r="N218" s="6" t="n">
        <f aca="false">L218*0.6*H218</f>
        <v>720</v>
      </c>
      <c r="O218" s="6" t="n">
        <f aca="false">M218-N218</f>
        <v>480</v>
      </c>
      <c r="P218" s="7" t="n">
        <f aca="false">IF(M218=0,0,O218/M218)</f>
        <v>0.4</v>
      </c>
    </row>
    <row r="219" customFormat="false" ht="15" hidden="false" customHeight="false" outlineLevel="0" collapsed="false">
      <c r="A219" s="3" t="n">
        <v>1451</v>
      </c>
      <c r="B219" s="3" t="s">
        <v>1042</v>
      </c>
      <c r="C219" s="3" t="s">
        <v>788</v>
      </c>
      <c r="D219" s="3" t="s">
        <v>108</v>
      </c>
      <c r="E219" s="3" t="s">
        <v>3780</v>
      </c>
      <c r="F219" s="3" t="s">
        <v>3628</v>
      </c>
      <c r="G219" s="3" t="s">
        <v>3595</v>
      </c>
      <c r="H219" s="8" t="n">
        <v>3</v>
      </c>
      <c r="I219" s="8" t="s">
        <v>51</v>
      </c>
      <c r="J219" s="8" t="s">
        <v>59</v>
      </c>
      <c r="K219" s="8" t="s">
        <v>61</v>
      </c>
      <c r="L219" s="8" t="n">
        <v>1200</v>
      </c>
      <c r="M219" s="8" t="n">
        <v>3600</v>
      </c>
      <c r="N219" s="6" t="n">
        <f aca="false">L219*0.6*H219</f>
        <v>2160</v>
      </c>
      <c r="O219" s="6" t="n">
        <f aca="false">M219-N219</f>
        <v>1440</v>
      </c>
      <c r="P219" s="7" t="n">
        <f aca="false">IF(M219=0,0,O219/M219)</f>
        <v>0.4</v>
      </c>
    </row>
    <row r="220" customFormat="false" ht="15" hidden="false" customHeight="false" outlineLevel="0" collapsed="false">
      <c r="A220" s="2" t="n">
        <v>1452</v>
      </c>
      <c r="B220" s="2" t="s">
        <v>1047</v>
      </c>
      <c r="C220" s="2" t="s">
        <v>1046</v>
      </c>
      <c r="D220" s="2" t="s">
        <v>34</v>
      </c>
      <c r="E220" s="2" t="s">
        <v>3781</v>
      </c>
      <c r="F220" s="2" t="s">
        <v>3610</v>
      </c>
      <c r="G220" s="2" t="s">
        <v>3600</v>
      </c>
      <c r="H220" s="5" t="n">
        <v>2</v>
      </c>
      <c r="I220" s="5" t="s">
        <v>18</v>
      </c>
      <c r="J220" s="5" t="s">
        <v>43</v>
      </c>
      <c r="K220" s="5" t="s">
        <v>45</v>
      </c>
      <c r="L220" s="5" t="n">
        <v>300</v>
      </c>
      <c r="M220" s="5" t="n">
        <v>600</v>
      </c>
      <c r="N220" s="6" t="n">
        <f aca="false">L220*0.6*H220</f>
        <v>360</v>
      </c>
      <c r="O220" s="6" t="n">
        <f aca="false">M220-N220</f>
        <v>240</v>
      </c>
      <c r="P220" s="7" t="n">
        <f aca="false">IF(M220=0,0,O220/M220)</f>
        <v>0.4</v>
      </c>
    </row>
    <row r="221" customFormat="false" ht="15" hidden="false" customHeight="false" outlineLevel="0" collapsed="false">
      <c r="A221" s="3" t="n">
        <v>1453</v>
      </c>
      <c r="B221" s="3" t="s">
        <v>1052</v>
      </c>
      <c r="C221" s="3" t="s">
        <v>1051</v>
      </c>
      <c r="D221" s="3" t="s">
        <v>108</v>
      </c>
      <c r="E221" s="3" t="s">
        <v>3782</v>
      </c>
      <c r="F221" s="3" t="s">
        <v>3625</v>
      </c>
      <c r="G221" s="3" t="s">
        <v>3592</v>
      </c>
      <c r="H221" s="8" t="n">
        <v>2</v>
      </c>
      <c r="I221" s="8" t="s">
        <v>51</v>
      </c>
      <c r="J221" s="8" t="s">
        <v>78</v>
      </c>
      <c r="K221" s="8" t="s">
        <v>86</v>
      </c>
      <c r="L221" s="8" t="n">
        <v>1200</v>
      </c>
      <c r="M221" s="8" t="n">
        <v>2400</v>
      </c>
      <c r="N221" s="6" t="n">
        <f aca="false">L221*0.6*H221</f>
        <v>1440</v>
      </c>
      <c r="O221" s="6" t="n">
        <f aca="false">M221-N221</f>
        <v>960</v>
      </c>
      <c r="P221" s="7" t="n">
        <f aca="false">IF(M221=0,0,O221/M221)</f>
        <v>0.4</v>
      </c>
    </row>
    <row r="222" customFormat="false" ht="15" hidden="false" customHeight="false" outlineLevel="0" collapsed="false">
      <c r="A222" s="2" t="n">
        <v>1454</v>
      </c>
      <c r="B222" s="2" t="s">
        <v>1057</v>
      </c>
      <c r="C222" s="2" t="s">
        <v>1056</v>
      </c>
      <c r="D222" s="2" t="s">
        <v>147</v>
      </c>
      <c r="E222" s="2" t="s">
        <v>3758</v>
      </c>
      <c r="F222" s="2" t="s">
        <v>3599</v>
      </c>
      <c r="G222" s="2" t="s">
        <v>3600</v>
      </c>
      <c r="H222" s="5" t="n">
        <v>1</v>
      </c>
      <c r="I222" s="5" t="s">
        <v>27</v>
      </c>
      <c r="J222" s="5" t="s">
        <v>59</v>
      </c>
      <c r="K222" s="5" t="s">
        <v>292</v>
      </c>
      <c r="L222" s="5" t="n">
        <v>600</v>
      </c>
      <c r="M222" s="5" t="n">
        <v>600</v>
      </c>
      <c r="N222" s="6" t="n">
        <f aca="false">L222*0.6*H222</f>
        <v>360</v>
      </c>
      <c r="O222" s="6" t="n">
        <f aca="false">M222-N222</f>
        <v>240</v>
      </c>
      <c r="P222" s="7" t="n">
        <f aca="false">IF(M222=0,0,O222/M222)</f>
        <v>0.4</v>
      </c>
    </row>
    <row r="223" customFormat="false" ht="15" hidden="false" customHeight="false" outlineLevel="0" collapsed="false">
      <c r="A223" s="3" t="n">
        <v>1455</v>
      </c>
      <c r="B223" s="3" t="s">
        <v>1060</v>
      </c>
      <c r="C223" s="3" t="s">
        <v>184</v>
      </c>
      <c r="D223" s="3" t="s">
        <v>49</v>
      </c>
      <c r="E223" s="3" t="s">
        <v>3619</v>
      </c>
      <c r="F223" s="3" t="s">
        <v>1756</v>
      </c>
      <c r="G223" s="3" t="s">
        <v>3595</v>
      </c>
      <c r="H223" s="8" t="n">
        <v>2</v>
      </c>
      <c r="I223" s="8" t="s">
        <v>18</v>
      </c>
      <c r="J223" s="8" t="s">
        <v>36</v>
      </c>
      <c r="K223" s="8" t="s">
        <v>192</v>
      </c>
      <c r="L223" s="8" t="n">
        <v>250</v>
      </c>
      <c r="M223" s="8" t="n">
        <v>500</v>
      </c>
      <c r="N223" s="6" t="n">
        <f aca="false">L223*0.6*H223</f>
        <v>300</v>
      </c>
      <c r="O223" s="6" t="n">
        <f aca="false">M223-N223</f>
        <v>200</v>
      </c>
      <c r="P223" s="7" t="n">
        <f aca="false">IF(M223=0,0,O223/M223)</f>
        <v>0.4</v>
      </c>
    </row>
    <row r="224" customFormat="false" ht="15" hidden="false" customHeight="false" outlineLevel="0" collapsed="false">
      <c r="A224" s="2" t="n">
        <v>1456</v>
      </c>
      <c r="B224" s="2" t="s">
        <v>15</v>
      </c>
      <c r="C224" s="2" t="s">
        <v>1063</v>
      </c>
      <c r="D224" s="2" t="s">
        <v>49</v>
      </c>
      <c r="E224" s="2" t="s">
        <v>3783</v>
      </c>
      <c r="F224" s="2" t="s">
        <v>3608</v>
      </c>
      <c r="G224" s="2" t="s">
        <v>3604</v>
      </c>
      <c r="H224" s="5" t="n">
        <v>3</v>
      </c>
      <c r="I224" s="5" t="s">
        <v>27</v>
      </c>
      <c r="J224" s="5" t="s">
        <v>59</v>
      </c>
      <c r="K224" s="5" t="s">
        <v>61</v>
      </c>
      <c r="L224" s="5" t="n">
        <v>250</v>
      </c>
      <c r="M224" s="5" t="n">
        <v>750</v>
      </c>
      <c r="N224" s="6" t="n">
        <f aca="false">L224*0.6*H224</f>
        <v>450</v>
      </c>
      <c r="O224" s="6" t="n">
        <f aca="false">M224-N224</f>
        <v>300</v>
      </c>
      <c r="P224" s="7" t="n">
        <f aca="false">IF(M224=0,0,O224/M224)</f>
        <v>0.4</v>
      </c>
    </row>
    <row r="225" customFormat="false" ht="15" hidden="false" customHeight="false" outlineLevel="0" collapsed="false">
      <c r="A225" s="3" t="n">
        <v>1457</v>
      </c>
      <c r="B225" s="3" t="s">
        <v>1068</v>
      </c>
      <c r="C225" s="3" t="s">
        <v>1067</v>
      </c>
      <c r="D225" s="3" t="s">
        <v>108</v>
      </c>
      <c r="E225" s="3" t="s">
        <v>3597</v>
      </c>
      <c r="F225" s="3" t="s">
        <v>2379</v>
      </c>
      <c r="G225" s="3" t="s">
        <v>3592</v>
      </c>
      <c r="H225" s="8" t="n">
        <v>1</v>
      </c>
      <c r="I225" s="8" t="s">
        <v>27</v>
      </c>
      <c r="J225" s="8" t="s">
        <v>52</v>
      </c>
      <c r="K225" s="8" t="s">
        <v>182</v>
      </c>
      <c r="L225" s="8" t="n">
        <v>1200</v>
      </c>
      <c r="M225" s="8" t="n">
        <v>1200</v>
      </c>
      <c r="N225" s="6" t="n">
        <f aca="false">L225*0.6*H225</f>
        <v>720</v>
      </c>
      <c r="O225" s="6" t="n">
        <f aca="false">M225-N225</f>
        <v>480</v>
      </c>
      <c r="P225" s="7" t="n">
        <f aca="false">IF(M225=0,0,O225/M225)</f>
        <v>0.4</v>
      </c>
    </row>
    <row r="226" customFormat="false" ht="15" hidden="false" customHeight="false" outlineLevel="0" collapsed="false">
      <c r="A226" s="2" t="n">
        <v>1458</v>
      </c>
      <c r="B226" s="2" t="s">
        <v>1071</v>
      </c>
      <c r="C226" s="2" t="s">
        <v>828</v>
      </c>
      <c r="D226" s="2" t="s">
        <v>108</v>
      </c>
      <c r="E226" s="2" t="s">
        <v>3761</v>
      </c>
      <c r="F226" s="2" t="s">
        <v>3594</v>
      </c>
      <c r="G226" s="2" t="s">
        <v>3595</v>
      </c>
      <c r="H226" s="5" t="n">
        <v>2</v>
      </c>
      <c r="I226" s="5" t="s">
        <v>51</v>
      </c>
      <c r="J226" s="5" t="s">
        <v>43</v>
      </c>
      <c r="K226" s="5" t="s">
        <v>45</v>
      </c>
      <c r="L226" s="5" t="n">
        <v>1200</v>
      </c>
      <c r="M226" s="5" t="n">
        <v>2400</v>
      </c>
      <c r="N226" s="6" t="n">
        <f aca="false">L226*0.6*H226</f>
        <v>1440</v>
      </c>
      <c r="O226" s="6" t="n">
        <f aca="false">M226-N226</f>
        <v>960</v>
      </c>
      <c r="P226" s="7" t="n">
        <f aca="false">IF(M226=0,0,O226/M226)</f>
        <v>0.4</v>
      </c>
    </row>
    <row r="227" customFormat="false" ht="15" hidden="false" customHeight="false" outlineLevel="0" collapsed="false">
      <c r="A227" s="3" t="n">
        <v>1459</v>
      </c>
      <c r="B227" s="3" t="s">
        <v>1074</v>
      </c>
      <c r="C227" s="3" t="s">
        <v>1046</v>
      </c>
      <c r="D227" s="3" t="s">
        <v>25</v>
      </c>
      <c r="E227" s="3" t="s">
        <v>3611</v>
      </c>
      <c r="F227" s="3" t="s">
        <v>3591</v>
      </c>
      <c r="G227" s="3" t="s">
        <v>3592</v>
      </c>
      <c r="H227" s="8" t="n">
        <v>2</v>
      </c>
      <c r="I227" s="8" t="s">
        <v>51</v>
      </c>
      <c r="J227" s="8" t="s">
        <v>78</v>
      </c>
      <c r="K227" s="8" t="s">
        <v>408</v>
      </c>
      <c r="L227" s="8" t="n">
        <v>800</v>
      </c>
      <c r="M227" s="8" t="n">
        <v>1600</v>
      </c>
      <c r="N227" s="6" t="n">
        <f aca="false">L227*0.6*H227</f>
        <v>960</v>
      </c>
      <c r="O227" s="6" t="n">
        <f aca="false">M227-N227</f>
        <v>640</v>
      </c>
      <c r="P227" s="7" t="n">
        <f aca="false">IF(M227=0,0,O227/M227)</f>
        <v>0.4</v>
      </c>
    </row>
    <row r="228" customFormat="false" ht="15" hidden="false" customHeight="false" outlineLevel="0" collapsed="false">
      <c r="A228" s="2" t="n">
        <v>1460</v>
      </c>
      <c r="B228" s="2" t="s">
        <v>1078</v>
      </c>
      <c r="C228" s="2" t="s">
        <v>1077</v>
      </c>
      <c r="D228" s="2" t="s">
        <v>147</v>
      </c>
      <c r="E228" s="2" t="s">
        <v>3751</v>
      </c>
      <c r="F228" s="2" t="s">
        <v>3613</v>
      </c>
      <c r="G228" s="2" t="s">
        <v>3604</v>
      </c>
      <c r="H228" s="5" t="n">
        <v>1</v>
      </c>
      <c r="I228" s="5" t="s">
        <v>51</v>
      </c>
      <c r="J228" s="5" t="s">
        <v>52</v>
      </c>
      <c r="K228" s="5" t="s">
        <v>182</v>
      </c>
      <c r="L228" s="5" t="n">
        <v>600</v>
      </c>
      <c r="M228" s="5" t="n">
        <v>600</v>
      </c>
      <c r="N228" s="6" t="n">
        <f aca="false">L228*0.6*H228</f>
        <v>360</v>
      </c>
      <c r="O228" s="6" t="n">
        <f aca="false">M228-N228</f>
        <v>240</v>
      </c>
      <c r="P228" s="7" t="n">
        <f aca="false">IF(M228=0,0,O228/M228)</f>
        <v>0.4</v>
      </c>
    </row>
    <row r="229" customFormat="false" ht="15" hidden="false" customHeight="false" outlineLevel="0" collapsed="false">
      <c r="A229" s="3" t="n">
        <v>1461</v>
      </c>
      <c r="B229" s="3" t="s">
        <v>1082</v>
      </c>
      <c r="C229" s="3" t="s">
        <v>1081</v>
      </c>
      <c r="D229" s="3" t="s">
        <v>49</v>
      </c>
      <c r="E229" s="3" t="s">
        <v>3760</v>
      </c>
      <c r="F229" s="3" t="s">
        <v>3625</v>
      </c>
      <c r="G229" s="3" t="s">
        <v>3592</v>
      </c>
      <c r="H229" s="8" t="n">
        <v>3</v>
      </c>
      <c r="I229" s="8" t="s">
        <v>51</v>
      </c>
      <c r="J229" s="8" t="s">
        <v>19</v>
      </c>
      <c r="K229" s="8" t="s">
        <v>176</v>
      </c>
      <c r="L229" s="8" t="n">
        <v>250</v>
      </c>
      <c r="M229" s="8" t="n">
        <v>750</v>
      </c>
      <c r="N229" s="6" t="n">
        <f aca="false">L229*0.6*H229</f>
        <v>450</v>
      </c>
      <c r="O229" s="6" t="n">
        <f aca="false">M229-N229</f>
        <v>300</v>
      </c>
      <c r="P229" s="7" t="n">
        <f aca="false">IF(M229=0,0,O229/M229)</f>
        <v>0.4</v>
      </c>
    </row>
    <row r="230" customFormat="false" ht="15" hidden="false" customHeight="false" outlineLevel="0" collapsed="false">
      <c r="A230" s="2" t="n">
        <v>1462</v>
      </c>
      <c r="B230" s="2" t="s">
        <v>1086</v>
      </c>
      <c r="C230" s="2" t="s">
        <v>1085</v>
      </c>
      <c r="D230" s="2" t="s">
        <v>16</v>
      </c>
      <c r="E230" s="2" t="s">
        <v>3607</v>
      </c>
      <c r="F230" s="2" t="s">
        <v>3608</v>
      </c>
      <c r="G230" s="2" t="s">
        <v>3604</v>
      </c>
      <c r="H230" s="5" t="n">
        <v>3</v>
      </c>
      <c r="I230" s="5" t="s">
        <v>18</v>
      </c>
      <c r="J230" s="5" t="s">
        <v>59</v>
      </c>
      <c r="K230" s="5" t="s">
        <v>292</v>
      </c>
      <c r="L230" s="5" t="n">
        <v>250</v>
      </c>
      <c r="M230" s="5" t="n">
        <v>750</v>
      </c>
      <c r="N230" s="6" t="n">
        <f aca="false">L230*0.6*H230</f>
        <v>450</v>
      </c>
      <c r="O230" s="6" t="n">
        <f aca="false">M230-N230</f>
        <v>300</v>
      </c>
      <c r="P230" s="7" t="n">
        <f aca="false">IF(M230=0,0,O230/M230)</f>
        <v>0.4</v>
      </c>
    </row>
    <row r="231" customFormat="false" ht="15" hidden="false" customHeight="false" outlineLevel="0" collapsed="false">
      <c r="A231" s="3" t="n">
        <v>1463</v>
      </c>
      <c r="B231" s="3" t="s">
        <v>1090</v>
      </c>
      <c r="C231" s="3" t="s">
        <v>1089</v>
      </c>
      <c r="D231" s="3" t="s">
        <v>25</v>
      </c>
      <c r="E231" s="3" t="s">
        <v>3712</v>
      </c>
      <c r="F231" s="3" t="s">
        <v>3594</v>
      </c>
      <c r="G231" s="3" t="s">
        <v>3595</v>
      </c>
      <c r="H231" s="8" t="n">
        <v>2</v>
      </c>
      <c r="I231" s="8" t="s">
        <v>18</v>
      </c>
      <c r="J231" s="8" t="s">
        <v>43</v>
      </c>
      <c r="K231" s="8" t="s">
        <v>45</v>
      </c>
      <c r="L231" s="8" t="n">
        <v>800</v>
      </c>
      <c r="M231" s="8" t="n">
        <v>1600</v>
      </c>
      <c r="N231" s="6" t="n">
        <f aca="false">L231*0.6*H231</f>
        <v>960</v>
      </c>
      <c r="O231" s="6" t="n">
        <f aca="false">M231-N231</f>
        <v>640</v>
      </c>
      <c r="P231" s="7" t="n">
        <f aca="false">IF(M231=0,0,O231/M231)</f>
        <v>0.4</v>
      </c>
    </row>
    <row r="232" customFormat="false" ht="15" hidden="false" customHeight="false" outlineLevel="0" collapsed="false">
      <c r="A232" s="2" t="n">
        <v>1464</v>
      </c>
      <c r="B232" s="2" t="s">
        <v>1093</v>
      </c>
      <c r="C232" s="2" t="s">
        <v>739</v>
      </c>
      <c r="D232" s="2" t="s">
        <v>34</v>
      </c>
      <c r="E232" s="2" t="s">
        <v>3780</v>
      </c>
      <c r="F232" s="2" t="s">
        <v>3628</v>
      </c>
      <c r="G232" s="2" t="s">
        <v>3595</v>
      </c>
      <c r="H232" s="5" t="n">
        <v>3</v>
      </c>
      <c r="I232" s="5" t="s">
        <v>51</v>
      </c>
      <c r="J232" s="5" t="s">
        <v>28</v>
      </c>
      <c r="K232" s="5" t="s">
        <v>30</v>
      </c>
      <c r="L232" s="5" t="n">
        <v>300</v>
      </c>
      <c r="M232" s="5" t="n">
        <v>900</v>
      </c>
      <c r="N232" s="6" t="n">
        <f aca="false">L232*0.6*H232</f>
        <v>540</v>
      </c>
      <c r="O232" s="6" t="n">
        <f aca="false">M232-N232</f>
        <v>360</v>
      </c>
      <c r="P232" s="7" t="n">
        <f aca="false">IF(M232=0,0,O232/M232)</f>
        <v>0.4</v>
      </c>
    </row>
    <row r="233" customFormat="false" ht="15" hidden="false" customHeight="false" outlineLevel="0" collapsed="false">
      <c r="A233" s="3" t="n">
        <v>1465</v>
      </c>
      <c r="B233" s="3" t="s">
        <v>906</v>
      </c>
      <c r="C233" s="3" t="s">
        <v>1096</v>
      </c>
      <c r="D233" s="3" t="s">
        <v>108</v>
      </c>
      <c r="E233" s="3" t="s">
        <v>3784</v>
      </c>
      <c r="F233" s="3" t="s">
        <v>3628</v>
      </c>
      <c r="G233" s="3" t="s">
        <v>3595</v>
      </c>
      <c r="H233" s="8" t="n">
        <v>2</v>
      </c>
      <c r="I233" s="8" t="s">
        <v>51</v>
      </c>
      <c r="J233" s="8" t="s">
        <v>78</v>
      </c>
      <c r="K233" s="8" t="s">
        <v>408</v>
      </c>
      <c r="L233" s="8" t="n">
        <v>1200</v>
      </c>
      <c r="M233" s="8" t="n">
        <v>2400</v>
      </c>
      <c r="N233" s="6" t="n">
        <f aca="false">L233*0.6*H233</f>
        <v>1440</v>
      </c>
      <c r="O233" s="6" t="n">
        <f aca="false">M233-N233</f>
        <v>960</v>
      </c>
      <c r="P233" s="7" t="n">
        <f aca="false">IF(M233=0,0,O233/M233)</f>
        <v>0.4</v>
      </c>
    </row>
    <row r="234" customFormat="false" ht="15" hidden="false" customHeight="false" outlineLevel="0" collapsed="false">
      <c r="A234" s="2" t="n">
        <v>1466</v>
      </c>
      <c r="B234" s="2" t="s">
        <v>975</v>
      </c>
      <c r="C234" s="2" t="s">
        <v>1100</v>
      </c>
      <c r="D234" s="2" t="s">
        <v>16</v>
      </c>
      <c r="E234" s="2" t="s">
        <v>3758</v>
      </c>
      <c r="F234" s="2" t="s">
        <v>3599</v>
      </c>
      <c r="G234" s="2" t="s">
        <v>3600</v>
      </c>
      <c r="H234" s="5" t="n">
        <v>3</v>
      </c>
      <c r="I234" s="5" t="s">
        <v>18</v>
      </c>
      <c r="J234" s="5" t="s">
        <v>28</v>
      </c>
      <c r="K234" s="5" t="s">
        <v>30</v>
      </c>
      <c r="L234" s="5" t="n">
        <v>250</v>
      </c>
      <c r="M234" s="5" t="n">
        <v>750</v>
      </c>
      <c r="N234" s="6" t="n">
        <f aca="false">L234*0.6*H234</f>
        <v>450</v>
      </c>
      <c r="O234" s="6" t="n">
        <f aca="false">M234-N234</f>
        <v>300</v>
      </c>
      <c r="P234" s="7" t="n">
        <f aca="false">IF(M234=0,0,O234/M234)</f>
        <v>0.4</v>
      </c>
    </row>
    <row r="235" customFormat="false" ht="15" hidden="false" customHeight="false" outlineLevel="0" collapsed="false">
      <c r="A235" s="3" t="n">
        <v>1467</v>
      </c>
      <c r="B235" s="3" t="s">
        <v>1104</v>
      </c>
      <c r="C235" s="3" t="s">
        <v>1103</v>
      </c>
      <c r="D235" s="3" t="s">
        <v>16</v>
      </c>
      <c r="E235" s="3" t="s">
        <v>3749</v>
      </c>
      <c r="F235" s="3" t="s">
        <v>3608</v>
      </c>
      <c r="G235" s="3" t="s">
        <v>3604</v>
      </c>
      <c r="H235" s="8" t="n">
        <v>2</v>
      </c>
      <c r="I235" s="8" t="s">
        <v>51</v>
      </c>
      <c r="J235" s="8" t="s">
        <v>59</v>
      </c>
      <c r="K235" s="8" t="s">
        <v>292</v>
      </c>
      <c r="L235" s="8" t="n">
        <v>250</v>
      </c>
      <c r="M235" s="8" t="n">
        <v>500</v>
      </c>
      <c r="N235" s="6" t="n">
        <f aca="false">L235*0.6*H235</f>
        <v>300</v>
      </c>
      <c r="O235" s="6" t="n">
        <f aca="false">M235-N235</f>
        <v>200</v>
      </c>
      <c r="P235" s="7" t="n">
        <f aca="false">IF(M235=0,0,O235/M235)</f>
        <v>0.4</v>
      </c>
    </row>
    <row r="236" customFormat="false" ht="15" hidden="false" customHeight="false" outlineLevel="0" collapsed="false">
      <c r="A236" s="2" t="n">
        <v>1468</v>
      </c>
      <c r="B236" s="2" t="s">
        <v>173</v>
      </c>
      <c r="C236" s="2" t="s">
        <v>283</v>
      </c>
      <c r="D236" s="2" t="s">
        <v>16</v>
      </c>
      <c r="E236" s="2" t="s">
        <v>3785</v>
      </c>
      <c r="F236" s="2" t="s">
        <v>2379</v>
      </c>
      <c r="G236" s="2" t="s">
        <v>3592</v>
      </c>
      <c r="H236" s="5" t="n">
        <v>2</v>
      </c>
      <c r="I236" s="5" t="s">
        <v>18</v>
      </c>
      <c r="J236" s="5" t="s">
        <v>78</v>
      </c>
      <c r="K236" s="5" t="s">
        <v>80</v>
      </c>
      <c r="L236" s="5" t="n">
        <v>250</v>
      </c>
      <c r="M236" s="5" t="n">
        <v>500</v>
      </c>
      <c r="N236" s="6" t="n">
        <f aca="false">L236*0.6*H236</f>
        <v>300</v>
      </c>
      <c r="O236" s="6" t="n">
        <f aca="false">M236-N236</f>
        <v>200</v>
      </c>
      <c r="P236" s="7" t="n">
        <f aca="false">IF(M236=0,0,O236/M236)</f>
        <v>0.4</v>
      </c>
    </row>
    <row r="237" customFormat="false" ht="15" hidden="false" customHeight="false" outlineLevel="0" collapsed="false">
      <c r="A237" s="3" t="n">
        <v>1469</v>
      </c>
      <c r="B237" s="3" t="s">
        <v>1110</v>
      </c>
      <c r="C237" s="3" t="s">
        <v>828</v>
      </c>
      <c r="D237" s="3" t="s">
        <v>147</v>
      </c>
      <c r="E237" s="3" t="s">
        <v>3657</v>
      </c>
      <c r="F237" s="3" t="s">
        <v>1756</v>
      </c>
      <c r="G237" s="3" t="s">
        <v>3595</v>
      </c>
      <c r="H237" s="8" t="n">
        <v>2</v>
      </c>
      <c r="I237" s="8" t="s">
        <v>97</v>
      </c>
      <c r="J237" s="8" t="s">
        <v>121</v>
      </c>
      <c r="K237" s="8" t="s">
        <v>123</v>
      </c>
      <c r="L237" s="8" t="n">
        <v>600</v>
      </c>
      <c r="M237" s="8" t="n">
        <v>1200</v>
      </c>
      <c r="N237" s="6" t="n">
        <f aca="false">L237*0.6*H237</f>
        <v>720</v>
      </c>
      <c r="O237" s="6" t="n">
        <f aca="false">M237-N237</f>
        <v>480</v>
      </c>
      <c r="P237" s="7" t="n">
        <f aca="false">IF(M237=0,0,O237/M237)</f>
        <v>0.4</v>
      </c>
    </row>
    <row r="238" customFormat="false" ht="15" hidden="false" customHeight="false" outlineLevel="0" collapsed="false">
      <c r="A238" s="2" t="n">
        <v>1470</v>
      </c>
      <c r="B238" s="2" t="s">
        <v>1114</v>
      </c>
      <c r="C238" s="2" t="s">
        <v>1113</v>
      </c>
      <c r="D238" s="2" t="s">
        <v>34</v>
      </c>
      <c r="E238" s="2" t="s">
        <v>3772</v>
      </c>
      <c r="F238" s="2" t="s">
        <v>3606</v>
      </c>
      <c r="G238" s="2" t="s">
        <v>3600</v>
      </c>
      <c r="H238" s="5" t="n">
        <v>1</v>
      </c>
      <c r="I238" s="5" t="s">
        <v>18</v>
      </c>
      <c r="J238" s="5" t="s">
        <v>78</v>
      </c>
      <c r="K238" s="5" t="s">
        <v>408</v>
      </c>
      <c r="L238" s="5" t="n">
        <v>300</v>
      </c>
      <c r="M238" s="5" t="n">
        <v>300</v>
      </c>
      <c r="N238" s="6" t="n">
        <f aca="false">L238*0.6*H238</f>
        <v>180</v>
      </c>
      <c r="O238" s="6" t="n">
        <f aca="false">M238-N238</f>
        <v>120</v>
      </c>
      <c r="P238" s="7" t="n">
        <f aca="false">IF(M238=0,0,O238/M238)</f>
        <v>0.4</v>
      </c>
    </row>
    <row r="239" customFormat="false" ht="15" hidden="false" customHeight="false" outlineLevel="0" collapsed="false">
      <c r="A239" s="3" t="n">
        <v>1471</v>
      </c>
      <c r="B239" s="3" t="s">
        <v>1117</v>
      </c>
      <c r="C239" s="3" t="s">
        <v>56</v>
      </c>
      <c r="D239" s="3" t="s">
        <v>108</v>
      </c>
      <c r="E239" s="3" t="s">
        <v>3786</v>
      </c>
      <c r="F239" s="3" t="s">
        <v>3591</v>
      </c>
      <c r="G239" s="3" t="s">
        <v>3592</v>
      </c>
      <c r="H239" s="8" t="n">
        <v>2</v>
      </c>
      <c r="I239" s="8" t="s">
        <v>18</v>
      </c>
      <c r="J239" s="8" t="s">
        <v>59</v>
      </c>
      <c r="K239" s="8" t="s">
        <v>61</v>
      </c>
      <c r="L239" s="8" t="n">
        <v>1200</v>
      </c>
      <c r="M239" s="8" t="n">
        <v>2400</v>
      </c>
      <c r="N239" s="6" t="n">
        <f aca="false">L239*0.6*H239</f>
        <v>1440</v>
      </c>
      <c r="O239" s="6" t="n">
        <f aca="false">M239-N239</f>
        <v>960</v>
      </c>
      <c r="P239" s="7" t="n">
        <f aca="false">IF(M239=0,0,O239/M239)</f>
        <v>0.4</v>
      </c>
    </row>
    <row r="240" customFormat="false" ht="15" hidden="false" customHeight="false" outlineLevel="0" collapsed="false">
      <c r="A240" s="2" t="n">
        <v>1472</v>
      </c>
      <c r="B240" s="2" t="s">
        <v>1122</v>
      </c>
      <c r="C240" s="2" t="s">
        <v>1121</v>
      </c>
      <c r="D240" s="2" t="s">
        <v>16</v>
      </c>
      <c r="E240" s="2" t="s">
        <v>3787</v>
      </c>
      <c r="F240" s="2" t="s">
        <v>3591</v>
      </c>
      <c r="G240" s="2" t="s">
        <v>3592</v>
      </c>
      <c r="H240" s="5" t="n">
        <v>3</v>
      </c>
      <c r="I240" s="5" t="s">
        <v>18</v>
      </c>
      <c r="J240" s="5" t="s">
        <v>36</v>
      </c>
      <c r="K240" s="5" t="s">
        <v>192</v>
      </c>
      <c r="L240" s="5" t="n">
        <v>250</v>
      </c>
      <c r="M240" s="5" t="n">
        <v>750</v>
      </c>
      <c r="N240" s="6" t="n">
        <f aca="false">L240*0.6*H240</f>
        <v>450</v>
      </c>
      <c r="O240" s="6" t="n">
        <f aca="false">M240-N240</f>
        <v>300</v>
      </c>
      <c r="P240" s="7" t="n">
        <f aca="false">IF(M240=0,0,O240/M240)</f>
        <v>0.4</v>
      </c>
    </row>
    <row r="241" customFormat="false" ht="15" hidden="false" customHeight="false" outlineLevel="0" collapsed="false">
      <c r="A241" s="3" t="n">
        <v>1473</v>
      </c>
      <c r="B241" s="3" t="s">
        <v>1127</v>
      </c>
      <c r="C241" s="3" t="s">
        <v>1126</v>
      </c>
      <c r="D241" s="3" t="s">
        <v>49</v>
      </c>
      <c r="E241" s="3" t="s">
        <v>3695</v>
      </c>
      <c r="F241" s="3" t="s">
        <v>1756</v>
      </c>
      <c r="G241" s="3" t="s">
        <v>3595</v>
      </c>
      <c r="H241" s="8" t="n">
        <v>2</v>
      </c>
      <c r="I241" s="8" t="s">
        <v>18</v>
      </c>
      <c r="J241" s="8" t="s">
        <v>19</v>
      </c>
      <c r="K241" s="8" t="s">
        <v>73</v>
      </c>
      <c r="L241" s="8" t="n">
        <v>250</v>
      </c>
      <c r="M241" s="8" t="n">
        <v>500</v>
      </c>
      <c r="N241" s="6" t="n">
        <f aca="false">L241*0.6*H241</f>
        <v>300</v>
      </c>
      <c r="O241" s="6" t="n">
        <f aca="false">M241-N241</f>
        <v>200</v>
      </c>
      <c r="P241" s="7" t="n">
        <f aca="false">IF(M241=0,0,O241/M241)</f>
        <v>0.4</v>
      </c>
    </row>
    <row r="242" customFormat="false" ht="15" hidden="false" customHeight="false" outlineLevel="0" collapsed="false">
      <c r="A242" s="2" t="n">
        <v>1474</v>
      </c>
      <c r="B242" s="2" t="s">
        <v>1131</v>
      </c>
      <c r="C242" s="2" t="s">
        <v>1130</v>
      </c>
      <c r="D242" s="2" t="s">
        <v>25</v>
      </c>
      <c r="E242" s="2" t="s">
        <v>3788</v>
      </c>
      <c r="F242" s="2" t="s">
        <v>3591</v>
      </c>
      <c r="G242" s="2" t="s">
        <v>3592</v>
      </c>
      <c r="H242" s="5" t="n">
        <v>3</v>
      </c>
      <c r="I242" s="5" t="s">
        <v>51</v>
      </c>
      <c r="J242" s="5" t="s">
        <v>52</v>
      </c>
      <c r="K242" s="5" t="s">
        <v>182</v>
      </c>
      <c r="L242" s="5" t="n">
        <v>800</v>
      </c>
      <c r="M242" s="5" t="n">
        <v>2400</v>
      </c>
      <c r="N242" s="6" t="n">
        <f aca="false">L242*0.6*H242</f>
        <v>1440</v>
      </c>
      <c r="O242" s="6" t="n">
        <f aca="false">M242-N242</f>
        <v>960</v>
      </c>
      <c r="P242" s="7" t="n">
        <f aca="false">IF(M242=0,0,O242/M242)</f>
        <v>0.4</v>
      </c>
    </row>
    <row r="243" customFormat="false" ht="15" hidden="false" customHeight="false" outlineLevel="0" collapsed="false">
      <c r="A243" s="3" t="n">
        <v>1475</v>
      </c>
      <c r="B243" s="3" t="s">
        <v>1136</v>
      </c>
      <c r="C243" s="3" t="s">
        <v>1135</v>
      </c>
      <c r="D243" s="3" t="s">
        <v>16</v>
      </c>
      <c r="E243" s="3" t="s">
        <v>3722</v>
      </c>
      <c r="F243" s="3" t="s">
        <v>3613</v>
      </c>
      <c r="G243" s="3" t="s">
        <v>3604</v>
      </c>
      <c r="H243" s="8" t="n">
        <v>3</v>
      </c>
      <c r="I243" s="8" t="s">
        <v>18</v>
      </c>
      <c r="J243" s="8" t="s">
        <v>36</v>
      </c>
      <c r="K243" s="8" t="s">
        <v>38</v>
      </c>
      <c r="L243" s="8" t="n">
        <v>250</v>
      </c>
      <c r="M243" s="8" t="n">
        <v>750</v>
      </c>
      <c r="N243" s="6" t="n">
        <f aca="false">L243*0.6*H243</f>
        <v>450</v>
      </c>
      <c r="O243" s="6" t="n">
        <f aca="false">M243-N243</f>
        <v>300</v>
      </c>
      <c r="P243" s="7" t="n">
        <f aca="false">IF(M243=0,0,O243/M243)</f>
        <v>0.4</v>
      </c>
    </row>
    <row r="244" customFormat="false" ht="15" hidden="false" customHeight="false" outlineLevel="0" collapsed="false">
      <c r="A244" s="2" t="n">
        <v>1476</v>
      </c>
      <c r="B244" s="2" t="s">
        <v>1140</v>
      </c>
      <c r="C244" s="2" t="s">
        <v>1139</v>
      </c>
      <c r="D244" s="2" t="s">
        <v>34</v>
      </c>
      <c r="E244" s="2" t="s">
        <v>3647</v>
      </c>
      <c r="F244" s="2" t="s">
        <v>3610</v>
      </c>
      <c r="G244" s="2" t="s">
        <v>3600</v>
      </c>
      <c r="H244" s="5" t="n">
        <v>1</v>
      </c>
      <c r="I244" s="5" t="s">
        <v>18</v>
      </c>
      <c r="J244" s="5" t="s">
        <v>52</v>
      </c>
      <c r="K244" s="5" t="s">
        <v>54</v>
      </c>
      <c r="L244" s="5" t="n">
        <v>300</v>
      </c>
      <c r="M244" s="5" t="n">
        <v>300</v>
      </c>
      <c r="N244" s="6" t="n">
        <f aca="false">L244*0.6*H244</f>
        <v>180</v>
      </c>
      <c r="O244" s="6" t="n">
        <f aca="false">M244-N244</f>
        <v>120</v>
      </c>
      <c r="P244" s="7" t="n">
        <f aca="false">IF(M244=0,0,O244/M244)</f>
        <v>0.4</v>
      </c>
    </row>
    <row r="245" customFormat="false" ht="15" hidden="false" customHeight="false" outlineLevel="0" collapsed="false">
      <c r="A245" s="3" t="n">
        <v>1477</v>
      </c>
      <c r="B245" s="3" t="s">
        <v>1144</v>
      </c>
      <c r="C245" s="3" t="s">
        <v>1143</v>
      </c>
      <c r="D245" s="3" t="s">
        <v>16</v>
      </c>
      <c r="E245" s="3" t="s">
        <v>3670</v>
      </c>
      <c r="F245" s="3" t="s">
        <v>3603</v>
      </c>
      <c r="G245" s="3" t="s">
        <v>3604</v>
      </c>
      <c r="H245" s="8" t="n">
        <v>3</v>
      </c>
      <c r="I245" s="8" t="s">
        <v>18</v>
      </c>
      <c r="J245" s="8" t="s">
        <v>28</v>
      </c>
      <c r="K245" s="8" t="s">
        <v>30</v>
      </c>
      <c r="L245" s="8" t="n">
        <v>250</v>
      </c>
      <c r="M245" s="8" t="n">
        <v>750</v>
      </c>
      <c r="N245" s="6" t="n">
        <f aca="false">L245*0.6*H245</f>
        <v>450</v>
      </c>
      <c r="O245" s="6" t="n">
        <f aca="false">M245-N245</f>
        <v>300</v>
      </c>
      <c r="P245" s="7" t="n">
        <f aca="false">IF(M245=0,0,O245/M245)</f>
        <v>0.4</v>
      </c>
    </row>
    <row r="246" customFormat="false" ht="15" hidden="false" customHeight="false" outlineLevel="0" collapsed="false">
      <c r="A246" s="2" t="n">
        <v>1478</v>
      </c>
      <c r="B246" s="2" t="s">
        <v>1148</v>
      </c>
      <c r="C246" s="2" t="s">
        <v>1147</v>
      </c>
      <c r="D246" s="2" t="s">
        <v>108</v>
      </c>
      <c r="E246" s="2" t="s">
        <v>3645</v>
      </c>
      <c r="F246" s="2" t="s">
        <v>3628</v>
      </c>
      <c r="G246" s="2" t="s">
        <v>3595</v>
      </c>
      <c r="H246" s="5" t="n">
        <v>2</v>
      </c>
      <c r="I246" s="5" t="s">
        <v>27</v>
      </c>
      <c r="J246" s="5" t="s">
        <v>19</v>
      </c>
      <c r="K246" s="5" t="s">
        <v>21</v>
      </c>
      <c r="L246" s="5" t="n">
        <v>1200</v>
      </c>
      <c r="M246" s="5" t="n">
        <v>2400</v>
      </c>
      <c r="N246" s="6" t="n">
        <f aca="false">L246*0.6*H246</f>
        <v>1440</v>
      </c>
      <c r="O246" s="6" t="n">
        <f aca="false">M246-N246</f>
        <v>960</v>
      </c>
      <c r="P246" s="7" t="n">
        <f aca="false">IF(M246=0,0,O246/M246)</f>
        <v>0.4</v>
      </c>
    </row>
    <row r="247" customFormat="false" ht="15" hidden="false" customHeight="false" outlineLevel="0" collapsed="false">
      <c r="A247" s="3" t="n">
        <v>1479</v>
      </c>
      <c r="B247" s="3" t="s">
        <v>1151</v>
      </c>
      <c r="C247" s="3" t="s">
        <v>214</v>
      </c>
      <c r="D247" s="3" t="s">
        <v>16</v>
      </c>
      <c r="E247" s="3" t="s">
        <v>3789</v>
      </c>
      <c r="F247" s="3" t="s">
        <v>3599</v>
      </c>
      <c r="G247" s="3" t="s">
        <v>3600</v>
      </c>
      <c r="H247" s="8" t="n">
        <v>2</v>
      </c>
      <c r="I247" s="8" t="s">
        <v>27</v>
      </c>
      <c r="J247" s="8" t="s">
        <v>52</v>
      </c>
      <c r="K247" s="8" t="s">
        <v>182</v>
      </c>
      <c r="L247" s="8" t="n">
        <v>250</v>
      </c>
      <c r="M247" s="8" t="n">
        <v>500</v>
      </c>
      <c r="N247" s="6" t="n">
        <f aca="false">L247*0.6*H247</f>
        <v>300</v>
      </c>
      <c r="O247" s="6" t="n">
        <f aca="false">M247-N247</f>
        <v>200</v>
      </c>
      <c r="P247" s="7" t="n">
        <f aca="false">IF(M247=0,0,O247/M247)</f>
        <v>0.4</v>
      </c>
    </row>
    <row r="248" customFormat="false" ht="15" hidden="false" customHeight="false" outlineLevel="0" collapsed="false">
      <c r="A248" s="2" t="n">
        <v>1480</v>
      </c>
      <c r="B248" s="2" t="s">
        <v>959</v>
      </c>
      <c r="C248" s="2" t="s">
        <v>1155</v>
      </c>
      <c r="D248" s="2" t="s">
        <v>25</v>
      </c>
      <c r="E248" s="2" t="s">
        <v>3790</v>
      </c>
      <c r="F248" s="2" t="s">
        <v>2379</v>
      </c>
      <c r="G248" s="2" t="s">
        <v>3592</v>
      </c>
      <c r="H248" s="5" t="n">
        <v>2</v>
      </c>
      <c r="I248" s="5" t="s">
        <v>18</v>
      </c>
      <c r="J248" s="5" t="s">
        <v>52</v>
      </c>
      <c r="K248" s="5" t="s">
        <v>54</v>
      </c>
      <c r="L248" s="5" t="n">
        <v>800</v>
      </c>
      <c r="M248" s="5" t="n">
        <v>1600</v>
      </c>
      <c r="N248" s="6" t="n">
        <f aca="false">L248*0.6*H248</f>
        <v>960</v>
      </c>
      <c r="O248" s="6" t="n">
        <f aca="false">M248-N248</f>
        <v>640</v>
      </c>
      <c r="P248" s="7" t="n">
        <f aca="false">IF(M248=0,0,O248/M248)</f>
        <v>0.4</v>
      </c>
    </row>
    <row r="249" customFormat="false" ht="15" hidden="false" customHeight="false" outlineLevel="0" collapsed="false">
      <c r="A249" s="3" t="n">
        <v>1481</v>
      </c>
      <c r="B249" s="3" t="s">
        <v>1160</v>
      </c>
      <c r="C249" s="3" t="s">
        <v>1159</v>
      </c>
      <c r="D249" s="3" t="s">
        <v>108</v>
      </c>
      <c r="E249" s="3" t="s">
        <v>3791</v>
      </c>
      <c r="F249" s="3" t="s">
        <v>3599</v>
      </c>
      <c r="G249" s="3" t="s">
        <v>3600</v>
      </c>
      <c r="H249" s="8" t="n">
        <v>1</v>
      </c>
      <c r="I249" s="8" t="s">
        <v>51</v>
      </c>
      <c r="J249" s="8" t="s">
        <v>121</v>
      </c>
      <c r="K249" s="8" t="s">
        <v>123</v>
      </c>
      <c r="L249" s="8" t="n">
        <v>1200</v>
      </c>
      <c r="M249" s="8" t="n">
        <v>1200</v>
      </c>
      <c r="N249" s="6" t="n">
        <f aca="false">L249*0.6*H249</f>
        <v>720</v>
      </c>
      <c r="O249" s="6" t="n">
        <f aca="false">M249-N249</f>
        <v>480</v>
      </c>
      <c r="P249" s="7" t="n">
        <f aca="false">IF(M249=0,0,O249/M249)</f>
        <v>0.4</v>
      </c>
    </row>
    <row r="250" customFormat="false" ht="15" hidden="false" customHeight="false" outlineLevel="0" collapsed="false">
      <c r="A250" s="2" t="n">
        <v>1482</v>
      </c>
      <c r="B250" s="2" t="s">
        <v>844</v>
      </c>
      <c r="C250" s="2" t="s">
        <v>1164</v>
      </c>
      <c r="D250" s="2" t="s">
        <v>49</v>
      </c>
      <c r="E250" s="2" t="s">
        <v>3698</v>
      </c>
      <c r="F250" s="2" t="s">
        <v>3599</v>
      </c>
      <c r="G250" s="2" t="s">
        <v>3600</v>
      </c>
      <c r="H250" s="5" t="n">
        <v>2</v>
      </c>
      <c r="I250" s="5" t="s">
        <v>18</v>
      </c>
      <c r="J250" s="5" t="s">
        <v>43</v>
      </c>
      <c r="K250" s="5" t="s">
        <v>67</v>
      </c>
      <c r="L250" s="5" t="n">
        <v>250</v>
      </c>
      <c r="M250" s="5" t="n">
        <v>500</v>
      </c>
      <c r="N250" s="6" t="n">
        <f aca="false">L250*0.6*H250</f>
        <v>300</v>
      </c>
      <c r="O250" s="6" t="n">
        <f aca="false">M250-N250</f>
        <v>200</v>
      </c>
      <c r="P250" s="7" t="n">
        <f aca="false">IF(M250=0,0,O250/M250)</f>
        <v>0.4</v>
      </c>
    </row>
    <row r="251" customFormat="false" ht="15" hidden="false" customHeight="false" outlineLevel="0" collapsed="false">
      <c r="A251" s="3" t="n">
        <v>1483</v>
      </c>
      <c r="B251" s="3" t="s">
        <v>1168</v>
      </c>
      <c r="C251" s="3" t="s">
        <v>1167</v>
      </c>
      <c r="D251" s="3" t="s">
        <v>49</v>
      </c>
      <c r="E251" s="3" t="s">
        <v>3650</v>
      </c>
      <c r="F251" s="3" t="s">
        <v>3591</v>
      </c>
      <c r="G251" s="3" t="s">
        <v>3592</v>
      </c>
      <c r="H251" s="8" t="n">
        <v>2</v>
      </c>
      <c r="I251" s="8" t="s">
        <v>18</v>
      </c>
      <c r="J251" s="8" t="s">
        <v>121</v>
      </c>
      <c r="K251" s="8" t="s">
        <v>317</v>
      </c>
      <c r="L251" s="8" t="n">
        <v>250</v>
      </c>
      <c r="M251" s="8" t="n">
        <v>500</v>
      </c>
      <c r="N251" s="6" t="n">
        <f aca="false">L251*0.6*H251</f>
        <v>300</v>
      </c>
      <c r="O251" s="6" t="n">
        <f aca="false">M251-N251</f>
        <v>200</v>
      </c>
      <c r="P251" s="7" t="n">
        <f aca="false">IF(M251=0,0,O251/M251)</f>
        <v>0.4</v>
      </c>
    </row>
    <row r="252" customFormat="false" ht="15" hidden="false" customHeight="false" outlineLevel="0" collapsed="false">
      <c r="A252" s="2" t="n">
        <v>1484</v>
      </c>
      <c r="B252" s="2" t="s">
        <v>1047</v>
      </c>
      <c r="C252" s="2" t="s">
        <v>769</v>
      </c>
      <c r="D252" s="2" t="s">
        <v>108</v>
      </c>
      <c r="E252" s="2" t="s">
        <v>3792</v>
      </c>
      <c r="F252" s="2" t="s">
        <v>3608</v>
      </c>
      <c r="G252" s="2" t="s">
        <v>3604</v>
      </c>
      <c r="H252" s="5" t="n">
        <v>3</v>
      </c>
      <c r="I252" s="5" t="s">
        <v>18</v>
      </c>
      <c r="J252" s="5" t="s">
        <v>52</v>
      </c>
      <c r="K252" s="5" t="s">
        <v>182</v>
      </c>
      <c r="L252" s="5" t="n">
        <v>1200</v>
      </c>
      <c r="M252" s="5" t="n">
        <v>3600</v>
      </c>
      <c r="N252" s="6" t="n">
        <f aca="false">L252*0.6*H252</f>
        <v>2160</v>
      </c>
      <c r="O252" s="6" t="n">
        <f aca="false">M252-N252</f>
        <v>1440</v>
      </c>
      <c r="P252" s="7" t="n">
        <f aca="false">IF(M252=0,0,O252/M252)</f>
        <v>0.4</v>
      </c>
    </row>
    <row r="253" customFormat="false" ht="15" hidden="false" customHeight="false" outlineLevel="0" collapsed="false">
      <c r="A253" s="3" t="n">
        <v>1485</v>
      </c>
      <c r="B253" s="3" t="s">
        <v>1175</v>
      </c>
      <c r="C253" s="3" t="s">
        <v>1174</v>
      </c>
      <c r="D253" s="3" t="s">
        <v>16</v>
      </c>
      <c r="E253" s="3" t="s">
        <v>3793</v>
      </c>
      <c r="F253" s="3" t="s">
        <v>3625</v>
      </c>
      <c r="G253" s="3" t="s">
        <v>3592</v>
      </c>
      <c r="H253" s="8" t="n">
        <v>2</v>
      </c>
      <c r="I253" s="8" t="s">
        <v>51</v>
      </c>
      <c r="J253" s="8" t="s">
        <v>52</v>
      </c>
      <c r="K253" s="8" t="s">
        <v>182</v>
      </c>
      <c r="L253" s="8" t="n">
        <v>250</v>
      </c>
      <c r="M253" s="8" t="n">
        <v>500</v>
      </c>
      <c r="N253" s="6" t="n">
        <f aca="false">L253*0.6*H253</f>
        <v>300</v>
      </c>
      <c r="O253" s="6" t="n">
        <f aca="false">M253-N253</f>
        <v>200</v>
      </c>
      <c r="P253" s="7" t="n">
        <f aca="false">IF(M253=0,0,O253/M253)</f>
        <v>0.4</v>
      </c>
    </row>
    <row r="254" customFormat="false" ht="15" hidden="false" customHeight="false" outlineLevel="0" collapsed="false">
      <c r="A254" s="2" t="n">
        <v>1486</v>
      </c>
      <c r="B254" s="2" t="s">
        <v>1180</v>
      </c>
      <c r="C254" s="2" t="s">
        <v>1179</v>
      </c>
      <c r="D254" s="2" t="s">
        <v>147</v>
      </c>
      <c r="E254" s="2" t="s">
        <v>3661</v>
      </c>
      <c r="F254" s="2" t="s">
        <v>3599</v>
      </c>
      <c r="G254" s="2" t="s">
        <v>3600</v>
      </c>
      <c r="H254" s="5" t="n">
        <v>1</v>
      </c>
      <c r="I254" s="5" t="s">
        <v>51</v>
      </c>
      <c r="J254" s="5" t="s">
        <v>19</v>
      </c>
      <c r="K254" s="5" t="s">
        <v>176</v>
      </c>
      <c r="L254" s="5" t="n">
        <v>600</v>
      </c>
      <c r="M254" s="5" t="n">
        <v>600</v>
      </c>
      <c r="N254" s="6" t="n">
        <f aca="false">L254*0.6*H254</f>
        <v>360</v>
      </c>
      <c r="O254" s="6" t="n">
        <f aca="false">M254-N254</f>
        <v>240</v>
      </c>
      <c r="P254" s="7" t="n">
        <f aca="false">IF(M254=0,0,O254/M254)</f>
        <v>0.4</v>
      </c>
    </row>
    <row r="255" customFormat="false" ht="15" hidden="false" customHeight="false" outlineLevel="0" collapsed="false">
      <c r="A255" s="3" t="n">
        <v>1487</v>
      </c>
      <c r="B255" s="3" t="s">
        <v>1183</v>
      </c>
      <c r="C255" s="3" t="s">
        <v>1002</v>
      </c>
      <c r="D255" s="3" t="s">
        <v>34</v>
      </c>
      <c r="E255" s="3" t="s">
        <v>3794</v>
      </c>
      <c r="F255" s="3" t="s">
        <v>3628</v>
      </c>
      <c r="G255" s="3" t="s">
        <v>3595</v>
      </c>
      <c r="H255" s="8" t="n">
        <v>3</v>
      </c>
      <c r="I255" s="8" t="s">
        <v>18</v>
      </c>
      <c r="J255" s="8" t="s">
        <v>43</v>
      </c>
      <c r="K255" s="8" t="s">
        <v>45</v>
      </c>
      <c r="L255" s="8" t="n">
        <v>300</v>
      </c>
      <c r="M255" s="8" t="n">
        <v>900</v>
      </c>
      <c r="N255" s="6" t="n">
        <f aca="false">L255*0.6*H255</f>
        <v>540</v>
      </c>
      <c r="O255" s="6" t="n">
        <f aca="false">M255-N255</f>
        <v>360</v>
      </c>
      <c r="P255" s="7" t="n">
        <f aca="false">IF(M255=0,0,O255/M255)</f>
        <v>0.4</v>
      </c>
    </row>
    <row r="256" customFormat="false" ht="15" hidden="false" customHeight="false" outlineLevel="0" collapsed="false">
      <c r="A256" s="2" t="n">
        <v>1488</v>
      </c>
      <c r="B256" s="2" t="s">
        <v>1188</v>
      </c>
      <c r="C256" s="2" t="s">
        <v>1187</v>
      </c>
      <c r="D256" s="2" t="s">
        <v>16</v>
      </c>
      <c r="E256" s="2" t="s">
        <v>3780</v>
      </c>
      <c r="F256" s="2" t="s">
        <v>3628</v>
      </c>
      <c r="G256" s="2" t="s">
        <v>3595</v>
      </c>
      <c r="H256" s="5" t="n">
        <v>3</v>
      </c>
      <c r="I256" s="5" t="s">
        <v>51</v>
      </c>
      <c r="J256" s="5" t="s">
        <v>43</v>
      </c>
      <c r="K256" s="5" t="s">
        <v>111</v>
      </c>
      <c r="L256" s="5" t="n">
        <v>250</v>
      </c>
      <c r="M256" s="5" t="n">
        <v>750</v>
      </c>
      <c r="N256" s="6" t="n">
        <f aca="false">L256*0.6*H256</f>
        <v>450</v>
      </c>
      <c r="O256" s="6" t="n">
        <f aca="false">M256-N256</f>
        <v>300</v>
      </c>
      <c r="P256" s="7" t="n">
        <f aca="false">IF(M256=0,0,O256/M256)</f>
        <v>0.4</v>
      </c>
    </row>
    <row r="257" customFormat="false" ht="15" hidden="false" customHeight="false" outlineLevel="0" collapsed="false">
      <c r="A257" s="3" t="n">
        <v>1489</v>
      </c>
      <c r="B257" s="3" t="s">
        <v>1192</v>
      </c>
      <c r="C257" s="3" t="s">
        <v>1191</v>
      </c>
      <c r="D257" s="3" t="s">
        <v>49</v>
      </c>
      <c r="E257" s="3" t="s">
        <v>3622</v>
      </c>
      <c r="F257" s="3" t="s">
        <v>3599</v>
      </c>
      <c r="G257" s="3" t="s">
        <v>3600</v>
      </c>
      <c r="H257" s="8" t="n">
        <v>2</v>
      </c>
      <c r="I257" s="8" t="s">
        <v>18</v>
      </c>
      <c r="J257" s="8" t="s">
        <v>19</v>
      </c>
      <c r="K257" s="8" t="s">
        <v>73</v>
      </c>
      <c r="L257" s="8" t="n">
        <v>250</v>
      </c>
      <c r="M257" s="8" t="n">
        <v>500</v>
      </c>
      <c r="N257" s="6" t="n">
        <f aca="false">L257*0.6*H257</f>
        <v>300</v>
      </c>
      <c r="O257" s="6" t="n">
        <f aca="false">M257-N257</f>
        <v>200</v>
      </c>
      <c r="P257" s="7" t="n">
        <f aca="false">IF(M257=0,0,O257/M257)</f>
        <v>0.4</v>
      </c>
    </row>
    <row r="258" customFormat="false" ht="15" hidden="false" customHeight="false" outlineLevel="0" collapsed="false">
      <c r="A258" s="2" t="n">
        <v>1490</v>
      </c>
      <c r="B258" s="2" t="s">
        <v>453</v>
      </c>
      <c r="C258" s="2" t="s">
        <v>1195</v>
      </c>
      <c r="D258" s="2" t="s">
        <v>147</v>
      </c>
      <c r="E258" s="2" t="s">
        <v>3652</v>
      </c>
      <c r="F258" s="2" t="s">
        <v>3608</v>
      </c>
      <c r="G258" s="2" t="s">
        <v>3604</v>
      </c>
      <c r="H258" s="5" t="n">
        <v>2</v>
      </c>
      <c r="I258" s="5" t="s">
        <v>18</v>
      </c>
      <c r="J258" s="5" t="s">
        <v>43</v>
      </c>
      <c r="K258" s="5" t="s">
        <v>45</v>
      </c>
      <c r="L258" s="5" t="n">
        <v>600</v>
      </c>
      <c r="M258" s="5" t="n">
        <v>1200</v>
      </c>
      <c r="N258" s="6" t="n">
        <f aca="false">L258*0.6*H258</f>
        <v>720</v>
      </c>
      <c r="O258" s="6" t="n">
        <f aca="false">M258-N258</f>
        <v>480</v>
      </c>
      <c r="P258" s="7" t="n">
        <f aca="false">IF(M258=0,0,O258/M258)</f>
        <v>0.4</v>
      </c>
    </row>
    <row r="259" customFormat="false" ht="15" hidden="false" customHeight="false" outlineLevel="0" collapsed="false">
      <c r="A259" s="3" t="n">
        <v>1491</v>
      </c>
      <c r="B259" s="3" t="s">
        <v>1198</v>
      </c>
      <c r="C259" s="3" t="s">
        <v>519</v>
      </c>
      <c r="D259" s="3" t="s">
        <v>16</v>
      </c>
      <c r="E259" s="3" t="s">
        <v>3738</v>
      </c>
      <c r="F259" s="3" t="s">
        <v>1756</v>
      </c>
      <c r="G259" s="3" t="s">
        <v>3595</v>
      </c>
      <c r="H259" s="8" t="n">
        <v>3</v>
      </c>
      <c r="I259" s="8" t="s">
        <v>18</v>
      </c>
      <c r="J259" s="8" t="s">
        <v>52</v>
      </c>
      <c r="K259" s="8" t="s">
        <v>182</v>
      </c>
      <c r="L259" s="8" t="n">
        <v>250</v>
      </c>
      <c r="M259" s="8" t="n">
        <v>750</v>
      </c>
      <c r="N259" s="6" t="n">
        <f aca="false">L259*0.6*H259</f>
        <v>450</v>
      </c>
      <c r="O259" s="6" t="n">
        <f aca="false">M259-N259</f>
        <v>300</v>
      </c>
      <c r="P259" s="7" t="n">
        <f aca="false">IF(M259=0,0,O259/M259)</f>
        <v>0.4</v>
      </c>
    </row>
    <row r="260" customFormat="false" ht="15" hidden="false" customHeight="false" outlineLevel="0" collapsed="false">
      <c r="A260" s="2" t="n">
        <v>1492</v>
      </c>
      <c r="B260" s="2" t="s">
        <v>1202</v>
      </c>
      <c r="C260" s="2" t="s">
        <v>1201</v>
      </c>
      <c r="D260" s="2" t="s">
        <v>108</v>
      </c>
      <c r="E260" s="2" t="s">
        <v>3759</v>
      </c>
      <c r="F260" s="2" t="s">
        <v>3603</v>
      </c>
      <c r="G260" s="2" t="s">
        <v>3604</v>
      </c>
      <c r="H260" s="5" t="n">
        <v>3</v>
      </c>
      <c r="I260" s="5" t="s">
        <v>18</v>
      </c>
      <c r="J260" s="5" t="s">
        <v>59</v>
      </c>
      <c r="K260" s="5" t="s">
        <v>292</v>
      </c>
      <c r="L260" s="5" t="n">
        <v>1200</v>
      </c>
      <c r="M260" s="5" t="n">
        <v>3600</v>
      </c>
      <c r="N260" s="6" t="n">
        <f aca="false">L260*0.6*H260</f>
        <v>2160</v>
      </c>
      <c r="O260" s="6" t="n">
        <f aca="false">M260-N260</f>
        <v>1440</v>
      </c>
      <c r="P260" s="7" t="n">
        <f aca="false">IF(M260=0,0,O260/M260)</f>
        <v>0.4</v>
      </c>
    </row>
    <row r="261" customFormat="false" ht="15" hidden="false" customHeight="false" outlineLevel="0" collapsed="false">
      <c r="A261" s="3" t="n">
        <v>1493</v>
      </c>
      <c r="B261" s="3" t="s">
        <v>458</v>
      </c>
      <c r="C261" s="3" t="s">
        <v>1205</v>
      </c>
      <c r="D261" s="3" t="s">
        <v>108</v>
      </c>
      <c r="E261" s="3" t="s">
        <v>3795</v>
      </c>
      <c r="F261" s="3" t="s">
        <v>3613</v>
      </c>
      <c r="G261" s="3" t="s">
        <v>3604</v>
      </c>
      <c r="H261" s="8" t="n">
        <v>3</v>
      </c>
      <c r="I261" s="8" t="s">
        <v>18</v>
      </c>
      <c r="J261" s="8" t="s">
        <v>43</v>
      </c>
      <c r="K261" s="8" t="s">
        <v>67</v>
      </c>
      <c r="L261" s="8" t="n">
        <v>1200</v>
      </c>
      <c r="M261" s="8" t="n">
        <v>3600</v>
      </c>
      <c r="N261" s="6" t="n">
        <f aca="false">L261*0.6*H261</f>
        <v>2160</v>
      </c>
      <c r="O261" s="6" t="n">
        <f aca="false">M261-N261</f>
        <v>1440</v>
      </c>
      <c r="P261" s="7" t="n">
        <f aca="false">IF(M261=0,0,O261/M261)</f>
        <v>0.4</v>
      </c>
    </row>
    <row r="262" customFormat="false" ht="15" hidden="false" customHeight="false" outlineLevel="0" collapsed="false">
      <c r="A262" s="2" t="n">
        <v>1494</v>
      </c>
      <c r="B262" s="2" t="s">
        <v>371</v>
      </c>
      <c r="C262" s="2" t="s">
        <v>1209</v>
      </c>
      <c r="D262" s="2" t="s">
        <v>49</v>
      </c>
      <c r="E262" s="2" t="s">
        <v>3660</v>
      </c>
      <c r="F262" s="2" t="s">
        <v>3603</v>
      </c>
      <c r="G262" s="2" t="s">
        <v>3604</v>
      </c>
      <c r="H262" s="5" t="n">
        <v>3</v>
      </c>
      <c r="I262" s="5" t="s">
        <v>18</v>
      </c>
      <c r="J262" s="5" t="s">
        <v>121</v>
      </c>
      <c r="K262" s="5" t="s">
        <v>317</v>
      </c>
      <c r="L262" s="5" t="n">
        <v>250</v>
      </c>
      <c r="M262" s="5" t="n">
        <v>750</v>
      </c>
      <c r="N262" s="6" t="n">
        <f aca="false">L262*0.6*H262</f>
        <v>450</v>
      </c>
      <c r="O262" s="6" t="n">
        <f aca="false">M262-N262</f>
        <v>300</v>
      </c>
      <c r="P262" s="7" t="n">
        <f aca="false">IF(M262=0,0,O262/M262)</f>
        <v>0.4</v>
      </c>
    </row>
    <row r="263" customFormat="false" ht="15" hidden="false" customHeight="false" outlineLevel="0" collapsed="false">
      <c r="A263" s="3" t="n">
        <v>1495</v>
      </c>
      <c r="B263" s="3" t="s">
        <v>1212</v>
      </c>
      <c r="C263" s="3" t="s">
        <v>457</v>
      </c>
      <c r="D263" s="3" t="s">
        <v>16</v>
      </c>
      <c r="E263" s="3" t="s">
        <v>3796</v>
      </c>
      <c r="F263" s="3" t="s">
        <v>2379</v>
      </c>
      <c r="G263" s="3" t="s">
        <v>3592</v>
      </c>
      <c r="H263" s="8" t="n">
        <v>1</v>
      </c>
      <c r="I263" s="8" t="s">
        <v>51</v>
      </c>
      <c r="J263" s="8" t="s">
        <v>36</v>
      </c>
      <c r="K263" s="8" t="s">
        <v>192</v>
      </c>
      <c r="L263" s="8" t="n">
        <v>250</v>
      </c>
      <c r="M263" s="8" t="n">
        <v>250</v>
      </c>
      <c r="N263" s="6" t="n">
        <f aca="false">L263*0.6*H263</f>
        <v>150</v>
      </c>
      <c r="O263" s="6" t="n">
        <f aca="false">M263-N263</f>
        <v>100</v>
      </c>
      <c r="P263" s="7" t="n">
        <f aca="false">IF(M263=0,0,O263/M263)</f>
        <v>0.4</v>
      </c>
    </row>
    <row r="264" customFormat="false" ht="15" hidden="false" customHeight="false" outlineLevel="0" collapsed="false">
      <c r="A264" s="2" t="n">
        <v>1496</v>
      </c>
      <c r="B264" s="2" t="s">
        <v>1217</v>
      </c>
      <c r="C264" s="2" t="s">
        <v>1216</v>
      </c>
      <c r="D264" s="2" t="s">
        <v>34</v>
      </c>
      <c r="E264" s="2" t="s">
        <v>3797</v>
      </c>
      <c r="F264" s="2" t="s">
        <v>3610</v>
      </c>
      <c r="G264" s="2" t="s">
        <v>3600</v>
      </c>
      <c r="H264" s="5" t="n">
        <v>1</v>
      </c>
      <c r="I264" s="5" t="s">
        <v>51</v>
      </c>
      <c r="J264" s="5" t="s">
        <v>28</v>
      </c>
      <c r="K264" s="5" t="s">
        <v>30</v>
      </c>
      <c r="L264" s="5" t="n">
        <v>300</v>
      </c>
      <c r="M264" s="5" t="n">
        <v>300</v>
      </c>
      <c r="N264" s="6" t="n">
        <f aca="false">L264*0.6*H264</f>
        <v>180</v>
      </c>
      <c r="O264" s="6" t="n">
        <f aca="false">M264-N264</f>
        <v>120</v>
      </c>
      <c r="P264" s="7" t="n">
        <f aca="false">IF(M264=0,0,O264/M264)</f>
        <v>0.4</v>
      </c>
    </row>
    <row r="265" customFormat="false" ht="15" hidden="false" customHeight="false" outlineLevel="0" collapsed="false">
      <c r="A265" s="3" t="n">
        <v>1497</v>
      </c>
      <c r="B265" s="3" t="s">
        <v>1221</v>
      </c>
      <c r="C265" s="3" t="s">
        <v>56</v>
      </c>
      <c r="D265" s="3" t="s">
        <v>49</v>
      </c>
      <c r="E265" s="3" t="s">
        <v>3792</v>
      </c>
      <c r="F265" s="3" t="s">
        <v>3608</v>
      </c>
      <c r="G265" s="3" t="s">
        <v>3604</v>
      </c>
      <c r="H265" s="8" t="n">
        <v>3</v>
      </c>
      <c r="I265" s="8" t="s">
        <v>51</v>
      </c>
      <c r="J265" s="8" t="s">
        <v>52</v>
      </c>
      <c r="K265" s="8" t="s">
        <v>92</v>
      </c>
      <c r="L265" s="8" t="n">
        <v>250</v>
      </c>
      <c r="M265" s="8" t="n">
        <v>750</v>
      </c>
      <c r="N265" s="6" t="n">
        <f aca="false">L265*0.6*H265</f>
        <v>450</v>
      </c>
      <c r="O265" s="6" t="n">
        <f aca="false">M265-N265</f>
        <v>300</v>
      </c>
      <c r="P265" s="7" t="n">
        <f aca="false">IF(M265=0,0,O265/M265)</f>
        <v>0.4</v>
      </c>
    </row>
    <row r="266" customFormat="false" ht="15" hidden="false" customHeight="false" outlineLevel="0" collapsed="false">
      <c r="A266" s="2" t="n">
        <v>1498</v>
      </c>
      <c r="B266" s="2" t="s">
        <v>1224</v>
      </c>
      <c r="C266" s="2" t="s">
        <v>1179</v>
      </c>
      <c r="D266" s="2" t="s">
        <v>25</v>
      </c>
      <c r="E266" s="2" t="s">
        <v>3798</v>
      </c>
      <c r="F266" s="2" t="s">
        <v>3625</v>
      </c>
      <c r="G266" s="2" t="s">
        <v>3592</v>
      </c>
      <c r="H266" s="5" t="n">
        <v>3</v>
      </c>
      <c r="I266" s="5" t="s">
        <v>18</v>
      </c>
      <c r="J266" s="5" t="s">
        <v>19</v>
      </c>
      <c r="K266" s="5" t="s">
        <v>21</v>
      </c>
      <c r="L266" s="5" t="n">
        <v>800</v>
      </c>
      <c r="M266" s="5" t="n">
        <v>2400</v>
      </c>
      <c r="N266" s="6" t="n">
        <f aca="false">L266*0.6*H266</f>
        <v>1440</v>
      </c>
      <c r="O266" s="6" t="n">
        <f aca="false">M266-N266</f>
        <v>960</v>
      </c>
      <c r="P266" s="7" t="n">
        <f aca="false">IF(M266=0,0,O266/M266)</f>
        <v>0.4</v>
      </c>
    </row>
    <row r="267" customFormat="false" ht="15" hidden="false" customHeight="false" outlineLevel="0" collapsed="false">
      <c r="A267" s="3" t="n">
        <v>1499</v>
      </c>
      <c r="B267" s="3" t="s">
        <v>1228</v>
      </c>
      <c r="C267" s="3" t="s">
        <v>283</v>
      </c>
      <c r="D267" s="3" t="s">
        <v>108</v>
      </c>
      <c r="E267" s="3" t="s">
        <v>3771</v>
      </c>
      <c r="F267" s="3" t="s">
        <v>3606</v>
      </c>
      <c r="G267" s="3" t="s">
        <v>3600</v>
      </c>
      <c r="H267" s="8" t="n">
        <v>1</v>
      </c>
      <c r="I267" s="8" t="s">
        <v>51</v>
      </c>
      <c r="J267" s="8" t="s">
        <v>43</v>
      </c>
      <c r="K267" s="8" t="s">
        <v>45</v>
      </c>
      <c r="L267" s="8" t="n">
        <v>1200</v>
      </c>
      <c r="M267" s="8" t="n">
        <v>1200</v>
      </c>
      <c r="N267" s="6" t="n">
        <f aca="false">L267*0.6*H267</f>
        <v>720</v>
      </c>
      <c r="O267" s="6" t="n">
        <f aca="false">M267-N267</f>
        <v>480</v>
      </c>
      <c r="P267" s="7" t="n">
        <f aca="false">IF(M267=0,0,O267/M267)</f>
        <v>0.4</v>
      </c>
    </row>
    <row r="268" customFormat="false" ht="15" hidden="false" customHeight="false" outlineLevel="0" collapsed="false">
      <c r="A268" s="2" t="n">
        <v>1500</v>
      </c>
      <c r="B268" s="2" t="s">
        <v>1232</v>
      </c>
      <c r="C268" s="2" t="s">
        <v>1231</v>
      </c>
      <c r="D268" s="2" t="s">
        <v>108</v>
      </c>
      <c r="E268" s="2" t="s">
        <v>3793</v>
      </c>
      <c r="F268" s="2" t="s">
        <v>3625</v>
      </c>
      <c r="G268" s="2" t="s">
        <v>3592</v>
      </c>
      <c r="H268" s="5" t="n">
        <v>1</v>
      </c>
      <c r="I268" s="5" t="s">
        <v>51</v>
      </c>
      <c r="J268" s="5" t="s">
        <v>43</v>
      </c>
      <c r="K268" s="5" t="s">
        <v>111</v>
      </c>
      <c r="L268" s="5" t="n">
        <v>1200</v>
      </c>
      <c r="M268" s="5" t="n">
        <v>1200</v>
      </c>
      <c r="N268" s="6" t="n">
        <f aca="false">L268*0.6*H268</f>
        <v>720</v>
      </c>
      <c r="O268" s="6" t="n">
        <f aca="false">M268-N268</f>
        <v>480</v>
      </c>
      <c r="P268" s="7" t="n">
        <f aca="false">IF(M268=0,0,O268/M268)</f>
        <v>0.4</v>
      </c>
    </row>
    <row r="269" customFormat="false" ht="15" hidden="false" customHeight="false" outlineLevel="0" collapsed="false">
      <c r="A269" s="3" t="n">
        <v>1501</v>
      </c>
      <c r="B269" s="3" t="s">
        <v>1236</v>
      </c>
      <c r="C269" s="3" t="s">
        <v>1235</v>
      </c>
      <c r="D269" s="3" t="s">
        <v>108</v>
      </c>
      <c r="E269" s="3" t="s">
        <v>3736</v>
      </c>
      <c r="F269" s="3" t="s">
        <v>3599</v>
      </c>
      <c r="G269" s="3" t="s">
        <v>3600</v>
      </c>
      <c r="H269" s="8" t="n">
        <v>3</v>
      </c>
      <c r="I269" s="8" t="s">
        <v>18</v>
      </c>
      <c r="J269" s="8" t="s">
        <v>52</v>
      </c>
      <c r="K269" s="8" t="s">
        <v>54</v>
      </c>
      <c r="L269" s="8" t="n">
        <v>1200</v>
      </c>
      <c r="M269" s="8" t="n">
        <v>3600</v>
      </c>
      <c r="N269" s="6" t="n">
        <f aca="false">L269*0.6*H269</f>
        <v>2160</v>
      </c>
      <c r="O269" s="6" t="n">
        <f aca="false">M269-N269</f>
        <v>1440</v>
      </c>
      <c r="P269" s="7" t="n">
        <f aca="false">IF(M269=0,0,O269/M269)</f>
        <v>0.4</v>
      </c>
    </row>
    <row r="270" customFormat="false" ht="15" hidden="false" customHeight="false" outlineLevel="0" collapsed="false">
      <c r="A270" s="2" t="n">
        <v>1502</v>
      </c>
      <c r="B270" s="2" t="s">
        <v>1240</v>
      </c>
      <c r="C270" s="2" t="s">
        <v>1239</v>
      </c>
      <c r="D270" s="2" t="s">
        <v>49</v>
      </c>
      <c r="E270" s="2" t="s">
        <v>3633</v>
      </c>
      <c r="F270" s="2" t="s">
        <v>3603</v>
      </c>
      <c r="G270" s="2" t="s">
        <v>3604</v>
      </c>
      <c r="H270" s="5" t="n">
        <v>2</v>
      </c>
      <c r="I270" s="5" t="s">
        <v>51</v>
      </c>
      <c r="J270" s="5" t="s">
        <v>28</v>
      </c>
      <c r="K270" s="5" t="s">
        <v>30</v>
      </c>
      <c r="L270" s="5" t="n">
        <v>250</v>
      </c>
      <c r="M270" s="5" t="n">
        <v>500</v>
      </c>
      <c r="N270" s="6" t="n">
        <f aca="false">L270*0.6*H270</f>
        <v>300</v>
      </c>
      <c r="O270" s="6" t="n">
        <f aca="false">M270-N270</f>
        <v>200</v>
      </c>
      <c r="P270" s="7" t="n">
        <f aca="false">IF(M270=0,0,O270/M270)</f>
        <v>0.4</v>
      </c>
    </row>
    <row r="271" customFormat="false" ht="15" hidden="false" customHeight="false" outlineLevel="0" collapsed="false">
      <c r="A271" s="3" t="n">
        <v>1503</v>
      </c>
      <c r="B271" s="3" t="s">
        <v>1244</v>
      </c>
      <c r="C271" s="3" t="s">
        <v>1243</v>
      </c>
      <c r="D271" s="3" t="s">
        <v>34</v>
      </c>
      <c r="E271" s="3" t="s">
        <v>3778</v>
      </c>
      <c r="F271" s="3" t="s">
        <v>1756</v>
      </c>
      <c r="G271" s="3" t="s">
        <v>3595</v>
      </c>
      <c r="H271" s="8" t="n">
        <v>2</v>
      </c>
      <c r="I271" s="8" t="s">
        <v>51</v>
      </c>
      <c r="J271" s="8" t="s">
        <v>28</v>
      </c>
      <c r="K271" s="8" t="s">
        <v>30</v>
      </c>
      <c r="L271" s="8" t="n">
        <v>300</v>
      </c>
      <c r="M271" s="8" t="n">
        <v>600</v>
      </c>
      <c r="N271" s="6" t="n">
        <f aca="false">L271*0.6*H271</f>
        <v>360</v>
      </c>
      <c r="O271" s="6" t="n">
        <f aca="false">M271-N271</f>
        <v>240</v>
      </c>
      <c r="P271" s="7" t="n">
        <f aca="false">IF(M271=0,0,O271/M271)</f>
        <v>0.4</v>
      </c>
    </row>
    <row r="272" customFormat="false" ht="15" hidden="false" customHeight="false" outlineLevel="0" collapsed="false">
      <c r="A272" s="2" t="n">
        <v>1504</v>
      </c>
      <c r="B272" s="2" t="s">
        <v>711</v>
      </c>
      <c r="C272" s="2" t="s">
        <v>1247</v>
      </c>
      <c r="D272" s="2" t="s">
        <v>108</v>
      </c>
      <c r="E272" s="2" t="s">
        <v>3799</v>
      </c>
      <c r="F272" s="2" t="s">
        <v>2379</v>
      </c>
      <c r="G272" s="2" t="s">
        <v>3592</v>
      </c>
      <c r="H272" s="5" t="n">
        <v>2</v>
      </c>
      <c r="I272" s="5" t="s">
        <v>18</v>
      </c>
      <c r="J272" s="5" t="s">
        <v>78</v>
      </c>
      <c r="K272" s="5" t="s">
        <v>86</v>
      </c>
      <c r="L272" s="5" t="n">
        <v>1200</v>
      </c>
      <c r="M272" s="5" t="n">
        <v>2400</v>
      </c>
      <c r="N272" s="6" t="n">
        <f aca="false">L272*0.6*H272</f>
        <v>1440</v>
      </c>
      <c r="O272" s="6" t="n">
        <f aca="false">M272-N272</f>
        <v>960</v>
      </c>
      <c r="P272" s="7" t="n">
        <f aca="false">IF(M272=0,0,O272/M272)</f>
        <v>0.4</v>
      </c>
    </row>
    <row r="273" customFormat="false" ht="15" hidden="false" customHeight="false" outlineLevel="0" collapsed="false">
      <c r="A273" s="3" t="n">
        <v>1505</v>
      </c>
      <c r="B273" s="3" t="s">
        <v>1252</v>
      </c>
      <c r="C273" s="3" t="s">
        <v>1251</v>
      </c>
      <c r="D273" s="3" t="s">
        <v>49</v>
      </c>
      <c r="E273" s="3" t="s">
        <v>3692</v>
      </c>
      <c r="F273" s="3" t="s">
        <v>3599</v>
      </c>
      <c r="G273" s="3" t="s">
        <v>3600</v>
      </c>
      <c r="H273" s="8" t="n">
        <v>1</v>
      </c>
      <c r="I273" s="8" t="s">
        <v>18</v>
      </c>
      <c r="J273" s="8" t="s">
        <v>59</v>
      </c>
      <c r="K273" s="8" t="s">
        <v>61</v>
      </c>
      <c r="L273" s="8" t="n">
        <v>250</v>
      </c>
      <c r="M273" s="8" t="n">
        <v>250</v>
      </c>
      <c r="N273" s="6" t="n">
        <f aca="false">L273*0.6*H273</f>
        <v>150</v>
      </c>
      <c r="O273" s="6" t="n">
        <f aca="false">M273-N273</f>
        <v>100</v>
      </c>
      <c r="P273" s="7" t="n">
        <f aca="false">IF(M273=0,0,O273/M273)</f>
        <v>0.4</v>
      </c>
    </row>
    <row r="274" customFormat="false" ht="15" hidden="false" customHeight="false" outlineLevel="0" collapsed="false">
      <c r="A274" s="2" t="n">
        <v>1506</v>
      </c>
      <c r="B274" s="2" t="s">
        <v>173</v>
      </c>
      <c r="C274" s="2" t="s">
        <v>1255</v>
      </c>
      <c r="D274" s="2" t="s">
        <v>16</v>
      </c>
      <c r="E274" s="2" t="s">
        <v>3800</v>
      </c>
      <c r="F274" s="2" t="s">
        <v>3599</v>
      </c>
      <c r="G274" s="2" t="s">
        <v>3600</v>
      </c>
      <c r="H274" s="5" t="n">
        <v>2</v>
      </c>
      <c r="I274" s="5" t="s">
        <v>51</v>
      </c>
      <c r="J274" s="5" t="s">
        <v>36</v>
      </c>
      <c r="K274" s="5" t="s">
        <v>38</v>
      </c>
      <c r="L274" s="5" t="n">
        <v>250</v>
      </c>
      <c r="M274" s="5" t="n">
        <v>500</v>
      </c>
      <c r="N274" s="6" t="n">
        <f aca="false">L274*0.6*H274</f>
        <v>300</v>
      </c>
      <c r="O274" s="6" t="n">
        <f aca="false">M274-N274</f>
        <v>200</v>
      </c>
      <c r="P274" s="7" t="n">
        <f aca="false">IF(M274=0,0,O274/M274)</f>
        <v>0.4</v>
      </c>
    </row>
    <row r="275" customFormat="false" ht="15" hidden="false" customHeight="false" outlineLevel="0" collapsed="false">
      <c r="A275" s="3" t="n">
        <v>1507</v>
      </c>
      <c r="B275" s="3" t="s">
        <v>610</v>
      </c>
      <c r="C275" s="3" t="s">
        <v>1259</v>
      </c>
      <c r="D275" s="3" t="s">
        <v>108</v>
      </c>
      <c r="E275" s="3" t="s">
        <v>3645</v>
      </c>
      <c r="F275" s="3" t="s">
        <v>3628</v>
      </c>
      <c r="G275" s="3" t="s">
        <v>3595</v>
      </c>
      <c r="H275" s="8" t="n">
        <v>3</v>
      </c>
      <c r="I275" s="8" t="s">
        <v>18</v>
      </c>
      <c r="J275" s="8" t="s">
        <v>43</v>
      </c>
      <c r="K275" s="8" t="s">
        <v>111</v>
      </c>
      <c r="L275" s="8" t="n">
        <v>1200</v>
      </c>
      <c r="M275" s="8" t="n">
        <v>3600</v>
      </c>
      <c r="N275" s="6" t="n">
        <f aca="false">L275*0.6*H275</f>
        <v>2160</v>
      </c>
      <c r="O275" s="6" t="n">
        <f aca="false">M275-N275</f>
        <v>1440</v>
      </c>
      <c r="P275" s="7" t="n">
        <f aca="false">IF(M275=0,0,O275/M275)</f>
        <v>0.4</v>
      </c>
    </row>
    <row r="276" customFormat="false" ht="15" hidden="false" customHeight="false" outlineLevel="0" collapsed="false">
      <c r="A276" s="2" t="n">
        <v>1508</v>
      </c>
      <c r="B276" s="2" t="s">
        <v>515</v>
      </c>
      <c r="C276" s="2" t="s">
        <v>239</v>
      </c>
      <c r="D276" s="2" t="s">
        <v>108</v>
      </c>
      <c r="E276" s="2" t="s">
        <v>3801</v>
      </c>
      <c r="F276" s="2" t="s">
        <v>3628</v>
      </c>
      <c r="G276" s="2" t="s">
        <v>3595</v>
      </c>
      <c r="H276" s="5" t="n">
        <v>1</v>
      </c>
      <c r="I276" s="5" t="s">
        <v>18</v>
      </c>
      <c r="J276" s="5" t="s">
        <v>52</v>
      </c>
      <c r="K276" s="5" t="s">
        <v>92</v>
      </c>
      <c r="L276" s="5" t="n">
        <v>1200</v>
      </c>
      <c r="M276" s="5" t="n">
        <v>1200</v>
      </c>
      <c r="N276" s="6" t="n">
        <f aca="false">L276*0.6*H276</f>
        <v>720</v>
      </c>
      <c r="O276" s="6" t="n">
        <f aca="false">M276-N276</f>
        <v>480</v>
      </c>
      <c r="P276" s="7" t="n">
        <f aca="false">IF(M276=0,0,O276/M276)</f>
        <v>0.4</v>
      </c>
    </row>
    <row r="277" customFormat="false" ht="15" hidden="false" customHeight="false" outlineLevel="0" collapsed="false">
      <c r="A277" s="3" t="n">
        <v>1509</v>
      </c>
      <c r="B277" s="3" t="s">
        <v>89</v>
      </c>
      <c r="C277" s="3" t="s">
        <v>1265</v>
      </c>
      <c r="D277" s="3" t="s">
        <v>25</v>
      </c>
      <c r="E277" s="3" t="s">
        <v>3802</v>
      </c>
      <c r="F277" s="3" t="s">
        <v>3613</v>
      </c>
      <c r="G277" s="3" t="s">
        <v>3604</v>
      </c>
      <c r="H277" s="8" t="n">
        <v>3</v>
      </c>
      <c r="I277" s="8" t="s">
        <v>18</v>
      </c>
      <c r="J277" s="8" t="s">
        <v>19</v>
      </c>
      <c r="K277" s="8" t="s">
        <v>73</v>
      </c>
      <c r="L277" s="8" t="n">
        <v>800</v>
      </c>
      <c r="M277" s="8" t="n">
        <v>2400</v>
      </c>
      <c r="N277" s="6" t="n">
        <f aca="false">L277*0.6*H277</f>
        <v>1440</v>
      </c>
      <c r="O277" s="6" t="n">
        <f aca="false">M277-N277</f>
        <v>960</v>
      </c>
      <c r="P277" s="7" t="n">
        <f aca="false">IF(M277=0,0,O277/M277)</f>
        <v>0.4</v>
      </c>
    </row>
    <row r="278" customFormat="false" ht="15" hidden="false" customHeight="false" outlineLevel="0" collapsed="false">
      <c r="A278" s="2" t="n">
        <v>1510</v>
      </c>
      <c r="B278" s="2" t="s">
        <v>195</v>
      </c>
      <c r="C278" s="2" t="s">
        <v>1269</v>
      </c>
      <c r="D278" s="2" t="s">
        <v>49</v>
      </c>
      <c r="E278" s="2" t="s">
        <v>3803</v>
      </c>
      <c r="F278" s="2" t="s">
        <v>3606</v>
      </c>
      <c r="G278" s="2" t="s">
        <v>3600</v>
      </c>
      <c r="H278" s="5" t="n">
        <v>1</v>
      </c>
      <c r="I278" s="5" t="s">
        <v>27</v>
      </c>
      <c r="J278" s="5" t="s">
        <v>28</v>
      </c>
      <c r="K278" s="5" t="s">
        <v>30</v>
      </c>
      <c r="L278" s="5" t="n">
        <v>250</v>
      </c>
      <c r="M278" s="5" t="n">
        <v>250</v>
      </c>
      <c r="N278" s="6" t="n">
        <f aca="false">L278*0.6*H278</f>
        <v>150</v>
      </c>
      <c r="O278" s="6" t="n">
        <f aca="false">M278-N278</f>
        <v>100</v>
      </c>
      <c r="P278" s="7" t="n">
        <f aca="false">IF(M278=0,0,O278/M278)</f>
        <v>0.4</v>
      </c>
    </row>
    <row r="279" customFormat="false" ht="15" hidden="false" customHeight="false" outlineLevel="0" collapsed="false">
      <c r="A279" s="3" t="n">
        <v>1511</v>
      </c>
      <c r="B279" s="3" t="s">
        <v>1273</v>
      </c>
      <c r="C279" s="3" t="s">
        <v>1216</v>
      </c>
      <c r="D279" s="3" t="s">
        <v>147</v>
      </c>
      <c r="E279" s="3" t="s">
        <v>3699</v>
      </c>
      <c r="F279" s="3" t="s">
        <v>3591</v>
      </c>
      <c r="G279" s="3" t="s">
        <v>3592</v>
      </c>
      <c r="H279" s="8" t="n">
        <v>1</v>
      </c>
      <c r="I279" s="8" t="s">
        <v>27</v>
      </c>
      <c r="J279" s="8" t="s">
        <v>36</v>
      </c>
      <c r="K279" s="8" t="s">
        <v>192</v>
      </c>
      <c r="L279" s="8" t="n">
        <v>600</v>
      </c>
      <c r="M279" s="8" t="n">
        <v>600</v>
      </c>
      <c r="N279" s="6" t="n">
        <f aca="false">L279*0.6*H279</f>
        <v>360</v>
      </c>
      <c r="O279" s="6" t="n">
        <f aca="false">M279-N279</f>
        <v>240</v>
      </c>
      <c r="P279" s="7" t="n">
        <f aca="false">IF(M279=0,0,O279/M279)</f>
        <v>0.4</v>
      </c>
    </row>
    <row r="280" customFormat="false" ht="15" hidden="false" customHeight="false" outlineLevel="0" collapsed="false">
      <c r="A280" s="2" t="n">
        <v>1512</v>
      </c>
      <c r="B280" s="2" t="s">
        <v>1277</v>
      </c>
      <c r="C280" s="2" t="s">
        <v>1276</v>
      </c>
      <c r="D280" s="2" t="s">
        <v>34</v>
      </c>
      <c r="E280" s="2" t="s">
        <v>3804</v>
      </c>
      <c r="F280" s="2" t="s">
        <v>3625</v>
      </c>
      <c r="G280" s="2" t="s">
        <v>3592</v>
      </c>
      <c r="H280" s="5" t="n">
        <v>3</v>
      </c>
      <c r="I280" s="5" t="s">
        <v>18</v>
      </c>
      <c r="J280" s="5" t="s">
        <v>121</v>
      </c>
      <c r="K280" s="5" t="s">
        <v>123</v>
      </c>
      <c r="L280" s="5" t="n">
        <v>300</v>
      </c>
      <c r="M280" s="5" t="n">
        <v>900</v>
      </c>
      <c r="N280" s="6" t="n">
        <f aca="false">L280*0.6*H280</f>
        <v>540</v>
      </c>
      <c r="O280" s="6" t="n">
        <f aca="false">M280-N280</f>
        <v>360</v>
      </c>
      <c r="P280" s="7" t="n">
        <f aca="false">IF(M280=0,0,O280/M280)</f>
        <v>0.4</v>
      </c>
    </row>
    <row r="281" customFormat="false" ht="15" hidden="false" customHeight="false" outlineLevel="0" collapsed="false">
      <c r="A281" s="3" t="n">
        <v>1513</v>
      </c>
      <c r="B281" s="3" t="s">
        <v>562</v>
      </c>
      <c r="C281" s="3" t="s">
        <v>1281</v>
      </c>
      <c r="D281" s="3" t="s">
        <v>34</v>
      </c>
      <c r="E281" s="3" t="s">
        <v>3805</v>
      </c>
      <c r="F281" s="3" t="s">
        <v>3594</v>
      </c>
      <c r="G281" s="3" t="s">
        <v>3595</v>
      </c>
      <c r="H281" s="8" t="n">
        <v>1</v>
      </c>
      <c r="I281" s="8" t="s">
        <v>18</v>
      </c>
      <c r="J281" s="8" t="s">
        <v>78</v>
      </c>
      <c r="K281" s="8" t="s">
        <v>408</v>
      </c>
      <c r="L281" s="8" t="n">
        <v>300</v>
      </c>
      <c r="M281" s="8" t="n">
        <v>300</v>
      </c>
      <c r="N281" s="6" t="n">
        <f aca="false">L281*0.6*H281</f>
        <v>180</v>
      </c>
      <c r="O281" s="6" t="n">
        <f aca="false">M281-N281</f>
        <v>120</v>
      </c>
      <c r="P281" s="7" t="n">
        <f aca="false">IF(M281=0,0,O281/M281)</f>
        <v>0.4</v>
      </c>
    </row>
    <row r="282" customFormat="false" ht="15" hidden="false" customHeight="false" outlineLevel="0" collapsed="false">
      <c r="A282" s="2" t="n">
        <v>1514</v>
      </c>
      <c r="B282" s="2" t="s">
        <v>1286</v>
      </c>
      <c r="C282" s="2" t="s">
        <v>1285</v>
      </c>
      <c r="D282" s="2" t="s">
        <v>25</v>
      </c>
      <c r="E282" s="2" t="s">
        <v>3806</v>
      </c>
      <c r="F282" s="2" t="s">
        <v>3608</v>
      </c>
      <c r="G282" s="2" t="s">
        <v>3604</v>
      </c>
      <c r="H282" s="5" t="n">
        <v>3</v>
      </c>
      <c r="I282" s="5" t="s">
        <v>18</v>
      </c>
      <c r="J282" s="5" t="s">
        <v>28</v>
      </c>
      <c r="K282" s="5" t="s">
        <v>30</v>
      </c>
      <c r="L282" s="5" t="n">
        <v>800</v>
      </c>
      <c r="M282" s="5" t="n">
        <v>2400</v>
      </c>
      <c r="N282" s="6" t="n">
        <f aca="false">L282*0.6*H282</f>
        <v>1440</v>
      </c>
      <c r="O282" s="6" t="n">
        <f aca="false">M282-N282</f>
        <v>960</v>
      </c>
      <c r="P282" s="7" t="n">
        <f aca="false">IF(M282=0,0,O282/M282)</f>
        <v>0.4</v>
      </c>
    </row>
    <row r="283" customFormat="false" ht="15" hidden="false" customHeight="false" outlineLevel="0" collapsed="false">
      <c r="A283" s="3" t="n">
        <v>1515</v>
      </c>
      <c r="B283" s="3" t="s">
        <v>1291</v>
      </c>
      <c r="C283" s="3" t="s">
        <v>1290</v>
      </c>
      <c r="D283" s="3" t="s">
        <v>34</v>
      </c>
      <c r="E283" s="3" t="s">
        <v>3807</v>
      </c>
      <c r="F283" s="3" t="s">
        <v>3591</v>
      </c>
      <c r="G283" s="3" t="s">
        <v>3592</v>
      </c>
      <c r="H283" s="8" t="n">
        <v>2</v>
      </c>
      <c r="I283" s="8" t="s">
        <v>51</v>
      </c>
      <c r="J283" s="8" t="s">
        <v>59</v>
      </c>
      <c r="K283" s="8" t="s">
        <v>292</v>
      </c>
      <c r="L283" s="8" t="n">
        <v>300</v>
      </c>
      <c r="M283" s="8" t="n">
        <v>600</v>
      </c>
      <c r="N283" s="6" t="n">
        <f aca="false">L283*0.6*H283</f>
        <v>360</v>
      </c>
      <c r="O283" s="6" t="n">
        <f aca="false">M283-N283</f>
        <v>240</v>
      </c>
      <c r="P283" s="7" t="n">
        <f aca="false">IF(M283=0,0,O283/M283)</f>
        <v>0.4</v>
      </c>
    </row>
    <row r="284" customFormat="false" ht="15" hidden="false" customHeight="false" outlineLevel="0" collapsed="false">
      <c r="A284" s="2" t="n">
        <v>1516</v>
      </c>
      <c r="B284" s="2" t="s">
        <v>1198</v>
      </c>
      <c r="C284" s="2" t="s">
        <v>1295</v>
      </c>
      <c r="D284" s="2" t="s">
        <v>34</v>
      </c>
      <c r="E284" s="2" t="s">
        <v>3808</v>
      </c>
      <c r="F284" s="2" t="s">
        <v>3608</v>
      </c>
      <c r="G284" s="2" t="s">
        <v>3604</v>
      </c>
      <c r="H284" s="5" t="n">
        <v>1</v>
      </c>
      <c r="I284" s="5" t="s">
        <v>97</v>
      </c>
      <c r="J284" s="5" t="s">
        <v>28</v>
      </c>
      <c r="K284" s="5" t="s">
        <v>30</v>
      </c>
      <c r="L284" s="5" t="n">
        <v>300</v>
      </c>
      <c r="M284" s="5" t="n">
        <v>300</v>
      </c>
      <c r="N284" s="6" t="n">
        <f aca="false">L284*0.6*H284</f>
        <v>180</v>
      </c>
      <c r="O284" s="6" t="n">
        <f aca="false">M284-N284</f>
        <v>120</v>
      </c>
      <c r="P284" s="7" t="n">
        <f aca="false">IF(M284=0,0,O284/M284)</f>
        <v>0.4</v>
      </c>
    </row>
    <row r="285" customFormat="false" ht="15" hidden="false" customHeight="false" outlineLevel="0" collapsed="false">
      <c r="A285" s="3" t="n">
        <v>1517</v>
      </c>
      <c r="B285" s="3" t="s">
        <v>1299</v>
      </c>
      <c r="C285" s="3" t="s">
        <v>179</v>
      </c>
      <c r="D285" s="3" t="s">
        <v>147</v>
      </c>
      <c r="E285" s="3" t="s">
        <v>3765</v>
      </c>
      <c r="F285" s="3" t="s">
        <v>3594</v>
      </c>
      <c r="G285" s="3" t="s">
        <v>3595</v>
      </c>
      <c r="H285" s="8" t="n">
        <v>2</v>
      </c>
      <c r="I285" s="8" t="s">
        <v>51</v>
      </c>
      <c r="J285" s="8" t="s">
        <v>78</v>
      </c>
      <c r="K285" s="8" t="s">
        <v>86</v>
      </c>
      <c r="L285" s="8" t="n">
        <v>600</v>
      </c>
      <c r="M285" s="8" t="n">
        <v>1200</v>
      </c>
      <c r="N285" s="6" t="n">
        <f aca="false">L285*0.6*H285</f>
        <v>720</v>
      </c>
      <c r="O285" s="6" t="n">
        <f aca="false">M285-N285</f>
        <v>480</v>
      </c>
      <c r="P285" s="7" t="n">
        <f aca="false">IF(M285=0,0,O285/M285)</f>
        <v>0.4</v>
      </c>
    </row>
    <row r="286" customFormat="false" ht="15" hidden="false" customHeight="false" outlineLevel="0" collapsed="false">
      <c r="A286" s="2" t="n">
        <v>1518</v>
      </c>
      <c r="B286" s="2" t="s">
        <v>1302</v>
      </c>
      <c r="C286" s="2" t="s">
        <v>1228</v>
      </c>
      <c r="D286" s="2" t="s">
        <v>108</v>
      </c>
      <c r="E286" s="2" t="s">
        <v>3770</v>
      </c>
      <c r="F286" s="2" t="s">
        <v>3591</v>
      </c>
      <c r="G286" s="2" t="s">
        <v>3592</v>
      </c>
      <c r="H286" s="5" t="n">
        <v>1</v>
      </c>
      <c r="I286" s="5" t="s">
        <v>97</v>
      </c>
      <c r="J286" s="5" t="s">
        <v>36</v>
      </c>
      <c r="K286" s="5" t="s">
        <v>192</v>
      </c>
      <c r="L286" s="5" t="n">
        <v>1200</v>
      </c>
      <c r="M286" s="5" t="n">
        <v>1200</v>
      </c>
      <c r="N286" s="6" t="n">
        <f aca="false">L286*0.6*H286</f>
        <v>720</v>
      </c>
      <c r="O286" s="6" t="n">
        <f aca="false">M286-N286</f>
        <v>480</v>
      </c>
      <c r="P286" s="7" t="n">
        <f aca="false">IF(M286=0,0,O286/M286)</f>
        <v>0.4</v>
      </c>
    </row>
    <row r="287" customFormat="false" ht="15" hidden="false" customHeight="false" outlineLevel="0" collapsed="false">
      <c r="A287" s="3" t="n">
        <v>1519</v>
      </c>
      <c r="B287" s="3" t="s">
        <v>1306</v>
      </c>
      <c r="C287" s="3" t="s">
        <v>1305</v>
      </c>
      <c r="D287" s="3" t="s">
        <v>147</v>
      </c>
      <c r="E287" s="3" t="s">
        <v>3644</v>
      </c>
      <c r="F287" s="3" t="s">
        <v>3606</v>
      </c>
      <c r="G287" s="3" t="s">
        <v>3600</v>
      </c>
      <c r="H287" s="8" t="n">
        <v>1</v>
      </c>
      <c r="I287" s="8" t="s">
        <v>18</v>
      </c>
      <c r="J287" s="8" t="s">
        <v>59</v>
      </c>
      <c r="K287" s="8" t="s">
        <v>61</v>
      </c>
      <c r="L287" s="8" t="n">
        <v>600</v>
      </c>
      <c r="M287" s="8" t="n">
        <v>600</v>
      </c>
      <c r="N287" s="6" t="n">
        <f aca="false">L287*0.6*H287</f>
        <v>360</v>
      </c>
      <c r="O287" s="6" t="n">
        <f aca="false">M287-N287</f>
        <v>240</v>
      </c>
      <c r="P287" s="7" t="n">
        <f aca="false">IF(M287=0,0,O287/M287)</f>
        <v>0.4</v>
      </c>
    </row>
    <row r="288" customFormat="false" ht="15" hidden="false" customHeight="false" outlineLevel="0" collapsed="false">
      <c r="A288" s="2" t="n">
        <v>1520</v>
      </c>
      <c r="B288" s="2" t="s">
        <v>891</v>
      </c>
      <c r="C288" s="2" t="s">
        <v>1309</v>
      </c>
      <c r="D288" s="2" t="s">
        <v>49</v>
      </c>
      <c r="E288" s="2" t="s">
        <v>3809</v>
      </c>
      <c r="F288" s="2" t="s">
        <v>3591</v>
      </c>
      <c r="G288" s="2" t="s">
        <v>3592</v>
      </c>
      <c r="H288" s="5" t="n">
        <v>2</v>
      </c>
      <c r="I288" s="5" t="s">
        <v>51</v>
      </c>
      <c r="J288" s="5" t="s">
        <v>59</v>
      </c>
      <c r="K288" s="5" t="s">
        <v>99</v>
      </c>
      <c r="L288" s="5" t="n">
        <v>250</v>
      </c>
      <c r="M288" s="5" t="n">
        <v>500</v>
      </c>
      <c r="N288" s="6" t="n">
        <f aca="false">L288*0.6*H288</f>
        <v>300</v>
      </c>
      <c r="O288" s="6" t="n">
        <f aca="false">M288-N288</f>
        <v>200</v>
      </c>
      <c r="P288" s="7" t="n">
        <f aca="false">IF(M288=0,0,O288/M288)</f>
        <v>0.4</v>
      </c>
    </row>
    <row r="289" customFormat="false" ht="15" hidden="false" customHeight="false" outlineLevel="0" collapsed="false">
      <c r="A289" s="3" t="n">
        <v>1521</v>
      </c>
      <c r="B289" s="3" t="s">
        <v>1313</v>
      </c>
      <c r="C289" s="3" t="s">
        <v>491</v>
      </c>
      <c r="D289" s="3" t="s">
        <v>108</v>
      </c>
      <c r="E289" s="3" t="s">
        <v>3810</v>
      </c>
      <c r="F289" s="3" t="s">
        <v>3603</v>
      </c>
      <c r="G289" s="3" t="s">
        <v>3604</v>
      </c>
      <c r="H289" s="8" t="n">
        <v>2</v>
      </c>
      <c r="I289" s="8" t="s">
        <v>18</v>
      </c>
      <c r="J289" s="8" t="s">
        <v>43</v>
      </c>
      <c r="K289" s="8" t="s">
        <v>45</v>
      </c>
      <c r="L289" s="8" t="n">
        <v>1200</v>
      </c>
      <c r="M289" s="8" t="n">
        <v>2400</v>
      </c>
      <c r="N289" s="6" t="n">
        <f aca="false">L289*0.6*H289</f>
        <v>1440</v>
      </c>
      <c r="O289" s="6" t="n">
        <f aca="false">M289-N289</f>
        <v>960</v>
      </c>
      <c r="P289" s="7" t="n">
        <f aca="false">IF(M289=0,0,O289/M289)</f>
        <v>0.4</v>
      </c>
    </row>
    <row r="290" customFormat="false" ht="15" hidden="false" customHeight="false" outlineLevel="0" collapsed="false">
      <c r="A290" s="2" t="n">
        <v>1522</v>
      </c>
      <c r="B290" s="2" t="s">
        <v>1317</v>
      </c>
      <c r="C290" s="2" t="s">
        <v>140</v>
      </c>
      <c r="D290" s="2" t="s">
        <v>108</v>
      </c>
      <c r="E290" s="2" t="s">
        <v>3754</v>
      </c>
      <c r="F290" s="2" t="s">
        <v>3603</v>
      </c>
      <c r="G290" s="2" t="s">
        <v>3604</v>
      </c>
      <c r="H290" s="5" t="n">
        <v>3</v>
      </c>
      <c r="I290" s="5" t="s">
        <v>51</v>
      </c>
      <c r="J290" s="5" t="s">
        <v>43</v>
      </c>
      <c r="K290" s="5" t="s">
        <v>67</v>
      </c>
      <c r="L290" s="5" t="n">
        <v>1200</v>
      </c>
      <c r="M290" s="5" t="n">
        <v>3600</v>
      </c>
      <c r="N290" s="6" t="n">
        <f aca="false">L290*0.6*H290</f>
        <v>2160</v>
      </c>
      <c r="O290" s="6" t="n">
        <f aca="false">M290-N290</f>
        <v>1440</v>
      </c>
      <c r="P290" s="7" t="n">
        <f aca="false">IF(M290=0,0,O290/M290)</f>
        <v>0.4</v>
      </c>
    </row>
    <row r="291" customFormat="false" ht="15" hidden="false" customHeight="false" outlineLevel="0" collapsed="false">
      <c r="A291" s="3" t="n">
        <v>1523</v>
      </c>
      <c r="B291" s="3" t="s">
        <v>1320</v>
      </c>
      <c r="C291" s="3" t="s">
        <v>873</v>
      </c>
      <c r="D291" s="3" t="s">
        <v>34</v>
      </c>
      <c r="E291" s="3" t="s">
        <v>3811</v>
      </c>
      <c r="F291" s="3" t="s">
        <v>3594</v>
      </c>
      <c r="G291" s="3" t="s">
        <v>3595</v>
      </c>
      <c r="H291" s="8" t="n">
        <v>1</v>
      </c>
      <c r="I291" s="8" t="s">
        <v>97</v>
      </c>
      <c r="J291" s="8" t="s">
        <v>43</v>
      </c>
      <c r="K291" s="8" t="s">
        <v>45</v>
      </c>
      <c r="L291" s="8" t="n">
        <v>300</v>
      </c>
      <c r="M291" s="8" t="n">
        <v>300</v>
      </c>
      <c r="N291" s="6" t="n">
        <f aca="false">L291*0.6*H291</f>
        <v>180</v>
      </c>
      <c r="O291" s="6" t="n">
        <f aca="false">M291-N291</f>
        <v>120</v>
      </c>
      <c r="P291" s="7" t="n">
        <f aca="false">IF(M291=0,0,O291/M291)</f>
        <v>0.4</v>
      </c>
    </row>
    <row r="292" customFormat="false" ht="15" hidden="false" customHeight="false" outlineLevel="0" collapsed="false">
      <c r="A292" s="2" t="n">
        <v>1524</v>
      </c>
      <c r="B292" s="2" t="s">
        <v>1302</v>
      </c>
      <c r="C292" s="2" t="s">
        <v>1324</v>
      </c>
      <c r="D292" s="2" t="s">
        <v>16</v>
      </c>
      <c r="E292" s="2" t="s">
        <v>3723</v>
      </c>
      <c r="F292" s="2" t="s">
        <v>3613</v>
      </c>
      <c r="G292" s="2" t="s">
        <v>3604</v>
      </c>
      <c r="H292" s="5" t="n">
        <v>1</v>
      </c>
      <c r="I292" s="5" t="s">
        <v>18</v>
      </c>
      <c r="J292" s="5" t="s">
        <v>121</v>
      </c>
      <c r="K292" s="5" t="s">
        <v>123</v>
      </c>
      <c r="L292" s="5" t="n">
        <v>250</v>
      </c>
      <c r="M292" s="5" t="n">
        <v>250</v>
      </c>
      <c r="N292" s="6" t="n">
        <f aca="false">L292*0.6*H292</f>
        <v>150</v>
      </c>
      <c r="O292" s="6" t="n">
        <f aca="false">M292-N292</f>
        <v>100</v>
      </c>
      <c r="P292" s="7" t="n">
        <f aca="false">IF(M292=0,0,O292/M292)</f>
        <v>0.4</v>
      </c>
    </row>
    <row r="293" customFormat="false" ht="15" hidden="false" customHeight="false" outlineLevel="0" collapsed="false">
      <c r="A293" s="3" t="n">
        <v>1525</v>
      </c>
      <c r="B293" s="3" t="s">
        <v>501</v>
      </c>
      <c r="C293" s="3" t="s">
        <v>1327</v>
      </c>
      <c r="D293" s="3" t="s">
        <v>108</v>
      </c>
      <c r="E293" s="3" t="s">
        <v>3812</v>
      </c>
      <c r="F293" s="3" t="s">
        <v>3599</v>
      </c>
      <c r="G293" s="3" t="s">
        <v>3600</v>
      </c>
      <c r="H293" s="8" t="n">
        <v>2</v>
      </c>
      <c r="I293" s="8" t="s">
        <v>97</v>
      </c>
      <c r="J293" s="8" t="s">
        <v>28</v>
      </c>
      <c r="K293" s="8" t="s">
        <v>30</v>
      </c>
      <c r="L293" s="8" t="n">
        <v>1200</v>
      </c>
      <c r="M293" s="8" t="n">
        <v>2400</v>
      </c>
      <c r="N293" s="6" t="n">
        <f aca="false">L293*0.6*H293</f>
        <v>1440</v>
      </c>
      <c r="O293" s="6" t="n">
        <f aca="false">M293-N293</f>
        <v>960</v>
      </c>
      <c r="P293" s="7" t="n">
        <f aca="false">IF(M293=0,0,O293/M293)</f>
        <v>0.4</v>
      </c>
    </row>
    <row r="294" customFormat="false" ht="15" hidden="false" customHeight="false" outlineLevel="0" collapsed="false">
      <c r="A294" s="2" t="n">
        <v>1526</v>
      </c>
      <c r="B294" s="2" t="s">
        <v>500</v>
      </c>
      <c r="C294" s="2" t="s">
        <v>309</v>
      </c>
      <c r="D294" s="2" t="s">
        <v>49</v>
      </c>
      <c r="E294" s="2" t="s">
        <v>3664</v>
      </c>
      <c r="F294" s="2" t="s">
        <v>3628</v>
      </c>
      <c r="G294" s="2" t="s">
        <v>3595</v>
      </c>
      <c r="H294" s="5" t="n">
        <v>1</v>
      </c>
      <c r="I294" s="5" t="s">
        <v>18</v>
      </c>
      <c r="J294" s="5" t="s">
        <v>28</v>
      </c>
      <c r="K294" s="5" t="s">
        <v>30</v>
      </c>
      <c r="L294" s="5" t="n">
        <v>250</v>
      </c>
      <c r="M294" s="5" t="n">
        <v>250</v>
      </c>
      <c r="N294" s="6" t="n">
        <f aca="false">L294*0.6*H294</f>
        <v>150</v>
      </c>
      <c r="O294" s="6" t="n">
        <f aca="false">M294-N294</f>
        <v>100</v>
      </c>
      <c r="P294" s="7" t="n">
        <f aca="false">IF(M294=0,0,O294/M294)</f>
        <v>0.4</v>
      </c>
    </row>
    <row r="295" customFormat="false" ht="15" hidden="false" customHeight="false" outlineLevel="0" collapsed="false">
      <c r="A295" s="3" t="n">
        <v>1527</v>
      </c>
      <c r="B295" s="3" t="s">
        <v>1334</v>
      </c>
      <c r="C295" s="3" t="s">
        <v>1333</v>
      </c>
      <c r="D295" s="3" t="s">
        <v>147</v>
      </c>
      <c r="E295" s="3" t="s">
        <v>3659</v>
      </c>
      <c r="F295" s="3" t="s">
        <v>3608</v>
      </c>
      <c r="G295" s="3" t="s">
        <v>3604</v>
      </c>
      <c r="H295" s="8" t="n">
        <v>2</v>
      </c>
      <c r="I295" s="8" t="s">
        <v>18</v>
      </c>
      <c r="J295" s="8" t="s">
        <v>28</v>
      </c>
      <c r="K295" s="8" t="s">
        <v>30</v>
      </c>
      <c r="L295" s="8" t="n">
        <v>600</v>
      </c>
      <c r="M295" s="8" t="n">
        <v>1200</v>
      </c>
      <c r="N295" s="6" t="n">
        <f aca="false">L295*0.6*H295</f>
        <v>720</v>
      </c>
      <c r="O295" s="6" t="n">
        <f aca="false">M295-N295</f>
        <v>480</v>
      </c>
      <c r="P295" s="7" t="n">
        <f aca="false">IF(M295=0,0,O295/M295)</f>
        <v>0.4</v>
      </c>
    </row>
    <row r="296" customFormat="false" ht="15" hidden="false" customHeight="false" outlineLevel="0" collapsed="false">
      <c r="A296" s="2" t="n">
        <v>1528</v>
      </c>
      <c r="B296" s="2" t="s">
        <v>371</v>
      </c>
      <c r="C296" s="2" t="s">
        <v>596</v>
      </c>
      <c r="D296" s="2" t="s">
        <v>108</v>
      </c>
      <c r="E296" s="2" t="s">
        <v>3813</v>
      </c>
      <c r="F296" s="2" t="s">
        <v>3606</v>
      </c>
      <c r="G296" s="2" t="s">
        <v>3600</v>
      </c>
      <c r="H296" s="5" t="n">
        <v>3</v>
      </c>
      <c r="I296" s="5" t="s">
        <v>18</v>
      </c>
      <c r="J296" s="5" t="s">
        <v>52</v>
      </c>
      <c r="K296" s="5" t="s">
        <v>92</v>
      </c>
      <c r="L296" s="5" t="n">
        <v>1200</v>
      </c>
      <c r="M296" s="5" t="n">
        <v>3600</v>
      </c>
      <c r="N296" s="6" t="n">
        <f aca="false">L296*0.6*H296</f>
        <v>2160</v>
      </c>
      <c r="O296" s="6" t="n">
        <f aca="false">M296-N296</f>
        <v>1440</v>
      </c>
      <c r="P296" s="7" t="n">
        <f aca="false">IF(M296=0,0,O296/M296)</f>
        <v>0.4</v>
      </c>
    </row>
    <row r="297" customFormat="false" ht="15" hidden="false" customHeight="false" outlineLevel="0" collapsed="false">
      <c r="A297" s="3" t="n">
        <v>1529</v>
      </c>
      <c r="B297" s="3" t="s">
        <v>439</v>
      </c>
      <c r="C297" s="3" t="s">
        <v>1299</v>
      </c>
      <c r="D297" s="3" t="s">
        <v>25</v>
      </c>
      <c r="E297" s="3" t="s">
        <v>3651</v>
      </c>
      <c r="F297" s="3" t="s">
        <v>1756</v>
      </c>
      <c r="G297" s="3" t="s">
        <v>3595</v>
      </c>
      <c r="H297" s="8" t="n">
        <v>2</v>
      </c>
      <c r="I297" s="8" t="s">
        <v>51</v>
      </c>
      <c r="J297" s="8" t="s">
        <v>121</v>
      </c>
      <c r="K297" s="8" t="s">
        <v>123</v>
      </c>
      <c r="L297" s="8" t="n">
        <v>800</v>
      </c>
      <c r="M297" s="8" t="n">
        <v>1600</v>
      </c>
      <c r="N297" s="6" t="n">
        <f aca="false">L297*0.6*H297</f>
        <v>960</v>
      </c>
      <c r="O297" s="6" t="n">
        <f aca="false">M297-N297</f>
        <v>640</v>
      </c>
      <c r="P297" s="7" t="n">
        <f aca="false">IF(M297=0,0,O297/M297)</f>
        <v>0.4</v>
      </c>
    </row>
    <row r="298" customFormat="false" ht="15" hidden="false" customHeight="false" outlineLevel="0" collapsed="false">
      <c r="A298" s="2" t="n">
        <v>1530</v>
      </c>
      <c r="B298" s="2" t="s">
        <v>1343</v>
      </c>
      <c r="C298" s="2" t="s">
        <v>1342</v>
      </c>
      <c r="D298" s="2" t="s">
        <v>108</v>
      </c>
      <c r="E298" s="2" t="s">
        <v>3695</v>
      </c>
      <c r="F298" s="2" t="s">
        <v>1756</v>
      </c>
      <c r="G298" s="2" t="s">
        <v>3595</v>
      </c>
      <c r="H298" s="5" t="n">
        <v>3</v>
      </c>
      <c r="I298" s="5" t="s">
        <v>18</v>
      </c>
      <c r="J298" s="5" t="s">
        <v>28</v>
      </c>
      <c r="K298" s="5" t="s">
        <v>30</v>
      </c>
      <c r="L298" s="5" t="n">
        <v>1200</v>
      </c>
      <c r="M298" s="5" t="n">
        <v>3600</v>
      </c>
      <c r="N298" s="6" t="n">
        <f aca="false">L298*0.6*H298</f>
        <v>2160</v>
      </c>
      <c r="O298" s="6" t="n">
        <f aca="false">M298-N298</f>
        <v>1440</v>
      </c>
      <c r="P298" s="7" t="n">
        <f aca="false">IF(M298=0,0,O298/M298)</f>
        <v>0.4</v>
      </c>
    </row>
    <row r="299" customFormat="false" ht="15" hidden="false" customHeight="false" outlineLevel="0" collapsed="false">
      <c r="A299" s="3" t="n">
        <v>1531</v>
      </c>
      <c r="B299" s="3" t="s">
        <v>1347</v>
      </c>
      <c r="C299" s="3" t="s">
        <v>1346</v>
      </c>
      <c r="D299" s="3" t="s">
        <v>16</v>
      </c>
      <c r="E299" s="3" t="s">
        <v>3672</v>
      </c>
      <c r="F299" s="3" t="s">
        <v>3606</v>
      </c>
      <c r="G299" s="3" t="s">
        <v>3600</v>
      </c>
      <c r="H299" s="8" t="n">
        <v>3</v>
      </c>
      <c r="I299" s="8" t="s">
        <v>18</v>
      </c>
      <c r="J299" s="8" t="s">
        <v>121</v>
      </c>
      <c r="K299" s="8" t="s">
        <v>317</v>
      </c>
      <c r="L299" s="8" t="n">
        <v>250</v>
      </c>
      <c r="M299" s="8" t="n">
        <v>750</v>
      </c>
      <c r="N299" s="6" t="n">
        <f aca="false">L299*0.6*H299</f>
        <v>450</v>
      </c>
      <c r="O299" s="6" t="n">
        <f aca="false">M299-N299</f>
        <v>300</v>
      </c>
      <c r="P299" s="7" t="n">
        <f aca="false">IF(M299=0,0,O299/M299)</f>
        <v>0.4</v>
      </c>
    </row>
    <row r="300" customFormat="false" ht="15" hidden="false" customHeight="false" outlineLevel="0" collapsed="false">
      <c r="A300" s="2" t="n">
        <v>1532</v>
      </c>
      <c r="B300" s="2" t="s">
        <v>434</v>
      </c>
      <c r="C300" s="2" t="s">
        <v>1350</v>
      </c>
      <c r="D300" s="2" t="s">
        <v>34</v>
      </c>
      <c r="E300" s="2" t="s">
        <v>3814</v>
      </c>
      <c r="F300" s="2" t="s">
        <v>2379</v>
      </c>
      <c r="G300" s="2" t="s">
        <v>3592</v>
      </c>
      <c r="H300" s="5" t="n">
        <v>1</v>
      </c>
      <c r="I300" s="5" t="s">
        <v>18</v>
      </c>
      <c r="J300" s="5" t="s">
        <v>43</v>
      </c>
      <c r="K300" s="5" t="s">
        <v>45</v>
      </c>
      <c r="L300" s="5" t="n">
        <v>300</v>
      </c>
      <c r="M300" s="5" t="n">
        <v>300</v>
      </c>
      <c r="N300" s="6" t="n">
        <f aca="false">L300*0.6*H300</f>
        <v>180</v>
      </c>
      <c r="O300" s="6" t="n">
        <f aca="false">M300-N300</f>
        <v>120</v>
      </c>
      <c r="P300" s="7" t="n">
        <f aca="false">IF(M300=0,0,O300/M300)</f>
        <v>0.4</v>
      </c>
    </row>
    <row r="301" customFormat="false" ht="15" hidden="false" customHeight="false" outlineLevel="0" collapsed="false">
      <c r="A301" s="3" t="n">
        <v>1533</v>
      </c>
      <c r="B301" s="3" t="s">
        <v>1355</v>
      </c>
      <c r="C301" s="3" t="s">
        <v>1354</v>
      </c>
      <c r="D301" s="3" t="s">
        <v>34</v>
      </c>
      <c r="E301" s="3" t="s">
        <v>3815</v>
      </c>
      <c r="F301" s="3" t="s">
        <v>3610</v>
      </c>
      <c r="G301" s="3" t="s">
        <v>3600</v>
      </c>
      <c r="H301" s="8" t="n">
        <v>1</v>
      </c>
      <c r="I301" s="8" t="s">
        <v>51</v>
      </c>
      <c r="J301" s="8" t="s">
        <v>52</v>
      </c>
      <c r="K301" s="8" t="s">
        <v>92</v>
      </c>
      <c r="L301" s="8" t="n">
        <v>300</v>
      </c>
      <c r="M301" s="8" t="n">
        <v>300</v>
      </c>
      <c r="N301" s="6" t="n">
        <f aca="false">L301*0.6*H301</f>
        <v>180</v>
      </c>
      <c r="O301" s="6" t="n">
        <f aca="false">M301-N301</f>
        <v>120</v>
      </c>
      <c r="P301" s="7" t="n">
        <f aca="false">IF(M301=0,0,O301/M301)</f>
        <v>0.4</v>
      </c>
    </row>
    <row r="302" customFormat="false" ht="15" hidden="false" customHeight="false" outlineLevel="0" collapsed="false">
      <c r="A302" s="2" t="n">
        <v>1534</v>
      </c>
      <c r="B302" s="2" t="s">
        <v>1360</v>
      </c>
      <c r="C302" s="2" t="s">
        <v>1359</v>
      </c>
      <c r="D302" s="2" t="s">
        <v>25</v>
      </c>
      <c r="E302" s="2" t="s">
        <v>3648</v>
      </c>
      <c r="F302" s="2" t="s">
        <v>3628</v>
      </c>
      <c r="G302" s="2" t="s">
        <v>3595</v>
      </c>
      <c r="H302" s="5" t="n">
        <v>1</v>
      </c>
      <c r="I302" s="5" t="s">
        <v>18</v>
      </c>
      <c r="J302" s="5" t="s">
        <v>52</v>
      </c>
      <c r="K302" s="5" t="s">
        <v>92</v>
      </c>
      <c r="L302" s="5" t="n">
        <v>800</v>
      </c>
      <c r="M302" s="5" t="n">
        <v>800</v>
      </c>
      <c r="N302" s="6" t="n">
        <f aca="false">L302*0.6*H302</f>
        <v>480</v>
      </c>
      <c r="O302" s="6" t="n">
        <f aca="false">M302-N302</f>
        <v>320</v>
      </c>
      <c r="P302" s="7" t="n">
        <f aca="false">IF(M302=0,0,O302/M302)</f>
        <v>0.4</v>
      </c>
    </row>
    <row r="303" customFormat="false" ht="15" hidden="false" customHeight="false" outlineLevel="0" collapsed="false">
      <c r="A303" s="3" t="n">
        <v>1535</v>
      </c>
      <c r="B303" s="3" t="s">
        <v>57</v>
      </c>
      <c r="C303" s="3" t="s">
        <v>1363</v>
      </c>
      <c r="D303" s="3" t="s">
        <v>147</v>
      </c>
      <c r="E303" s="3" t="s">
        <v>3640</v>
      </c>
      <c r="F303" s="3" t="s">
        <v>3613</v>
      </c>
      <c r="G303" s="3" t="s">
        <v>3604</v>
      </c>
      <c r="H303" s="8" t="n">
        <v>1</v>
      </c>
      <c r="I303" s="8" t="s">
        <v>18</v>
      </c>
      <c r="J303" s="8" t="s">
        <v>43</v>
      </c>
      <c r="K303" s="8" t="s">
        <v>67</v>
      </c>
      <c r="L303" s="8" t="n">
        <v>600</v>
      </c>
      <c r="M303" s="8" t="n">
        <v>600</v>
      </c>
      <c r="N303" s="6" t="n">
        <f aca="false">L303*0.6*H303</f>
        <v>360</v>
      </c>
      <c r="O303" s="6" t="n">
        <f aca="false">M303-N303</f>
        <v>240</v>
      </c>
      <c r="P303" s="7" t="n">
        <f aca="false">IF(M303=0,0,O303/M303)</f>
        <v>0.4</v>
      </c>
    </row>
    <row r="304" customFormat="false" ht="15" hidden="false" customHeight="false" outlineLevel="0" collapsed="false">
      <c r="A304" s="2" t="n">
        <v>1536</v>
      </c>
      <c r="B304" s="2" t="s">
        <v>415</v>
      </c>
      <c r="C304" s="2" t="s">
        <v>1366</v>
      </c>
      <c r="D304" s="2" t="s">
        <v>49</v>
      </c>
      <c r="E304" s="2" t="s">
        <v>3702</v>
      </c>
      <c r="F304" s="2" t="s">
        <v>3610</v>
      </c>
      <c r="G304" s="2" t="s">
        <v>3600</v>
      </c>
      <c r="H304" s="5" t="n">
        <v>3</v>
      </c>
      <c r="I304" s="5" t="s">
        <v>27</v>
      </c>
      <c r="J304" s="5" t="s">
        <v>52</v>
      </c>
      <c r="K304" s="5" t="s">
        <v>54</v>
      </c>
      <c r="L304" s="5" t="n">
        <v>250</v>
      </c>
      <c r="M304" s="5" t="n">
        <v>750</v>
      </c>
      <c r="N304" s="6" t="n">
        <f aca="false">L304*0.6*H304</f>
        <v>450</v>
      </c>
      <c r="O304" s="6" t="n">
        <f aca="false">M304-N304</f>
        <v>300</v>
      </c>
      <c r="P304" s="7" t="n">
        <f aca="false">IF(M304=0,0,O304/M304)</f>
        <v>0.4</v>
      </c>
    </row>
    <row r="305" customFormat="false" ht="15" hidden="false" customHeight="false" outlineLevel="0" collapsed="false">
      <c r="A305" s="3" t="n">
        <v>1537</v>
      </c>
      <c r="B305" s="3" t="s">
        <v>240</v>
      </c>
      <c r="C305" s="3" t="s">
        <v>819</v>
      </c>
      <c r="D305" s="3" t="s">
        <v>16</v>
      </c>
      <c r="E305" s="3" t="s">
        <v>3624</v>
      </c>
      <c r="F305" s="3" t="s">
        <v>3625</v>
      </c>
      <c r="G305" s="3" t="s">
        <v>3592</v>
      </c>
      <c r="H305" s="8" t="n">
        <v>1</v>
      </c>
      <c r="I305" s="8" t="s">
        <v>18</v>
      </c>
      <c r="J305" s="8" t="s">
        <v>43</v>
      </c>
      <c r="K305" s="8" t="s">
        <v>67</v>
      </c>
      <c r="L305" s="8" t="n">
        <v>250</v>
      </c>
      <c r="M305" s="8" t="n">
        <v>250</v>
      </c>
      <c r="N305" s="6" t="n">
        <f aca="false">L305*0.6*H305</f>
        <v>150</v>
      </c>
      <c r="O305" s="6" t="n">
        <f aca="false">M305-N305</f>
        <v>100</v>
      </c>
      <c r="P305" s="7" t="n">
        <f aca="false">IF(M305=0,0,O305/M305)</f>
        <v>0.4</v>
      </c>
    </row>
    <row r="306" customFormat="false" ht="15" hidden="false" customHeight="false" outlineLevel="0" collapsed="false">
      <c r="A306" s="2" t="n">
        <v>1538</v>
      </c>
      <c r="B306" s="2" t="s">
        <v>1360</v>
      </c>
      <c r="C306" s="2" t="s">
        <v>1371</v>
      </c>
      <c r="D306" s="2" t="s">
        <v>25</v>
      </c>
      <c r="E306" s="2" t="s">
        <v>3816</v>
      </c>
      <c r="F306" s="2" t="s">
        <v>3625</v>
      </c>
      <c r="G306" s="2" t="s">
        <v>3592</v>
      </c>
      <c r="H306" s="5" t="n">
        <v>1</v>
      </c>
      <c r="I306" s="5" t="s">
        <v>51</v>
      </c>
      <c r="J306" s="5" t="s">
        <v>19</v>
      </c>
      <c r="K306" s="5" t="s">
        <v>176</v>
      </c>
      <c r="L306" s="5" t="n">
        <v>800</v>
      </c>
      <c r="M306" s="5" t="n">
        <v>800</v>
      </c>
      <c r="N306" s="6" t="n">
        <f aca="false">L306*0.6*H306</f>
        <v>480</v>
      </c>
      <c r="O306" s="6" t="n">
        <f aca="false">M306-N306</f>
        <v>320</v>
      </c>
      <c r="P306" s="7" t="n">
        <f aca="false">IF(M306=0,0,O306/M306)</f>
        <v>0.4</v>
      </c>
    </row>
    <row r="307" customFormat="false" ht="15" hidden="false" customHeight="false" outlineLevel="0" collapsed="false">
      <c r="A307" s="3" t="n">
        <v>1539</v>
      </c>
      <c r="B307" s="3" t="s">
        <v>1376</v>
      </c>
      <c r="C307" s="3" t="s">
        <v>1375</v>
      </c>
      <c r="D307" s="3" t="s">
        <v>34</v>
      </c>
      <c r="E307" s="3" t="s">
        <v>3654</v>
      </c>
      <c r="F307" s="3" t="s">
        <v>3608</v>
      </c>
      <c r="G307" s="3" t="s">
        <v>3604</v>
      </c>
      <c r="H307" s="8" t="n">
        <v>2</v>
      </c>
      <c r="I307" s="8" t="s">
        <v>18</v>
      </c>
      <c r="J307" s="8" t="s">
        <v>28</v>
      </c>
      <c r="K307" s="8" t="s">
        <v>30</v>
      </c>
      <c r="L307" s="8" t="n">
        <v>300</v>
      </c>
      <c r="M307" s="8" t="n">
        <v>600</v>
      </c>
      <c r="N307" s="6" t="n">
        <f aca="false">L307*0.6*H307</f>
        <v>360</v>
      </c>
      <c r="O307" s="6" t="n">
        <f aca="false">M307-N307</f>
        <v>240</v>
      </c>
      <c r="P307" s="7" t="n">
        <f aca="false">IF(M307=0,0,O307/M307)</f>
        <v>0.4</v>
      </c>
    </row>
    <row r="308" customFormat="false" ht="15" hidden="false" customHeight="false" outlineLevel="0" collapsed="false">
      <c r="A308" s="2" t="n">
        <v>1540</v>
      </c>
      <c r="B308" s="2" t="s">
        <v>1380</v>
      </c>
      <c r="C308" s="2" t="s">
        <v>1379</v>
      </c>
      <c r="D308" s="2" t="s">
        <v>147</v>
      </c>
      <c r="E308" s="2" t="s">
        <v>3651</v>
      </c>
      <c r="F308" s="2" t="s">
        <v>1756</v>
      </c>
      <c r="G308" s="2" t="s">
        <v>3595</v>
      </c>
      <c r="H308" s="5" t="n">
        <v>3</v>
      </c>
      <c r="I308" s="5" t="s">
        <v>51</v>
      </c>
      <c r="J308" s="5" t="s">
        <v>59</v>
      </c>
      <c r="K308" s="5" t="s">
        <v>99</v>
      </c>
      <c r="L308" s="5" t="n">
        <v>600</v>
      </c>
      <c r="M308" s="5" t="n">
        <v>1800</v>
      </c>
      <c r="N308" s="6" t="n">
        <f aca="false">L308*0.6*H308</f>
        <v>1080</v>
      </c>
      <c r="O308" s="6" t="n">
        <f aca="false">M308-N308</f>
        <v>720</v>
      </c>
      <c r="P308" s="7" t="n">
        <f aca="false">IF(M308=0,0,O308/M308)</f>
        <v>0.4</v>
      </c>
    </row>
    <row r="309" customFormat="false" ht="15" hidden="false" customHeight="false" outlineLevel="0" collapsed="false">
      <c r="A309" s="3" t="n">
        <v>1541</v>
      </c>
      <c r="B309" s="3" t="s">
        <v>680</v>
      </c>
      <c r="C309" s="3" t="s">
        <v>865</v>
      </c>
      <c r="D309" s="3" t="s">
        <v>34</v>
      </c>
      <c r="E309" s="3" t="s">
        <v>3691</v>
      </c>
      <c r="F309" s="3" t="s">
        <v>3628</v>
      </c>
      <c r="G309" s="3" t="s">
        <v>3595</v>
      </c>
      <c r="H309" s="8" t="n">
        <v>3</v>
      </c>
      <c r="I309" s="8" t="s">
        <v>18</v>
      </c>
      <c r="J309" s="8" t="s">
        <v>121</v>
      </c>
      <c r="K309" s="8" t="s">
        <v>317</v>
      </c>
      <c r="L309" s="8" t="n">
        <v>300</v>
      </c>
      <c r="M309" s="8" t="n">
        <v>900</v>
      </c>
      <c r="N309" s="6" t="n">
        <f aca="false">L309*0.6*H309</f>
        <v>540</v>
      </c>
      <c r="O309" s="6" t="n">
        <f aca="false">M309-N309</f>
        <v>360</v>
      </c>
      <c r="P309" s="7" t="n">
        <f aca="false">IF(M309=0,0,O309/M309)</f>
        <v>0.4</v>
      </c>
    </row>
    <row r="310" customFormat="false" ht="15" hidden="false" customHeight="false" outlineLevel="0" collapsed="false">
      <c r="A310" s="2" t="n">
        <v>1542</v>
      </c>
      <c r="B310" s="2" t="s">
        <v>1386</v>
      </c>
      <c r="C310" s="2" t="s">
        <v>1385</v>
      </c>
      <c r="D310" s="2" t="s">
        <v>25</v>
      </c>
      <c r="E310" s="2" t="s">
        <v>3773</v>
      </c>
      <c r="F310" s="2" t="s">
        <v>1756</v>
      </c>
      <c r="G310" s="2" t="s">
        <v>3595</v>
      </c>
      <c r="H310" s="5" t="n">
        <v>2</v>
      </c>
      <c r="I310" s="5" t="s">
        <v>18</v>
      </c>
      <c r="J310" s="5" t="s">
        <v>121</v>
      </c>
      <c r="K310" s="5" t="s">
        <v>123</v>
      </c>
      <c r="L310" s="5" t="n">
        <v>800</v>
      </c>
      <c r="M310" s="5" t="n">
        <v>1600</v>
      </c>
      <c r="N310" s="6" t="n">
        <f aca="false">L310*0.6*H310</f>
        <v>960</v>
      </c>
      <c r="O310" s="6" t="n">
        <f aca="false">M310-N310</f>
        <v>640</v>
      </c>
      <c r="P310" s="7" t="n">
        <f aca="false">IF(M310=0,0,O310/M310)</f>
        <v>0.4</v>
      </c>
    </row>
    <row r="311" customFormat="false" ht="15" hidden="false" customHeight="false" outlineLevel="0" collapsed="false">
      <c r="A311" s="3" t="n">
        <v>1543</v>
      </c>
      <c r="B311" s="3" t="s">
        <v>83</v>
      </c>
      <c r="C311" s="3" t="s">
        <v>1389</v>
      </c>
      <c r="D311" s="3" t="s">
        <v>49</v>
      </c>
      <c r="E311" s="3" t="s">
        <v>3788</v>
      </c>
      <c r="F311" s="3" t="s">
        <v>3591</v>
      </c>
      <c r="G311" s="3" t="s">
        <v>3592</v>
      </c>
      <c r="H311" s="8" t="n">
        <v>2</v>
      </c>
      <c r="I311" s="8" t="s">
        <v>97</v>
      </c>
      <c r="J311" s="8" t="s">
        <v>43</v>
      </c>
      <c r="K311" s="8" t="s">
        <v>111</v>
      </c>
      <c r="L311" s="8" t="n">
        <v>250</v>
      </c>
      <c r="M311" s="8" t="n">
        <v>500</v>
      </c>
      <c r="N311" s="6" t="n">
        <f aca="false">L311*0.6*H311</f>
        <v>300</v>
      </c>
      <c r="O311" s="6" t="n">
        <f aca="false">M311-N311</f>
        <v>200</v>
      </c>
      <c r="P311" s="7" t="n">
        <f aca="false">IF(M311=0,0,O311/M311)</f>
        <v>0.4</v>
      </c>
    </row>
    <row r="312" customFormat="false" ht="15" hidden="false" customHeight="false" outlineLevel="0" collapsed="false">
      <c r="A312" s="2" t="n">
        <v>1544</v>
      </c>
      <c r="B312" s="2" t="s">
        <v>1392</v>
      </c>
      <c r="C312" s="2" t="s">
        <v>209</v>
      </c>
      <c r="D312" s="2" t="s">
        <v>147</v>
      </c>
      <c r="E312" s="2" t="s">
        <v>3817</v>
      </c>
      <c r="F312" s="2" t="s">
        <v>3628</v>
      </c>
      <c r="G312" s="2" t="s">
        <v>3595</v>
      </c>
      <c r="H312" s="5" t="n">
        <v>2</v>
      </c>
      <c r="I312" s="5" t="s">
        <v>51</v>
      </c>
      <c r="J312" s="5" t="s">
        <v>36</v>
      </c>
      <c r="K312" s="5" t="s">
        <v>192</v>
      </c>
      <c r="L312" s="5" t="n">
        <v>600</v>
      </c>
      <c r="M312" s="5" t="n">
        <v>1200</v>
      </c>
      <c r="N312" s="6" t="n">
        <f aca="false">L312*0.6*H312</f>
        <v>720</v>
      </c>
      <c r="O312" s="6" t="n">
        <f aca="false">M312-N312</f>
        <v>480</v>
      </c>
      <c r="P312" s="7" t="n">
        <f aca="false">IF(M312=0,0,O312/M312)</f>
        <v>0.4</v>
      </c>
    </row>
    <row r="313" customFormat="false" ht="15" hidden="false" customHeight="false" outlineLevel="0" collapsed="false">
      <c r="A313" s="3" t="n">
        <v>1545</v>
      </c>
      <c r="B313" s="3" t="s">
        <v>772</v>
      </c>
      <c r="C313" s="3" t="s">
        <v>1396</v>
      </c>
      <c r="D313" s="3" t="s">
        <v>16</v>
      </c>
      <c r="E313" s="3" t="s">
        <v>3818</v>
      </c>
      <c r="F313" s="3" t="s">
        <v>3625</v>
      </c>
      <c r="G313" s="3" t="s">
        <v>3592</v>
      </c>
      <c r="H313" s="8" t="n">
        <v>3</v>
      </c>
      <c r="I313" s="8" t="s">
        <v>51</v>
      </c>
      <c r="J313" s="8" t="s">
        <v>78</v>
      </c>
      <c r="K313" s="8" t="s">
        <v>86</v>
      </c>
      <c r="L313" s="8" t="n">
        <v>250</v>
      </c>
      <c r="M313" s="8" t="n">
        <v>750</v>
      </c>
      <c r="N313" s="6" t="n">
        <f aca="false">L313*0.6*H313</f>
        <v>450</v>
      </c>
      <c r="O313" s="6" t="n">
        <f aca="false">M313-N313</f>
        <v>300</v>
      </c>
      <c r="P313" s="7" t="n">
        <f aca="false">IF(M313=0,0,O313/M313)</f>
        <v>0.4</v>
      </c>
    </row>
    <row r="314" customFormat="false" ht="15" hidden="false" customHeight="false" outlineLevel="0" collapsed="false">
      <c r="A314" s="2" t="n">
        <v>1546</v>
      </c>
      <c r="B314" s="2" t="s">
        <v>1401</v>
      </c>
      <c r="C314" s="2" t="s">
        <v>1400</v>
      </c>
      <c r="D314" s="2" t="s">
        <v>108</v>
      </c>
      <c r="E314" s="2" t="s">
        <v>3819</v>
      </c>
      <c r="F314" s="2" t="s">
        <v>1756</v>
      </c>
      <c r="G314" s="2" t="s">
        <v>3595</v>
      </c>
      <c r="H314" s="5" t="n">
        <v>1</v>
      </c>
      <c r="I314" s="5" t="s">
        <v>51</v>
      </c>
      <c r="J314" s="5" t="s">
        <v>78</v>
      </c>
      <c r="K314" s="5" t="s">
        <v>408</v>
      </c>
      <c r="L314" s="5" t="n">
        <v>1200</v>
      </c>
      <c r="M314" s="5" t="n">
        <v>1200</v>
      </c>
      <c r="N314" s="6" t="n">
        <f aca="false">L314*0.6*H314</f>
        <v>720</v>
      </c>
      <c r="O314" s="6" t="n">
        <f aca="false">M314-N314</f>
        <v>480</v>
      </c>
      <c r="P314" s="7" t="n">
        <f aca="false">IF(M314=0,0,O314/M314)</f>
        <v>0.4</v>
      </c>
    </row>
    <row r="315" customFormat="false" ht="15" hidden="false" customHeight="false" outlineLevel="0" collapsed="false">
      <c r="A315" s="3" t="n">
        <v>1547</v>
      </c>
      <c r="B315" s="3" t="s">
        <v>1406</v>
      </c>
      <c r="C315" s="3" t="s">
        <v>1405</v>
      </c>
      <c r="D315" s="3" t="s">
        <v>108</v>
      </c>
      <c r="E315" s="3" t="s">
        <v>3820</v>
      </c>
      <c r="F315" s="3" t="s">
        <v>3591</v>
      </c>
      <c r="G315" s="3" t="s">
        <v>3592</v>
      </c>
      <c r="H315" s="8" t="n">
        <v>3</v>
      </c>
      <c r="I315" s="8" t="s">
        <v>27</v>
      </c>
      <c r="J315" s="8" t="s">
        <v>43</v>
      </c>
      <c r="K315" s="8" t="s">
        <v>45</v>
      </c>
      <c r="L315" s="8" t="n">
        <v>1200</v>
      </c>
      <c r="M315" s="8" t="n">
        <v>3600</v>
      </c>
      <c r="N315" s="6" t="n">
        <f aca="false">L315*0.6*H315</f>
        <v>2160</v>
      </c>
      <c r="O315" s="6" t="n">
        <f aca="false">M315-N315</f>
        <v>1440</v>
      </c>
      <c r="P315" s="7" t="n">
        <f aca="false">IF(M315=0,0,O315/M315)</f>
        <v>0.4</v>
      </c>
    </row>
    <row r="316" customFormat="false" ht="15" hidden="false" customHeight="false" outlineLevel="0" collapsed="false">
      <c r="A316" s="2" t="n">
        <v>1548</v>
      </c>
      <c r="B316" s="2" t="s">
        <v>57</v>
      </c>
      <c r="C316" s="2" t="s">
        <v>1410</v>
      </c>
      <c r="D316" s="2" t="s">
        <v>147</v>
      </c>
      <c r="E316" s="2" t="s">
        <v>3821</v>
      </c>
      <c r="F316" s="2" t="s">
        <v>3591</v>
      </c>
      <c r="G316" s="2" t="s">
        <v>3592</v>
      </c>
      <c r="H316" s="5" t="n">
        <v>3</v>
      </c>
      <c r="I316" s="5" t="s">
        <v>51</v>
      </c>
      <c r="J316" s="5" t="s">
        <v>19</v>
      </c>
      <c r="K316" s="5" t="s">
        <v>21</v>
      </c>
      <c r="L316" s="5" t="n">
        <v>600</v>
      </c>
      <c r="M316" s="5" t="n">
        <v>1800</v>
      </c>
      <c r="N316" s="6" t="n">
        <f aca="false">L316*0.6*H316</f>
        <v>1080</v>
      </c>
      <c r="O316" s="6" t="n">
        <f aca="false">M316-N316</f>
        <v>720</v>
      </c>
      <c r="P316" s="7" t="n">
        <f aca="false">IF(M316=0,0,O316/M316)</f>
        <v>0.4</v>
      </c>
    </row>
    <row r="317" customFormat="false" ht="15" hidden="false" customHeight="false" outlineLevel="0" collapsed="false">
      <c r="A317" s="3" t="n">
        <v>1549</v>
      </c>
      <c r="B317" s="3" t="s">
        <v>1414</v>
      </c>
      <c r="C317" s="3" t="s">
        <v>848</v>
      </c>
      <c r="D317" s="3" t="s">
        <v>49</v>
      </c>
      <c r="E317" s="3" t="s">
        <v>3736</v>
      </c>
      <c r="F317" s="3" t="s">
        <v>3599</v>
      </c>
      <c r="G317" s="3" t="s">
        <v>3600</v>
      </c>
      <c r="H317" s="8" t="n">
        <v>1</v>
      </c>
      <c r="I317" s="8" t="s">
        <v>97</v>
      </c>
      <c r="J317" s="8" t="s">
        <v>43</v>
      </c>
      <c r="K317" s="8" t="s">
        <v>111</v>
      </c>
      <c r="L317" s="8" t="n">
        <v>250</v>
      </c>
      <c r="M317" s="8" t="n">
        <v>250</v>
      </c>
      <c r="N317" s="6" t="n">
        <f aca="false">L317*0.6*H317</f>
        <v>150</v>
      </c>
      <c r="O317" s="6" t="n">
        <f aca="false">M317-N317</f>
        <v>100</v>
      </c>
      <c r="P317" s="7" t="n">
        <f aca="false">IF(M317=0,0,O317/M317)</f>
        <v>0.4</v>
      </c>
    </row>
    <row r="318" customFormat="false" ht="15" hidden="false" customHeight="false" outlineLevel="0" collapsed="false">
      <c r="A318" s="2" t="n">
        <v>1550</v>
      </c>
      <c r="B318" s="2" t="s">
        <v>1418</v>
      </c>
      <c r="C318" s="2" t="s">
        <v>1417</v>
      </c>
      <c r="D318" s="2" t="s">
        <v>108</v>
      </c>
      <c r="E318" s="2" t="s">
        <v>3822</v>
      </c>
      <c r="F318" s="2" t="s">
        <v>3603</v>
      </c>
      <c r="G318" s="2" t="s">
        <v>3604</v>
      </c>
      <c r="H318" s="5" t="n">
        <v>1</v>
      </c>
      <c r="I318" s="5" t="s">
        <v>27</v>
      </c>
      <c r="J318" s="5" t="s">
        <v>59</v>
      </c>
      <c r="K318" s="5" t="s">
        <v>61</v>
      </c>
      <c r="L318" s="5" t="n">
        <v>1200</v>
      </c>
      <c r="M318" s="5" t="n">
        <v>1200</v>
      </c>
      <c r="N318" s="6" t="n">
        <f aca="false">L318*0.6*H318</f>
        <v>720</v>
      </c>
      <c r="O318" s="6" t="n">
        <f aca="false">M318-N318</f>
        <v>480</v>
      </c>
      <c r="P318" s="7" t="n">
        <f aca="false">IF(M318=0,0,O318/M318)</f>
        <v>0.4</v>
      </c>
    </row>
    <row r="319" customFormat="false" ht="15" hidden="false" customHeight="false" outlineLevel="0" collapsed="false">
      <c r="A319" s="3" t="n">
        <v>1551</v>
      </c>
      <c r="B319" s="3" t="s">
        <v>1423</v>
      </c>
      <c r="C319" s="3" t="s">
        <v>1422</v>
      </c>
      <c r="D319" s="3" t="s">
        <v>16</v>
      </c>
      <c r="E319" s="3" t="s">
        <v>3823</v>
      </c>
      <c r="F319" s="3" t="s">
        <v>3594</v>
      </c>
      <c r="G319" s="3" t="s">
        <v>3595</v>
      </c>
      <c r="H319" s="8" t="n">
        <v>1</v>
      </c>
      <c r="I319" s="8" t="s">
        <v>18</v>
      </c>
      <c r="J319" s="8" t="s">
        <v>36</v>
      </c>
      <c r="K319" s="8" t="s">
        <v>38</v>
      </c>
      <c r="L319" s="8" t="n">
        <v>250</v>
      </c>
      <c r="M319" s="8" t="n">
        <v>250</v>
      </c>
      <c r="N319" s="6" t="n">
        <f aca="false">L319*0.6*H319</f>
        <v>150</v>
      </c>
      <c r="O319" s="6" t="n">
        <f aca="false">M319-N319</f>
        <v>100</v>
      </c>
      <c r="P319" s="7" t="n">
        <f aca="false">IF(M319=0,0,O319/M319)</f>
        <v>0.4</v>
      </c>
    </row>
    <row r="320" customFormat="false" ht="15" hidden="false" customHeight="false" outlineLevel="0" collapsed="false">
      <c r="A320" s="2" t="n">
        <v>1552</v>
      </c>
      <c r="B320" s="2" t="s">
        <v>1428</v>
      </c>
      <c r="C320" s="2" t="s">
        <v>1427</v>
      </c>
      <c r="D320" s="2" t="s">
        <v>49</v>
      </c>
      <c r="E320" s="2" t="s">
        <v>3654</v>
      </c>
      <c r="F320" s="2" t="s">
        <v>3608</v>
      </c>
      <c r="G320" s="2" t="s">
        <v>3604</v>
      </c>
      <c r="H320" s="5" t="n">
        <v>2</v>
      </c>
      <c r="I320" s="5" t="s">
        <v>51</v>
      </c>
      <c r="J320" s="5" t="s">
        <v>43</v>
      </c>
      <c r="K320" s="5" t="s">
        <v>67</v>
      </c>
      <c r="L320" s="5" t="n">
        <v>250</v>
      </c>
      <c r="M320" s="5" t="n">
        <v>500</v>
      </c>
      <c r="N320" s="6" t="n">
        <f aca="false">L320*0.6*H320</f>
        <v>300</v>
      </c>
      <c r="O320" s="6" t="n">
        <f aca="false">M320-N320</f>
        <v>200</v>
      </c>
      <c r="P320" s="7" t="n">
        <f aca="false">IF(M320=0,0,O320/M320)</f>
        <v>0.4</v>
      </c>
    </row>
    <row r="321" customFormat="false" ht="15" hidden="false" customHeight="false" outlineLevel="0" collapsed="false">
      <c r="A321" s="3" t="n">
        <v>1553</v>
      </c>
      <c r="B321" s="3" t="s">
        <v>900</v>
      </c>
      <c r="C321" s="3" t="s">
        <v>1034</v>
      </c>
      <c r="D321" s="3" t="s">
        <v>108</v>
      </c>
      <c r="E321" s="3" t="s">
        <v>3647</v>
      </c>
      <c r="F321" s="3" t="s">
        <v>3610</v>
      </c>
      <c r="G321" s="3" t="s">
        <v>3600</v>
      </c>
      <c r="H321" s="8" t="n">
        <v>3</v>
      </c>
      <c r="I321" s="8" t="s">
        <v>18</v>
      </c>
      <c r="J321" s="8" t="s">
        <v>59</v>
      </c>
      <c r="K321" s="8" t="s">
        <v>99</v>
      </c>
      <c r="L321" s="8" t="n">
        <v>1200</v>
      </c>
      <c r="M321" s="8" t="n">
        <v>3600</v>
      </c>
      <c r="N321" s="6" t="n">
        <f aca="false">L321*0.6*H321</f>
        <v>2160</v>
      </c>
      <c r="O321" s="6" t="n">
        <f aca="false">M321-N321</f>
        <v>1440</v>
      </c>
      <c r="P321" s="7" t="n">
        <f aca="false">IF(M321=0,0,O321/M321)</f>
        <v>0.4</v>
      </c>
    </row>
    <row r="322" customFormat="false" ht="15" hidden="false" customHeight="false" outlineLevel="0" collapsed="false">
      <c r="A322" s="2" t="n">
        <v>1554</v>
      </c>
      <c r="B322" s="2" t="s">
        <v>1433</v>
      </c>
      <c r="C322" s="2" t="s">
        <v>539</v>
      </c>
      <c r="D322" s="2" t="s">
        <v>49</v>
      </c>
      <c r="E322" s="2" t="s">
        <v>3630</v>
      </c>
      <c r="F322" s="2" t="s">
        <v>3613</v>
      </c>
      <c r="G322" s="2" t="s">
        <v>3604</v>
      </c>
      <c r="H322" s="5" t="n">
        <v>1</v>
      </c>
      <c r="I322" s="5" t="s">
        <v>18</v>
      </c>
      <c r="J322" s="5" t="s">
        <v>52</v>
      </c>
      <c r="K322" s="5" t="s">
        <v>92</v>
      </c>
      <c r="L322" s="5" t="n">
        <v>250</v>
      </c>
      <c r="M322" s="5" t="n">
        <v>250</v>
      </c>
      <c r="N322" s="6" t="n">
        <f aca="false">L322*0.6*H322</f>
        <v>150</v>
      </c>
      <c r="O322" s="6" t="n">
        <f aca="false">M322-N322</f>
        <v>100</v>
      </c>
      <c r="P322" s="7" t="n">
        <f aca="false">IF(M322=0,0,O322/M322)</f>
        <v>0.4</v>
      </c>
    </row>
    <row r="323" customFormat="false" ht="15" hidden="false" customHeight="false" outlineLevel="0" collapsed="false">
      <c r="A323" s="3" t="n">
        <v>1555</v>
      </c>
      <c r="B323" s="3" t="s">
        <v>1437</v>
      </c>
      <c r="C323" s="3" t="s">
        <v>1436</v>
      </c>
      <c r="D323" s="3" t="s">
        <v>25</v>
      </c>
      <c r="E323" s="3" t="s">
        <v>3788</v>
      </c>
      <c r="F323" s="3" t="s">
        <v>3591</v>
      </c>
      <c r="G323" s="3" t="s">
        <v>3592</v>
      </c>
      <c r="H323" s="8" t="n">
        <v>3</v>
      </c>
      <c r="I323" s="8" t="s">
        <v>51</v>
      </c>
      <c r="J323" s="8" t="s">
        <v>59</v>
      </c>
      <c r="K323" s="8" t="s">
        <v>61</v>
      </c>
      <c r="L323" s="8" t="n">
        <v>800</v>
      </c>
      <c r="M323" s="8" t="n">
        <v>2400</v>
      </c>
      <c r="N323" s="6" t="n">
        <f aca="false">L323*0.6*H323</f>
        <v>1440</v>
      </c>
      <c r="O323" s="6" t="n">
        <f aca="false">M323-N323</f>
        <v>960</v>
      </c>
      <c r="P323" s="7" t="n">
        <f aca="false">IF(M323=0,0,O323/M323)</f>
        <v>0.4</v>
      </c>
    </row>
    <row r="324" customFormat="false" ht="15" hidden="false" customHeight="false" outlineLevel="0" collapsed="false">
      <c r="A324" s="2" t="n">
        <v>1556</v>
      </c>
      <c r="B324" s="2" t="s">
        <v>1441</v>
      </c>
      <c r="C324" s="2" t="s">
        <v>1440</v>
      </c>
      <c r="D324" s="2" t="s">
        <v>25</v>
      </c>
      <c r="E324" s="2" t="s">
        <v>3649</v>
      </c>
      <c r="F324" s="2" t="s">
        <v>3608</v>
      </c>
      <c r="G324" s="2" t="s">
        <v>3604</v>
      </c>
      <c r="H324" s="5" t="n">
        <v>2</v>
      </c>
      <c r="I324" s="5" t="s">
        <v>51</v>
      </c>
      <c r="J324" s="5" t="s">
        <v>19</v>
      </c>
      <c r="K324" s="5" t="s">
        <v>176</v>
      </c>
      <c r="L324" s="5" t="n">
        <v>800</v>
      </c>
      <c r="M324" s="5" t="n">
        <v>1600</v>
      </c>
      <c r="N324" s="6" t="n">
        <f aca="false">L324*0.6*H324</f>
        <v>960</v>
      </c>
      <c r="O324" s="6" t="n">
        <f aca="false">M324-N324</f>
        <v>640</v>
      </c>
      <c r="P324" s="7" t="n">
        <f aca="false">IF(M324=0,0,O324/M324)</f>
        <v>0.4</v>
      </c>
    </row>
    <row r="325" customFormat="false" ht="15" hidden="false" customHeight="false" outlineLevel="0" collapsed="false">
      <c r="A325" s="3" t="n">
        <v>1557</v>
      </c>
      <c r="B325" s="3" t="s">
        <v>1445</v>
      </c>
      <c r="C325" s="3" t="s">
        <v>1444</v>
      </c>
      <c r="D325" s="3" t="s">
        <v>108</v>
      </c>
      <c r="E325" s="3" t="s">
        <v>3795</v>
      </c>
      <c r="F325" s="3" t="s">
        <v>3613</v>
      </c>
      <c r="G325" s="3" t="s">
        <v>3604</v>
      </c>
      <c r="H325" s="8" t="n">
        <v>3</v>
      </c>
      <c r="I325" s="8" t="s">
        <v>27</v>
      </c>
      <c r="J325" s="8" t="s">
        <v>59</v>
      </c>
      <c r="K325" s="8" t="s">
        <v>61</v>
      </c>
      <c r="L325" s="8" t="n">
        <v>1200</v>
      </c>
      <c r="M325" s="8" t="n">
        <v>3600</v>
      </c>
      <c r="N325" s="6" t="n">
        <f aca="false">L325*0.6*H325</f>
        <v>2160</v>
      </c>
      <c r="O325" s="6" t="n">
        <f aca="false">M325-N325</f>
        <v>1440</v>
      </c>
      <c r="P325" s="7" t="n">
        <f aca="false">IF(M325=0,0,O325/M325)</f>
        <v>0.4</v>
      </c>
    </row>
    <row r="326" customFormat="false" ht="15" hidden="false" customHeight="false" outlineLevel="0" collapsed="false">
      <c r="A326" s="2" t="n">
        <v>1558</v>
      </c>
      <c r="B326" s="2" t="s">
        <v>107</v>
      </c>
      <c r="C326" s="2" t="s">
        <v>1448</v>
      </c>
      <c r="D326" s="2" t="s">
        <v>108</v>
      </c>
      <c r="E326" s="2" t="s">
        <v>3757</v>
      </c>
      <c r="F326" s="2" t="s">
        <v>3625</v>
      </c>
      <c r="G326" s="2" t="s">
        <v>3592</v>
      </c>
      <c r="H326" s="5" t="n">
        <v>2</v>
      </c>
      <c r="I326" s="5" t="s">
        <v>51</v>
      </c>
      <c r="J326" s="5" t="s">
        <v>78</v>
      </c>
      <c r="K326" s="5" t="s">
        <v>408</v>
      </c>
      <c r="L326" s="5" t="n">
        <v>1200</v>
      </c>
      <c r="M326" s="5" t="n">
        <v>2400</v>
      </c>
      <c r="N326" s="6" t="n">
        <f aca="false">L326*0.6*H326</f>
        <v>1440</v>
      </c>
      <c r="O326" s="6" t="n">
        <f aca="false">M326-N326</f>
        <v>960</v>
      </c>
      <c r="P326" s="7" t="n">
        <f aca="false">IF(M326=0,0,O326/M326)</f>
        <v>0.4</v>
      </c>
    </row>
    <row r="327" customFormat="false" ht="15" hidden="false" customHeight="false" outlineLevel="0" collapsed="false">
      <c r="A327" s="3" t="n">
        <v>1559</v>
      </c>
      <c r="B327" s="3" t="s">
        <v>1452</v>
      </c>
      <c r="C327" s="3" t="s">
        <v>1451</v>
      </c>
      <c r="D327" s="3" t="s">
        <v>147</v>
      </c>
      <c r="E327" s="3" t="s">
        <v>3824</v>
      </c>
      <c r="F327" s="3" t="s">
        <v>2379</v>
      </c>
      <c r="G327" s="3" t="s">
        <v>3592</v>
      </c>
      <c r="H327" s="8" t="n">
        <v>3</v>
      </c>
      <c r="I327" s="8" t="s">
        <v>18</v>
      </c>
      <c r="J327" s="8" t="s">
        <v>36</v>
      </c>
      <c r="K327" s="8" t="s">
        <v>170</v>
      </c>
      <c r="L327" s="8" t="n">
        <v>600</v>
      </c>
      <c r="M327" s="8" t="n">
        <v>1800</v>
      </c>
      <c r="N327" s="6" t="n">
        <f aca="false">L327*0.6*H327</f>
        <v>1080</v>
      </c>
      <c r="O327" s="6" t="n">
        <f aca="false">M327-N327</f>
        <v>720</v>
      </c>
      <c r="P327" s="7" t="n">
        <f aca="false">IF(M327=0,0,O327/M327)</f>
        <v>0.4</v>
      </c>
    </row>
    <row r="328" customFormat="false" ht="15" hidden="false" customHeight="false" outlineLevel="0" collapsed="false">
      <c r="A328" s="2" t="n">
        <v>1560</v>
      </c>
      <c r="B328" s="2" t="s">
        <v>1456</v>
      </c>
      <c r="C328" s="2" t="s">
        <v>891</v>
      </c>
      <c r="D328" s="2" t="s">
        <v>16</v>
      </c>
      <c r="E328" s="2" t="s">
        <v>3825</v>
      </c>
      <c r="F328" s="2" t="s">
        <v>3591</v>
      </c>
      <c r="G328" s="2" t="s">
        <v>3592</v>
      </c>
      <c r="H328" s="5" t="n">
        <v>1</v>
      </c>
      <c r="I328" s="5" t="s">
        <v>97</v>
      </c>
      <c r="J328" s="5" t="s">
        <v>19</v>
      </c>
      <c r="K328" s="5" t="s">
        <v>21</v>
      </c>
      <c r="L328" s="5" t="n">
        <v>250</v>
      </c>
      <c r="M328" s="5" t="n">
        <v>250</v>
      </c>
      <c r="N328" s="6" t="n">
        <f aca="false">L328*0.6*H328</f>
        <v>150</v>
      </c>
      <c r="O328" s="6" t="n">
        <f aca="false">M328-N328</f>
        <v>100</v>
      </c>
      <c r="P328" s="7" t="n">
        <f aca="false">IF(M328=0,0,O328/M328)</f>
        <v>0.4</v>
      </c>
    </row>
    <row r="329" customFormat="false" ht="15" hidden="false" customHeight="false" outlineLevel="0" collapsed="false">
      <c r="A329" s="3" t="n">
        <v>1561</v>
      </c>
      <c r="B329" s="3" t="s">
        <v>1461</v>
      </c>
      <c r="C329" s="3" t="s">
        <v>1460</v>
      </c>
      <c r="D329" s="3" t="s">
        <v>25</v>
      </c>
      <c r="E329" s="3" t="s">
        <v>3754</v>
      </c>
      <c r="F329" s="3" t="s">
        <v>3603</v>
      </c>
      <c r="G329" s="3" t="s">
        <v>3604</v>
      </c>
      <c r="H329" s="8" t="n">
        <v>1</v>
      </c>
      <c r="I329" s="8" t="s">
        <v>18</v>
      </c>
      <c r="J329" s="8" t="s">
        <v>28</v>
      </c>
      <c r="K329" s="8" t="s">
        <v>30</v>
      </c>
      <c r="L329" s="8" t="n">
        <v>800</v>
      </c>
      <c r="M329" s="8" t="n">
        <v>800</v>
      </c>
      <c r="N329" s="6" t="n">
        <f aca="false">L329*0.6*H329</f>
        <v>480</v>
      </c>
      <c r="O329" s="6" t="n">
        <f aca="false">M329-N329</f>
        <v>320</v>
      </c>
      <c r="P329" s="7" t="n">
        <f aca="false">IF(M329=0,0,O329/M329)</f>
        <v>0.4</v>
      </c>
    </row>
    <row r="330" customFormat="false" ht="15" hidden="false" customHeight="false" outlineLevel="0" collapsed="false">
      <c r="A330" s="2" t="n">
        <v>1562</v>
      </c>
      <c r="B330" s="2" t="s">
        <v>1465</v>
      </c>
      <c r="C330" s="2" t="s">
        <v>1464</v>
      </c>
      <c r="D330" s="2" t="s">
        <v>49</v>
      </c>
      <c r="E330" s="2" t="s">
        <v>3805</v>
      </c>
      <c r="F330" s="2" t="s">
        <v>3594</v>
      </c>
      <c r="G330" s="2" t="s">
        <v>3595</v>
      </c>
      <c r="H330" s="5" t="n">
        <v>3</v>
      </c>
      <c r="I330" s="5" t="s">
        <v>27</v>
      </c>
      <c r="J330" s="5" t="s">
        <v>36</v>
      </c>
      <c r="K330" s="5" t="s">
        <v>38</v>
      </c>
      <c r="L330" s="5" t="n">
        <v>250</v>
      </c>
      <c r="M330" s="5" t="n">
        <v>750</v>
      </c>
      <c r="N330" s="6" t="n">
        <f aca="false">L330*0.6*H330</f>
        <v>450</v>
      </c>
      <c r="O330" s="6" t="n">
        <f aca="false">M330-N330</f>
        <v>300</v>
      </c>
      <c r="P330" s="7" t="n">
        <f aca="false">IF(M330=0,0,O330/M330)</f>
        <v>0.4</v>
      </c>
    </row>
    <row r="331" customFormat="false" ht="15" hidden="false" customHeight="false" outlineLevel="0" collapsed="false">
      <c r="A331" s="3" t="n">
        <v>1563</v>
      </c>
      <c r="B331" s="3" t="s">
        <v>230</v>
      </c>
      <c r="C331" s="3" t="s">
        <v>1468</v>
      </c>
      <c r="D331" s="3" t="s">
        <v>25</v>
      </c>
      <c r="E331" s="3" t="s">
        <v>3647</v>
      </c>
      <c r="F331" s="3" t="s">
        <v>3610</v>
      </c>
      <c r="G331" s="3" t="s">
        <v>3600</v>
      </c>
      <c r="H331" s="8" t="n">
        <v>1</v>
      </c>
      <c r="I331" s="8" t="s">
        <v>18</v>
      </c>
      <c r="J331" s="8" t="s">
        <v>121</v>
      </c>
      <c r="K331" s="8" t="s">
        <v>317</v>
      </c>
      <c r="L331" s="8" t="n">
        <v>800</v>
      </c>
      <c r="M331" s="8" t="n">
        <v>800</v>
      </c>
      <c r="N331" s="6" t="n">
        <f aca="false">L331*0.6*H331</f>
        <v>480</v>
      </c>
      <c r="O331" s="6" t="n">
        <f aca="false">M331-N331</f>
        <v>320</v>
      </c>
      <c r="P331" s="7" t="n">
        <f aca="false">IF(M331=0,0,O331/M331)</f>
        <v>0.4</v>
      </c>
    </row>
    <row r="332" customFormat="false" ht="15" hidden="false" customHeight="false" outlineLevel="0" collapsed="false">
      <c r="A332" s="2" t="n">
        <v>1564</v>
      </c>
      <c r="B332" s="2" t="s">
        <v>622</v>
      </c>
      <c r="C332" s="2" t="s">
        <v>1471</v>
      </c>
      <c r="D332" s="2" t="s">
        <v>147</v>
      </c>
      <c r="E332" s="2" t="s">
        <v>3826</v>
      </c>
      <c r="F332" s="2" t="s">
        <v>3610</v>
      </c>
      <c r="G332" s="2" t="s">
        <v>3600</v>
      </c>
      <c r="H332" s="5" t="n">
        <v>2</v>
      </c>
      <c r="I332" s="5" t="s">
        <v>18</v>
      </c>
      <c r="J332" s="5" t="s">
        <v>19</v>
      </c>
      <c r="K332" s="5" t="s">
        <v>73</v>
      </c>
      <c r="L332" s="5" t="n">
        <v>600</v>
      </c>
      <c r="M332" s="5" t="n">
        <v>1200</v>
      </c>
      <c r="N332" s="6" t="n">
        <f aca="false">L332*0.6*H332</f>
        <v>720</v>
      </c>
      <c r="O332" s="6" t="n">
        <f aca="false">M332-N332</f>
        <v>480</v>
      </c>
      <c r="P332" s="7" t="n">
        <f aca="false">IF(M332=0,0,O332/M332)</f>
        <v>0.4</v>
      </c>
    </row>
    <row r="333" customFormat="false" ht="15" hidden="false" customHeight="false" outlineLevel="0" collapsed="false">
      <c r="A333" s="3" t="n">
        <v>1565</v>
      </c>
      <c r="B333" s="3" t="s">
        <v>1476</v>
      </c>
      <c r="C333" s="3" t="s">
        <v>1475</v>
      </c>
      <c r="D333" s="3" t="s">
        <v>25</v>
      </c>
      <c r="E333" s="3" t="s">
        <v>3680</v>
      </c>
      <c r="F333" s="3" t="s">
        <v>3610</v>
      </c>
      <c r="G333" s="3" t="s">
        <v>3600</v>
      </c>
      <c r="H333" s="8" t="n">
        <v>2</v>
      </c>
      <c r="I333" s="8" t="s">
        <v>18</v>
      </c>
      <c r="J333" s="8" t="s">
        <v>59</v>
      </c>
      <c r="K333" s="8" t="s">
        <v>61</v>
      </c>
      <c r="L333" s="8" t="n">
        <v>800</v>
      </c>
      <c r="M333" s="8" t="n">
        <v>1600</v>
      </c>
      <c r="N333" s="6" t="n">
        <f aca="false">L333*0.6*H333</f>
        <v>960</v>
      </c>
      <c r="O333" s="6" t="n">
        <f aca="false">M333-N333</f>
        <v>640</v>
      </c>
      <c r="P333" s="7" t="n">
        <f aca="false">IF(M333=0,0,O333/M333)</f>
        <v>0.4</v>
      </c>
    </row>
    <row r="334" customFormat="false" ht="15" hidden="false" customHeight="false" outlineLevel="0" collapsed="false">
      <c r="A334" s="2" t="n">
        <v>1566</v>
      </c>
      <c r="B334" s="2" t="s">
        <v>1480</v>
      </c>
      <c r="C334" s="2" t="s">
        <v>1479</v>
      </c>
      <c r="D334" s="2" t="s">
        <v>34</v>
      </c>
      <c r="E334" s="2" t="s">
        <v>3779</v>
      </c>
      <c r="F334" s="2" t="s">
        <v>3599</v>
      </c>
      <c r="G334" s="2" t="s">
        <v>3600</v>
      </c>
      <c r="H334" s="5" t="n">
        <v>3</v>
      </c>
      <c r="I334" s="5" t="s">
        <v>18</v>
      </c>
      <c r="J334" s="5" t="s">
        <v>43</v>
      </c>
      <c r="K334" s="5" t="s">
        <v>45</v>
      </c>
      <c r="L334" s="5" t="n">
        <v>300</v>
      </c>
      <c r="M334" s="5" t="n">
        <v>900</v>
      </c>
      <c r="N334" s="6" t="n">
        <f aca="false">L334*0.6*H334</f>
        <v>540</v>
      </c>
      <c r="O334" s="6" t="n">
        <f aca="false">M334-N334</f>
        <v>360</v>
      </c>
      <c r="P334" s="7" t="n">
        <f aca="false">IF(M334=0,0,O334/M334)</f>
        <v>0.4</v>
      </c>
    </row>
    <row r="335" customFormat="false" ht="15" hidden="false" customHeight="false" outlineLevel="0" collapsed="false">
      <c r="A335" s="3" t="n">
        <v>1567</v>
      </c>
      <c r="B335" s="3" t="s">
        <v>1484</v>
      </c>
      <c r="C335" s="3" t="s">
        <v>1483</v>
      </c>
      <c r="D335" s="3" t="s">
        <v>49</v>
      </c>
      <c r="E335" s="3" t="s">
        <v>3726</v>
      </c>
      <c r="F335" s="3" t="s">
        <v>3606</v>
      </c>
      <c r="G335" s="3" t="s">
        <v>3600</v>
      </c>
      <c r="H335" s="8" t="n">
        <v>2</v>
      </c>
      <c r="I335" s="8" t="s">
        <v>27</v>
      </c>
      <c r="J335" s="8" t="s">
        <v>121</v>
      </c>
      <c r="K335" s="8" t="s">
        <v>123</v>
      </c>
      <c r="L335" s="8" t="n">
        <v>250</v>
      </c>
      <c r="M335" s="8" t="n">
        <v>500</v>
      </c>
      <c r="N335" s="6" t="n">
        <f aca="false">L335*0.6*H335</f>
        <v>300</v>
      </c>
      <c r="O335" s="6" t="n">
        <f aca="false">M335-N335</f>
        <v>200</v>
      </c>
      <c r="P335" s="7" t="n">
        <f aca="false">IF(M335=0,0,O335/M335)</f>
        <v>0.4</v>
      </c>
    </row>
    <row r="336" customFormat="false" ht="15" hidden="false" customHeight="false" outlineLevel="0" collapsed="false">
      <c r="A336" s="2" t="n">
        <v>1568</v>
      </c>
      <c r="B336" s="2" t="s">
        <v>1030</v>
      </c>
      <c r="C336" s="2" t="s">
        <v>1487</v>
      </c>
      <c r="D336" s="2" t="s">
        <v>25</v>
      </c>
      <c r="E336" s="2" t="s">
        <v>3760</v>
      </c>
      <c r="F336" s="2" t="s">
        <v>3625</v>
      </c>
      <c r="G336" s="2" t="s">
        <v>3592</v>
      </c>
      <c r="H336" s="5" t="n">
        <v>2</v>
      </c>
      <c r="I336" s="5" t="s">
        <v>18</v>
      </c>
      <c r="J336" s="5" t="s">
        <v>36</v>
      </c>
      <c r="K336" s="5" t="s">
        <v>192</v>
      </c>
      <c r="L336" s="5" t="n">
        <v>800</v>
      </c>
      <c r="M336" s="5" t="n">
        <v>1600</v>
      </c>
      <c r="N336" s="6" t="n">
        <f aca="false">L336*0.6*H336</f>
        <v>960</v>
      </c>
      <c r="O336" s="6" t="n">
        <f aca="false">M336-N336</f>
        <v>640</v>
      </c>
      <c r="P336" s="7" t="n">
        <f aca="false">IF(M336=0,0,O336/M336)</f>
        <v>0.4</v>
      </c>
    </row>
    <row r="337" customFormat="false" ht="15" hidden="false" customHeight="false" outlineLevel="0" collapsed="false">
      <c r="A337" s="3" t="n">
        <v>1569</v>
      </c>
      <c r="B337" s="3" t="s">
        <v>1491</v>
      </c>
      <c r="C337" s="3" t="s">
        <v>1490</v>
      </c>
      <c r="D337" s="3" t="s">
        <v>16</v>
      </c>
      <c r="E337" s="3" t="s">
        <v>3812</v>
      </c>
      <c r="F337" s="3" t="s">
        <v>3599</v>
      </c>
      <c r="G337" s="3" t="s">
        <v>3600</v>
      </c>
      <c r="H337" s="8" t="n">
        <v>2</v>
      </c>
      <c r="I337" s="8" t="s">
        <v>51</v>
      </c>
      <c r="J337" s="8" t="s">
        <v>28</v>
      </c>
      <c r="K337" s="8" t="s">
        <v>30</v>
      </c>
      <c r="L337" s="8" t="n">
        <v>250</v>
      </c>
      <c r="M337" s="8" t="n">
        <v>500</v>
      </c>
      <c r="N337" s="6" t="n">
        <f aca="false">L337*0.6*H337</f>
        <v>300</v>
      </c>
      <c r="O337" s="6" t="n">
        <f aca="false">M337-N337</f>
        <v>200</v>
      </c>
      <c r="P337" s="7" t="n">
        <f aca="false">IF(M337=0,0,O337/M337)</f>
        <v>0.4</v>
      </c>
    </row>
    <row r="338" customFormat="false" ht="15" hidden="false" customHeight="false" outlineLevel="0" collapsed="false">
      <c r="A338" s="2" t="n">
        <v>1570</v>
      </c>
      <c r="B338" s="2" t="s">
        <v>935</v>
      </c>
      <c r="C338" s="2" t="s">
        <v>1494</v>
      </c>
      <c r="D338" s="2" t="s">
        <v>147</v>
      </c>
      <c r="E338" s="2" t="s">
        <v>3827</v>
      </c>
      <c r="F338" s="2" t="s">
        <v>3610</v>
      </c>
      <c r="G338" s="2" t="s">
        <v>3600</v>
      </c>
      <c r="H338" s="5" t="n">
        <v>2</v>
      </c>
      <c r="I338" s="5" t="s">
        <v>51</v>
      </c>
      <c r="J338" s="5" t="s">
        <v>19</v>
      </c>
      <c r="K338" s="5" t="s">
        <v>73</v>
      </c>
      <c r="L338" s="5" t="n">
        <v>600</v>
      </c>
      <c r="M338" s="5" t="n">
        <v>1200</v>
      </c>
      <c r="N338" s="6" t="n">
        <f aca="false">L338*0.6*H338</f>
        <v>720</v>
      </c>
      <c r="O338" s="6" t="n">
        <f aca="false">M338-N338</f>
        <v>480</v>
      </c>
      <c r="P338" s="7" t="n">
        <f aca="false">IF(M338=0,0,O338/M338)</f>
        <v>0.4</v>
      </c>
    </row>
    <row r="339" customFormat="false" ht="15" hidden="false" customHeight="false" outlineLevel="0" collapsed="false">
      <c r="A339" s="3" t="n">
        <v>1571</v>
      </c>
      <c r="B339" s="3" t="s">
        <v>1498</v>
      </c>
      <c r="C339" s="3" t="s">
        <v>352</v>
      </c>
      <c r="D339" s="3" t="s">
        <v>108</v>
      </c>
      <c r="E339" s="3" t="s">
        <v>3632</v>
      </c>
      <c r="F339" s="3" t="s">
        <v>1756</v>
      </c>
      <c r="G339" s="3" t="s">
        <v>3595</v>
      </c>
      <c r="H339" s="8" t="n">
        <v>1</v>
      </c>
      <c r="I339" s="8" t="s">
        <v>51</v>
      </c>
      <c r="J339" s="8" t="s">
        <v>28</v>
      </c>
      <c r="K339" s="8" t="s">
        <v>30</v>
      </c>
      <c r="L339" s="8" t="n">
        <v>1200</v>
      </c>
      <c r="M339" s="8" t="n">
        <v>1200</v>
      </c>
      <c r="N339" s="6" t="n">
        <f aca="false">L339*0.6*H339</f>
        <v>720</v>
      </c>
      <c r="O339" s="6" t="n">
        <f aca="false">M339-N339</f>
        <v>480</v>
      </c>
      <c r="P339" s="7" t="n">
        <f aca="false">IF(M339=0,0,O339/M339)</f>
        <v>0.4</v>
      </c>
    </row>
    <row r="340" customFormat="false" ht="15" hidden="false" customHeight="false" outlineLevel="0" collapsed="false">
      <c r="A340" s="2" t="n">
        <v>1572</v>
      </c>
      <c r="B340" s="2" t="s">
        <v>391</v>
      </c>
      <c r="C340" s="2" t="s">
        <v>1501</v>
      </c>
      <c r="D340" s="2" t="s">
        <v>25</v>
      </c>
      <c r="E340" s="2" t="s">
        <v>3687</v>
      </c>
      <c r="F340" s="2" t="s">
        <v>3625</v>
      </c>
      <c r="G340" s="2" t="s">
        <v>3592</v>
      </c>
      <c r="H340" s="5" t="n">
        <v>3</v>
      </c>
      <c r="I340" s="5" t="s">
        <v>51</v>
      </c>
      <c r="J340" s="5" t="s">
        <v>78</v>
      </c>
      <c r="K340" s="5" t="s">
        <v>80</v>
      </c>
      <c r="L340" s="5" t="n">
        <v>800</v>
      </c>
      <c r="M340" s="5" t="n">
        <v>2400</v>
      </c>
      <c r="N340" s="6" t="n">
        <f aca="false">L340*0.6*H340</f>
        <v>1440</v>
      </c>
      <c r="O340" s="6" t="n">
        <f aca="false">M340-N340</f>
        <v>960</v>
      </c>
      <c r="P340" s="7" t="n">
        <f aca="false">IF(M340=0,0,O340/M340)</f>
        <v>0.4</v>
      </c>
    </row>
    <row r="341" customFormat="false" ht="15" hidden="false" customHeight="false" outlineLevel="0" collapsed="false">
      <c r="A341" s="3" t="n">
        <v>1573</v>
      </c>
      <c r="B341" s="3" t="s">
        <v>1086</v>
      </c>
      <c r="C341" s="3" t="s">
        <v>433</v>
      </c>
      <c r="D341" s="3" t="s">
        <v>16</v>
      </c>
      <c r="E341" s="3" t="s">
        <v>3753</v>
      </c>
      <c r="F341" s="3" t="s">
        <v>3625</v>
      </c>
      <c r="G341" s="3" t="s">
        <v>3592</v>
      </c>
      <c r="H341" s="8" t="n">
        <v>1</v>
      </c>
      <c r="I341" s="8" t="s">
        <v>18</v>
      </c>
      <c r="J341" s="8" t="s">
        <v>52</v>
      </c>
      <c r="K341" s="8" t="s">
        <v>54</v>
      </c>
      <c r="L341" s="8" t="n">
        <v>250</v>
      </c>
      <c r="M341" s="8" t="n">
        <v>250</v>
      </c>
      <c r="N341" s="6" t="n">
        <f aca="false">L341*0.6*H341</f>
        <v>150</v>
      </c>
      <c r="O341" s="6" t="n">
        <f aca="false">M341-N341</f>
        <v>100</v>
      </c>
      <c r="P341" s="7" t="n">
        <f aca="false">IF(M341=0,0,O341/M341)</f>
        <v>0.4</v>
      </c>
    </row>
    <row r="342" customFormat="false" ht="15" hidden="false" customHeight="false" outlineLevel="0" collapsed="false">
      <c r="A342" s="2" t="n">
        <v>1574</v>
      </c>
      <c r="B342" s="2" t="s">
        <v>1506</v>
      </c>
      <c r="C342" s="2" t="s">
        <v>584</v>
      </c>
      <c r="D342" s="2" t="s">
        <v>147</v>
      </c>
      <c r="E342" s="2" t="s">
        <v>3828</v>
      </c>
      <c r="F342" s="2" t="s">
        <v>3610</v>
      </c>
      <c r="G342" s="2" t="s">
        <v>3600</v>
      </c>
      <c r="H342" s="5" t="n">
        <v>3</v>
      </c>
      <c r="I342" s="5" t="s">
        <v>27</v>
      </c>
      <c r="J342" s="5" t="s">
        <v>78</v>
      </c>
      <c r="K342" s="5" t="s">
        <v>80</v>
      </c>
      <c r="L342" s="5" t="n">
        <v>600</v>
      </c>
      <c r="M342" s="5" t="n">
        <v>1800</v>
      </c>
      <c r="N342" s="6" t="n">
        <f aca="false">L342*0.6*H342</f>
        <v>1080</v>
      </c>
      <c r="O342" s="6" t="n">
        <f aca="false">M342-N342</f>
        <v>720</v>
      </c>
      <c r="P342" s="7" t="n">
        <f aca="false">IF(M342=0,0,O342/M342)</f>
        <v>0.4</v>
      </c>
    </row>
    <row r="343" customFormat="false" ht="15" hidden="false" customHeight="false" outlineLevel="0" collapsed="false">
      <c r="A343" s="3" t="n">
        <v>1575</v>
      </c>
      <c r="B343" s="3" t="s">
        <v>1510</v>
      </c>
      <c r="C343" s="3" t="s">
        <v>1085</v>
      </c>
      <c r="D343" s="3" t="s">
        <v>25</v>
      </c>
      <c r="E343" s="3" t="s">
        <v>3799</v>
      </c>
      <c r="F343" s="3" t="s">
        <v>2379</v>
      </c>
      <c r="G343" s="3" t="s">
        <v>3592</v>
      </c>
      <c r="H343" s="8" t="n">
        <v>3</v>
      </c>
      <c r="I343" s="8" t="s">
        <v>18</v>
      </c>
      <c r="J343" s="8" t="s">
        <v>28</v>
      </c>
      <c r="K343" s="8" t="s">
        <v>30</v>
      </c>
      <c r="L343" s="8" t="n">
        <v>800</v>
      </c>
      <c r="M343" s="8" t="n">
        <v>2400</v>
      </c>
      <c r="N343" s="6" t="n">
        <f aca="false">L343*0.6*H343</f>
        <v>1440</v>
      </c>
      <c r="O343" s="6" t="n">
        <f aca="false">M343-N343</f>
        <v>960</v>
      </c>
      <c r="P343" s="7" t="n">
        <f aca="false">IF(M343=0,0,O343/M343)</f>
        <v>0.4</v>
      </c>
    </row>
    <row r="344" customFormat="false" ht="15" hidden="false" customHeight="false" outlineLevel="0" collapsed="false">
      <c r="A344" s="2" t="n">
        <v>1576</v>
      </c>
      <c r="B344" s="2" t="s">
        <v>1514</v>
      </c>
      <c r="C344" s="2" t="s">
        <v>1513</v>
      </c>
      <c r="D344" s="2" t="s">
        <v>49</v>
      </c>
      <c r="E344" s="2" t="s">
        <v>3829</v>
      </c>
      <c r="F344" s="2" t="s">
        <v>3608</v>
      </c>
      <c r="G344" s="2" t="s">
        <v>3604</v>
      </c>
      <c r="H344" s="5" t="n">
        <v>2</v>
      </c>
      <c r="I344" s="5" t="s">
        <v>18</v>
      </c>
      <c r="J344" s="5" t="s">
        <v>121</v>
      </c>
      <c r="K344" s="5" t="s">
        <v>123</v>
      </c>
      <c r="L344" s="5" t="n">
        <v>250</v>
      </c>
      <c r="M344" s="5" t="n">
        <v>500</v>
      </c>
      <c r="N344" s="6" t="n">
        <f aca="false">L344*0.6*H344</f>
        <v>300</v>
      </c>
      <c r="O344" s="6" t="n">
        <f aca="false">M344-N344</f>
        <v>200</v>
      </c>
      <c r="P344" s="7" t="n">
        <f aca="false">IF(M344=0,0,O344/M344)</f>
        <v>0.4</v>
      </c>
    </row>
    <row r="345" customFormat="false" ht="15" hidden="false" customHeight="false" outlineLevel="0" collapsed="false">
      <c r="A345" s="3" t="n">
        <v>1577</v>
      </c>
      <c r="B345" s="3" t="s">
        <v>1519</v>
      </c>
      <c r="C345" s="3" t="s">
        <v>1518</v>
      </c>
      <c r="D345" s="3" t="s">
        <v>108</v>
      </c>
      <c r="E345" s="3" t="s">
        <v>3773</v>
      </c>
      <c r="F345" s="3" t="s">
        <v>1756</v>
      </c>
      <c r="G345" s="3" t="s">
        <v>3595</v>
      </c>
      <c r="H345" s="8" t="n">
        <v>1</v>
      </c>
      <c r="I345" s="8" t="s">
        <v>51</v>
      </c>
      <c r="J345" s="8" t="s">
        <v>43</v>
      </c>
      <c r="K345" s="8" t="s">
        <v>45</v>
      </c>
      <c r="L345" s="8" t="n">
        <v>1200</v>
      </c>
      <c r="M345" s="8" t="n">
        <v>1200</v>
      </c>
      <c r="N345" s="6" t="n">
        <f aca="false">L345*0.6*H345</f>
        <v>720</v>
      </c>
      <c r="O345" s="6" t="n">
        <f aca="false">M345-N345</f>
        <v>480</v>
      </c>
      <c r="P345" s="7" t="n">
        <f aca="false">IF(M345=0,0,O345/M345)</f>
        <v>0.4</v>
      </c>
    </row>
    <row r="346" customFormat="false" ht="15" hidden="false" customHeight="false" outlineLevel="0" collapsed="false">
      <c r="A346" s="2" t="n">
        <v>1578</v>
      </c>
      <c r="B346" s="2" t="s">
        <v>1522</v>
      </c>
      <c r="C346" s="2" t="s">
        <v>914</v>
      </c>
      <c r="D346" s="2" t="s">
        <v>25</v>
      </c>
      <c r="E346" s="2" t="s">
        <v>3830</v>
      </c>
      <c r="F346" s="2" t="s">
        <v>2379</v>
      </c>
      <c r="G346" s="2" t="s">
        <v>3592</v>
      </c>
      <c r="H346" s="5" t="n">
        <v>2</v>
      </c>
      <c r="I346" s="5" t="s">
        <v>97</v>
      </c>
      <c r="J346" s="5" t="s">
        <v>59</v>
      </c>
      <c r="K346" s="5" t="s">
        <v>61</v>
      </c>
      <c r="L346" s="5" t="n">
        <v>800</v>
      </c>
      <c r="M346" s="5" t="n">
        <v>1600</v>
      </c>
      <c r="N346" s="6" t="n">
        <f aca="false">L346*0.6*H346</f>
        <v>960</v>
      </c>
      <c r="O346" s="6" t="n">
        <f aca="false">M346-N346</f>
        <v>640</v>
      </c>
      <c r="P346" s="7" t="n">
        <f aca="false">IF(M346=0,0,O346/M346)</f>
        <v>0.4</v>
      </c>
    </row>
    <row r="347" customFormat="false" ht="15" hidden="false" customHeight="false" outlineLevel="0" collapsed="false">
      <c r="A347" s="3" t="n">
        <v>1579</v>
      </c>
      <c r="B347" s="3" t="s">
        <v>1526</v>
      </c>
      <c r="C347" s="3" t="s">
        <v>424</v>
      </c>
      <c r="D347" s="3" t="s">
        <v>108</v>
      </c>
      <c r="E347" s="3" t="s">
        <v>3693</v>
      </c>
      <c r="F347" s="3" t="s">
        <v>3603</v>
      </c>
      <c r="G347" s="3" t="s">
        <v>3604</v>
      </c>
      <c r="H347" s="8" t="n">
        <v>1</v>
      </c>
      <c r="I347" s="8" t="s">
        <v>27</v>
      </c>
      <c r="J347" s="8" t="s">
        <v>59</v>
      </c>
      <c r="K347" s="8" t="s">
        <v>99</v>
      </c>
      <c r="L347" s="8" t="n">
        <v>1200</v>
      </c>
      <c r="M347" s="8" t="n">
        <v>1200</v>
      </c>
      <c r="N347" s="6" t="n">
        <f aca="false">L347*0.6*H347</f>
        <v>720</v>
      </c>
      <c r="O347" s="6" t="n">
        <f aca="false">M347-N347</f>
        <v>480</v>
      </c>
      <c r="P347" s="7" t="n">
        <f aca="false">IF(M347=0,0,O347/M347)</f>
        <v>0.4</v>
      </c>
    </row>
    <row r="348" customFormat="false" ht="15" hidden="false" customHeight="false" outlineLevel="0" collapsed="false">
      <c r="A348" s="2" t="n">
        <v>1580</v>
      </c>
      <c r="B348" s="2" t="s">
        <v>1529</v>
      </c>
      <c r="C348" s="2" t="s">
        <v>524</v>
      </c>
      <c r="D348" s="2" t="s">
        <v>34</v>
      </c>
      <c r="E348" s="2" t="s">
        <v>3831</v>
      </c>
      <c r="F348" s="2" t="s">
        <v>3603</v>
      </c>
      <c r="G348" s="2" t="s">
        <v>3604</v>
      </c>
      <c r="H348" s="5" t="n">
        <v>3</v>
      </c>
      <c r="I348" s="5" t="s">
        <v>18</v>
      </c>
      <c r="J348" s="5" t="s">
        <v>121</v>
      </c>
      <c r="K348" s="5" t="s">
        <v>317</v>
      </c>
      <c r="L348" s="5" t="n">
        <v>300</v>
      </c>
      <c r="M348" s="5" t="n">
        <v>900</v>
      </c>
      <c r="N348" s="6" t="n">
        <f aca="false">L348*0.6*H348</f>
        <v>540</v>
      </c>
      <c r="O348" s="6" t="n">
        <f aca="false">M348-N348</f>
        <v>360</v>
      </c>
      <c r="P348" s="7" t="n">
        <f aca="false">IF(M348=0,0,O348/M348)</f>
        <v>0.4</v>
      </c>
    </row>
    <row r="349" customFormat="false" ht="15" hidden="false" customHeight="false" outlineLevel="0" collapsed="false">
      <c r="A349" s="3" t="n">
        <v>1581</v>
      </c>
      <c r="B349" s="3" t="s">
        <v>1100</v>
      </c>
      <c r="C349" s="3" t="s">
        <v>1533</v>
      </c>
      <c r="D349" s="3" t="s">
        <v>147</v>
      </c>
      <c r="E349" s="3" t="s">
        <v>3832</v>
      </c>
      <c r="F349" s="3" t="s">
        <v>3599</v>
      </c>
      <c r="G349" s="3" t="s">
        <v>3600</v>
      </c>
      <c r="H349" s="8" t="n">
        <v>3</v>
      </c>
      <c r="I349" s="8" t="s">
        <v>51</v>
      </c>
      <c r="J349" s="8" t="s">
        <v>121</v>
      </c>
      <c r="K349" s="8" t="s">
        <v>317</v>
      </c>
      <c r="L349" s="8" t="n">
        <v>600</v>
      </c>
      <c r="M349" s="8" t="n">
        <v>1800</v>
      </c>
      <c r="N349" s="6" t="n">
        <f aca="false">L349*0.6*H349</f>
        <v>1080</v>
      </c>
      <c r="O349" s="6" t="n">
        <f aca="false">M349-N349</f>
        <v>720</v>
      </c>
      <c r="P349" s="7" t="n">
        <f aca="false">IF(M349=0,0,O349/M349)</f>
        <v>0.4</v>
      </c>
    </row>
    <row r="350" customFormat="false" ht="15" hidden="false" customHeight="false" outlineLevel="0" collapsed="false">
      <c r="A350" s="2" t="n">
        <v>1582</v>
      </c>
      <c r="B350" s="2" t="s">
        <v>1537</v>
      </c>
      <c r="C350" s="2" t="s">
        <v>283</v>
      </c>
      <c r="D350" s="2" t="s">
        <v>108</v>
      </c>
      <c r="E350" s="2" t="s">
        <v>3833</v>
      </c>
      <c r="F350" s="2" t="s">
        <v>3628</v>
      </c>
      <c r="G350" s="2" t="s">
        <v>3595</v>
      </c>
      <c r="H350" s="5" t="n">
        <v>1</v>
      </c>
      <c r="I350" s="5" t="s">
        <v>51</v>
      </c>
      <c r="J350" s="5" t="s">
        <v>78</v>
      </c>
      <c r="K350" s="5" t="s">
        <v>86</v>
      </c>
      <c r="L350" s="5" t="n">
        <v>1200</v>
      </c>
      <c r="M350" s="5" t="n">
        <v>1200</v>
      </c>
      <c r="N350" s="6" t="n">
        <f aca="false">L350*0.6*H350</f>
        <v>720</v>
      </c>
      <c r="O350" s="6" t="n">
        <f aca="false">M350-N350</f>
        <v>480</v>
      </c>
      <c r="P350" s="7" t="n">
        <f aca="false">IF(M350=0,0,O350/M350)</f>
        <v>0.4</v>
      </c>
    </row>
    <row r="351" customFormat="false" ht="15" hidden="false" customHeight="false" outlineLevel="0" collapsed="false">
      <c r="A351" s="3" t="n">
        <v>1583</v>
      </c>
      <c r="B351" s="3" t="s">
        <v>1542</v>
      </c>
      <c r="C351" s="3" t="s">
        <v>1541</v>
      </c>
      <c r="D351" s="3" t="s">
        <v>147</v>
      </c>
      <c r="E351" s="3" t="s">
        <v>3834</v>
      </c>
      <c r="F351" s="3" t="s">
        <v>3606</v>
      </c>
      <c r="G351" s="3" t="s">
        <v>3600</v>
      </c>
      <c r="H351" s="8" t="n">
        <v>3</v>
      </c>
      <c r="I351" s="8" t="s">
        <v>51</v>
      </c>
      <c r="J351" s="8" t="s">
        <v>59</v>
      </c>
      <c r="K351" s="8" t="s">
        <v>61</v>
      </c>
      <c r="L351" s="8" t="n">
        <v>600</v>
      </c>
      <c r="M351" s="8" t="n">
        <v>1800</v>
      </c>
      <c r="N351" s="6" t="n">
        <f aca="false">L351*0.6*H351</f>
        <v>1080</v>
      </c>
      <c r="O351" s="6" t="n">
        <f aca="false">M351-N351</f>
        <v>720</v>
      </c>
      <c r="P351" s="7" t="n">
        <f aca="false">IF(M351=0,0,O351/M351)</f>
        <v>0.4</v>
      </c>
    </row>
    <row r="352" customFormat="false" ht="15" hidden="false" customHeight="false" outlineLevel="0" collapsed="false">
      <c r="A352" s="2" t="n">
        <v>1584</v>
      </c>
      <c r="B352" s="2" t="s">
        <v>1546</v>
      </c>
      <c r="C352" s="2" t="s">
        <v>439</v>
      </c>
      <c r="D352" s="2" t="s">
        <v>34</v>
      </c>
      <c r="E352" s="2" t="s">
        <v>3635</v>
      </c>
      <c r="F352" s="2" t="s">
        <v>3606</v>
      </c>
      <c r="G352" s="2" t="s">
        <v>3600</v>
      </c>
      <c r="H352" s="5" t="n">
        <v>3</v>
      </c>
      <c r="I352" s="5" t="s">
        <v>18</v>
      </c>
      <c r="J352" s="5" t="s">
        <v>59</v>
      </c>
      <c r="K352" s="5" t="s">
        <v>99</v>
      </c>
      <c r="L352" s="5" t="n">
        <v>300</v>
      </c>
      <c r="M352" s="5" t="n">
        <v>900</v>
      </c>
      <c r="N352" s="6" t="n">
        <f aca="false">L352*0.6*H352</f>
        <v>540</v>
      </c>
      <c r="O352" s="6" t="n">
        <f aca="false">M352-N352</f>
        <v>360</v>
      </c>
      <c r="P352" s="7" t="n">
        <f aca="false">IF(M352=0,0,O352/M352)</f>
        <v>0.4</v>
      </c>
    </row>
    <row r="353" customFormat="false" ht="15" hidden="false" customHeight="false" outlineLevel="0" collapsed="false">
      <c r="A353" s="3" t="n">
        <v>1585</v>
      </c>
      <c r="B353" s="3" t="s">
        <v>896</v>
      </c>
      <c r="C353" s="3" t="s">
        <v>1549</v>
      </c>
      <c r="D353" s="3" t="s">
        <v>108</v>
      </c>
      <c r="E353" s="3" t="s">
        <v>3687</v>
      </c>
      <c r="F353" s="3" t="s">
        <v>3625</v>
      </c>
      <c r="G353" s="3" t="s">
        <v>3592</v>
      </c>
      <c r="H353" s="8" t="n">
        <v>1</v>
      </c>
      <c r="I353" s="8" t="s">
        <v>97</v>
      </c>
      <c r="J353" s="8" t="s">
        <v>19</v>
      </c>
      <c r="K353" s="8" t="s">
        <v>73</v>
      </c>
      <c r="L353" s="8" t="n">
        <v>1200</v>
      </c>
      <c r="M353" s="8" t="n">
        <v>1200</v>
      </c>
      <c r="N353" s="6" t="n">
        <f aca="false">L353*0.6*H353</f>
        <v>720</v>
      </c>
      <c r="O353" s="6" t="n">
        <f aca="false">M353-N353</f>
        <v>480</v>
      </c>
      <c r="P353" s="7" t="n">
        <f aca="false">IF(M353=0,0,O353/M353)</f>
        <v>0.4</v>
      </c>
    </row>
    <row r="354" customFormat="false" ht="15" hidden="false" customHeight="false" outlineLevel="0" collapsed="false">
      <c r="A354" s="2" t="n">
        <v>1586</v>
      </c>
      <c r="B354" s="2" t="s">
        <v>230</v>
      </c>
      <c r="C354" s="2" t="s">
        <v>1029</v>
      </c>
      <c r="D354" s="2" t="s">
        <v>25</v>
      </c>
      <c r="E354" s="2" t="s">
        <v>3830</v>
      </c>
      <c r="F354" s="2" t="s">
        <v>2379</v>
      </c>
      <c r="G354" s="2" t="s">
        <v>3592</v>
      </c>
      <c r="H354" s="5" t="n">
        <v>1</v>
      </c>
      <c r="I354" s="5" t="s">
        <v>97</v>
      </c>
      <c r="J354" s="5" t="s">
        <v>28</v>
      </c>
      <c r="K354" s="5" t="s">
        <v>30</v>
      </c>
      <c r="L354" s="5" t="n">
        <v>800</v>
      </c>
      <c r="M354" s="5" t="n">
        <v>800</v>
      </c>
      <c r="N354" s="6" t="n">
        <f aca="false">L354*0.6*H354</f>
        <v>480</v>
      </c>
      <c r="O354" s="6" t="n">
        <f aca="false">M354-N354</f>
        <v>320</v>
      </c>
      <c r="P354" s="7" t="n">
        <f aca="false">IF(M354=0,0,O354/M354)</f>
        <v>0.4</v>
      </c>
    </row>
    <row r="355" customFormat="false" ht="15" hidden="false" customHeight="false" outlineLevel="0" collapsed="false">
      <c r="A355" s="3" t="n">
        <v>1587</v>
      </c>
      <c r="B355" s="3" t="s">
        <v>1554</v>
      </c>
      <c r="C355" s="3" t="s">
        <v>535</v>
      </c>
      <c r="D355" s="3" t="s">
        <v>108</v>
      </c>
      <c r="E355" s="3" t="s">
        <v>3676</v>
      </c>
      <c r="F355" s="3" t="s">
        <v>3625</v>
      </c>
      <c r="G355" s="3" t="s">
        <v>3592</v>
      </c>
      <c r="H355" s="8" t="n">
        <v>1</v>
      </c>
      <c r="I355" s="8" t="s">
        <v>18</v>
      </c>
      <c r="J355" s="8" t="s">
        <v>36</v>
      </c>
      <c r="K355" s="8" t="s">
        <v>192</v>
      </c>
      <c r="L355" s="8" t="n">
        <v>1200</v>
      </c>
      <c r="M355" s="8" t="n">
        <v>1200</v>
      </c>
      <c r="N355" s="6" t="n">
        <f aca="false">L355*0.6*H355</f>
        <v>720</v>
      </c>
      <c r="O355" s="6" t="n">
        <f aca="false">M355-N355</f>
        <v>480</v>
      </c>
      <c r="P355" s="7" t="n">
        <f aca="false">IF(M355=0,0,O355/M355)</f>
        <v>0.4</v>
      </c>
    </row>
    <row r="356" customFormat="false" ht="15" hidden="false" customHeight="false" outlineLevel="0" collapsed="false">
      <c r="A356" s="2" t="n">
        <v>1588</v>
      </c>
      <c r="B356" s="2" t="s">
        <v>1558</v>
      </c>
      <c r="C356" s="2" t="s">
        <v>1557</v>
      </c>
      <c r="D356" s="2" t="s">
        <v>147</v>
      </c>
      <c r="E356" s="2" t="s">
        <v>3750</v>
      </c>
      <c r="F356" s="2" t="s">
        <v>3628</v>
      </c>
      <c r="G356" s="2" t="s">
        <v>3595</v>
      </c>
      <c r="H356" s="5" t="n">
        <v>2</v>
      </c>
      <c r="I356" s="5" t="s">
        <v>18</v>
      </c>
      <c r="J356" s="5" t="s">
        <v>28</v>
      </c>
      <c r="K356" s="5" t="s">
        <v>30</v>
      </c>
      <c r="L356" s="5" t="n">
        <v>600</v>
      </c>
      <c r="M356" s="5" t="n">
        <v>1200</v>
      </c>
      <c r="N356" s="6" t="n">
        <f aca="false">L356*0.6*H356</f>
        <v>720</v>
      </c>
      <c r="O356" s="6" t="n">
        <f aca="false">M356-N356</f>
        <v>480</v>
      </c>
      <c r="P356" s="7" t="n">
        <f aca="false">IF(M356=0,0,O356/M356)</f>
        <v>0.4</v>
      </c>
    </row>
    <row r="357" customFormat="false" ht="15" hidden="false" customHeight="false" outlineLevel="0" collapsed="false">
      <c r="A357" s="3" t="n">
        <v>1589</v>
      </c>
      <c r="B357" s="3" t="s">
        <v>1561</v>
      </c>
      <c r="C357" s="3" t="s">
        <v>991</v>
      </c>
      <c r="D357" s="3" t="s">
        <v>49</v>
      </c>
      <c r="E357" s="3" t="s">
        <v>3835</v>
      </c>
      <c r="F357" s="3" t="s">
        <v>3594</v>
      </c>
      <c r="G357" s="3" t="s">
        <v>3595</v>
      </c>
      <c r="H357" s="8" t="n">
        <v>1</v>
      </c>
      <c r="I357" s="8" t="s">
        <v>27</v>
      </c>
      <c r="J357" s="8" t="s">
        <v>28</v>
      </c>
      <c r="K357" s="8" t="s">
        <v>30</v>
      </c>
      <c r="L357" s="8" t="n">
        <v>250</v>
      </c>
      <c r="M357" s="8" t="n">
        <v>250</v>
      </c>
      <c r="N357" s="6" t="n">
        <f aca="false">L357*0.6*H357</f>
        <v>150</v>
      </c>
      <c r="O357" s="6" t="n">
        <f aca="false">M357-N357</f>
        <v>100</v>
      </c>
      <c r="P357" s="7" t="n">
        <f aca="false">IF(M357=0,0,O357/M357)</f>
        <v>0.4</v>
      </c>
    </row>
    <row r="358" customFormat="false" ht="15" hidden="false" customHeight="false" outlineLevel="0" collapsed="false">
      <c r="A358" s="2" t="n">
        <v>1590</v>
      </c>
      <c r="B358" s="2" t="s">
        <v>1565</v>
      </c>
      <c r="C358" s="2" t="s">
        <v>660</v>
      </c>
      <c r="D358" s="2" t="s">
        <v>49</v>
      </c>
      <c r="E358" s="2" t="s">
        <v>3836</v>
      </c>
      <c r="F358" s="2" t="s">
        <v>1756</v>
      </c>
      <c r="G358" s="2" t="s">
        <v>3595</v>
      </c>
      <c r="H358" s="5" t="n">
        <v>1</v>
      </c>
      <c r="I358" s="5" t="s">
        <v>51</v>
      </c>
      <c r="J358" s="5" t="s">
        <v>52</v>
      </c>
      <c r="K358" s="5" t="s">
        <v>182</v>
      </c>
      <c r="L358" s="5" t="n">
        <v>250</v>
      </c>
      <c r="M358" s="5" t="n">
        <v>250</v>
      </c>
      <c r="N358" s="6" t="n">
        <f aca="false">L358*0.6*H358</f>
        <v>150</v>
      </c>
      <c r="O358" s="6" t="n">
        <f aca="false">M358-N358</f>
        <v>100</v>
      </c>
      <c r="P358" s="7" t="n">
        <f aca="false">IF(M358=0,0,O358/M358)</f>
        <v>0.4</v>
      </c>
    </row>
    <row r="359" customFormat="false" ht="15" hidden="false" customHeight="false" outlineLevel="0" collapsed="false">
      <c r="A359" s="3" t="n">
        <v>1591</v>
      </c>
      <c r="B359" s="3" t="s">
        <v>478</v>
      </c>
      <c r="C359" s="3" t="s">
        <v>265</v>
      </c>
      <c r="D359" s="3" t="s">
        <v>34</v>
      </c>
      <c r="E359" s="3" t="s">
        <v>3837</v>
      </c>
      <c r="F359" s="3" t="s">
        <v>3599</v>
      </c>
      <c r="G359" s="3" t="s">
        <v>3600</v>
      </c>
      <c r="H359" s="8" t="n">
        <v>2</v>
      </c>
      <c r="I359" s="8" t="s">
        <v>18</v>
      </c>
      <c r="J359" s="8" t="s">
        <v>28</v>
      </c>
      <c r="K359" s="8" t="s">
        <v>30</v>
      </c>
      <c r="L359" s="8" t="n">
        <v>300</v>
      </c>
      <c r="M359" s="8" t="n">
        <v>600</v>
      </c>
      <c r="N359" s="6" t="n">
        <f aca="false">L359*0.6*H359</f>
        <v>360</v>
      </c>
      <c r="O359" s="6" t="n">
        <f aca="false">M359-N359</f>
        <v>240</v>
      </c>
      <c r="P359" s="7" t="n">
        <f aca="false">IF(M359=0,0,O359/M359)</f>
        <v>0.4</v>
      </c>
    </row>
    <row r="360" customFormat="false" ht="15" hidden="false" customHeight="false" outlineLevel="0" collapsed="false">
      <c r="A360" s="2" t="n">
        <v>1592</v>
      </c>
      <c r="B360" s="2" t="s">
        <v>1573</v>
      </c>
      <c r="C360" s="2" t="s">
        <v>1572</v>
      </c>
      <c r="D360" s="2" t="s">
        <v>16</v>
      </c>
      <c r="E360" s="2" t="s">
        <v>3838</v>
      </c>
      <c r="F360" s="2" t="s">
        <v>2379</v>
      </c>
      <c r="G360" s="2" t="s">
        <v>3592</v>
      </c>
      <c r="H360" s="5" t="n">
        <v>1</v>
      </c>
      <c r="I360" s="5" t="s">
        <v>97</v>
      </c>
      <c r="J360" s="5" t="s">
        <v>121</v>
      </c>
      <c r="K360" s="5" t="s">
        <v>123</v>
      </c>
      <c r="L360" s="5" t="n">
        <v>250</v>
      </c>
      <c r="M360" s="5" t="n">
        <v>250</v>
      </c>
      <c r="N360" s="6" t="n">
        <f aca="false">L360*0.6*H360</f>
        <v>150</v>
      </c>
      <c r="O360" s="6" t="n">
        <f aca="false">M360-N360</f>
        <v>100</v>
      </c>
      <c r="P360" s="7" t="n">
        <f aca="false">IF(M360=0,0,O360/M360)</f>
        <v>0.4</v>
      </c>
    </row>
    <row r="361" customFormat="false" ht="15" hidden="false" customHeight="false" outlineLevel="0" collapsed="false">
      <c r="A361" s="3" t="n">
        <v>1593</v>
      </c>
      <c r="B361" s="3" t="s">
        <v>1577</v>
      </c>
      <c r="C361" s="3" t="s">
        <v>633</v>
      </c>
      <c r="D361" s="3" t="s">
        <v>108</v>
      </c>
      <c r="E361" s="3" t="s">
        <v>3839</v>
      </c>
      <c r="F361" s="3" t="s">
        <v>1756</v>
      </c>
      <c r="G361" s="3" t="s">
        <v>3595</v>
      </c>
      <c r="H361" s="8" t="n">
        <v>3</v>
      </c>
      <c r="I361" s="8" t="s">
        <v>18</v>
      </c>
      <c r="J361" s="8" t="s">
        <v>121</v>
      </c>
      <c r="K361" s="8" t="s">
        <v>123</v>
      </c>
      <c r="L361" s="8" t="n">
        <v>1200</v>
      </c>
      <c r="M361" s="8" t="n">
        <v>3600</v>
      </c>
      <c r="N361" s="6" t="n">
        <f aca="false">L361*0.6*H361</f>
        <v>2160</v>
      </c>
      <c r="O361" s="6" t="n">
        <f aca="false">M361-N361</f>
        <v>1440</v>
      </c>
      <c r="P361" s="7" t="n">
        <f aca="false">IF(M361=0,0,O361/M361)</f>
        <v>0.4</v>
      </c>
    </row>
    <row r="362" customFormat="false" ht="15" hidden="false" customHeight="false" outlineLevel="0" collapsed="false">
      <c r="A362" s="2" t="n">
        <v>1594</v>
      </c>
      <c r="B362" s="2" t="s">
        <v>540</v>
      </c>
      <c r="C362" s="2" t="s">
        <v>1581</v>
      </c>
      <c r="D362" s="2" t="s">
        <v>108</v>
      </c>
      <c r="E362" s="2" t="s">
        <v>3813</v>
      </c>
      <c r="F362" s="2" t="s">
        <v>3606</v>
      </c>
      <c r="G362" s="2" t="s">
        <v>3600</v>
      </c>
      <c r="H362" s="5" t="n">
        <v>1</v>
      </c>
      <c r="I362" s="5" t="s">
        <v>51</v>
      </c>
      <c r="J362" s="5" t="s">
        <v>19</v>
      </c>
      <c r="K362" s="5" t="s">
        <v>73</v>
      </c>
      <c r="L362" s="5" t="n">
        <v>1200</v>
      </c>
      <c r="M362" s="5" t="n">
        <v>1200</v>
      </c>
      <c r="N362" s="6" t="n">
        <f aca="false">L362*0.6*H362</f>
        <v>720</v>
      </c>
      <c r="O362" s="6" t="n">
        <f aca="false">M362-N362</f>
        <v>480</v>
      </c>
      <c r="P362" s="7" t="n">
        <f aca="false">IF(M362=0,0,O362/M362)</f>
        <v>0.4</v>
      </c>
    </row>
    <row r="363" customFormat="false" ht="15" hidden="false" customHeight="false" outlineLevel="0" collapsed="false">
      <c r="A363" s="3" t="n">
        <v>1595</v>
      </c>
      <c r="B363" s="3" t="s">
        <v>1585</v>
      </c>
      <c r="C363" s="3" t="s">
        <v>1584</v>
      </c>
      <c r="D363" s="3" t="s">
        <v>108</v>
      </c>
      <c r="E363" s="3" t="s">
        <v>3840</v>
      </c>
      <c r="F363" s="3" t="s">
        <v>3591</v>
      </c>
      <c r="G363" s="3" t="s">
        <v>3592</v>
      </c>
      <c r="H363" s="8" t="n">
        <v>2</v>
      </c>
      <c r="I363" s="8" t="s">
        <v>51</v>
      </c>
      <c r="J363" s="8" t="s">
        <v>36</v>
      </c>
      <c r="K363" s="8" t="s">
        <v>192</v>
      </c>
      <c r="L363" s="8" t="n">
        <v>1200</v>
      </c>
      <c r="M363" s="8" t="n">
        <v>2400</v>
      </c>
      <c r="N363" s="6" t="n">
        <f aca="false">L363*0.6*H363</f>
        <v>1440</v>
      </c>
      <c r="O363" s="6" t="n">
        <f aca="false">M363-N363</f>
        <v>960</v>
      </c>
      <c r="P363" s="7" t="n">
        <f aca="false">IF(M363=0,0,O363/M363)</f>
        <v>0.4</v>
      </c>
    </row>
    <row r="364" customFormat="false" ht="15" hidden="false" customHeight="false" outlineLevel="0" collapsed="false">
      <c r="A364" s="2" t="n">
        <v>1596</v>
      </c>
      <c r="B364" s="2" t="s">
        <v>1313</v>
      </c>
      <c r="C364" s="2" t="s">
        <v>837</v>
      </c>
      <c r="D364" s="2" t="s">
        <v>147</v>
      </c>
      <c r="E364" s="2" t="s">
        <v>3799</v>
      </c>
      <c r="F364" s="2" t="s">
        <v>2379</v>
      </c>
      <c r="G364" s="2" t="s">
        <v>3592</v>
      </c>
      <c r="H364" s="5" t="n">
        <v>1</v>
      </c>
      <c r="I364" s="5" t="s">
        <v>97</v>
      </c>
      <c r="J364" s="5" t="s">
        <v>121</v>
      </c>
      <c r="K364" s="5" t="s">
        <v>123</v>
      </c>
      <c r="L364" s="5" t="n">
        <v>600</v>
      </c>
      <c r="M364" s="5" t="n">
        <v>600</v>
      </c>
      <c r="N364" s="6" t="n">
        <f aca="false">L364*0.6*H364</f>
        <v>360</v>
      </c>
      <c r="O364" s="6" t="n">
        <f aca="false">M364-N364</f>
        <v>240</v>
      </c>
      <c r="P364" s="7" t="n">
        <f aca="false">IF(M364=0,0,O364/M364)</f>
        <v>0.4</v>
      </c>
    </row>
    <row r="365" customFormat="false" ht="15" hidden="false" customHeight="false" outlineLevel="0" collapsed="false">
      <c r="A365" s="3" t="n">
        <v>1597</v>
      </c>
      <c r="B365" s="3" t="s">
        <v>1591</v>
      </c>
      <c r="C365" s="3" t="s">
        <v>991</v>
      </c>
      <c r="D365" s="3" t="s">
        <v>16</v>
      </c>
      <c r="E365" s="3" t="s">
        <v>3631</v>
      </c>
      <c r="F365" s="3" t="s">
        <v>3608</v>
      </c>
      <c r="G365" s="3" t="s">
        <v>3604</v>
      </c>
      <c r="H365" s="8" t="n">
        <v>1</v>
      </c>
      <c r="I365" s="8" t="s">
        <v>51</v>
      </c>
      <c r="J365" s="8" t="s">
        <v>19</v>
      </c>
      <c r="K365" s="8" t="s">
        <v>176</v>
      </c>
      <c r="L365" s="8" t="n">
        <v>250</v>
      </c>
      <c r="M365" s="8" t="n">
        <v>250</v>
      </c>
      <c r="N365" s="6" t="n">
        <f aca="false">L365*0.6*H365</f>
        <v>150</v>
      </c>
      <c r="O365" s="6" t="n">
        <f aca="false">M365-N365</f>
        <v>100</v>
      </c>
      <c r="P365" s="7" t="n">
        <f aca="false">IF(M365=0,0,O365/M365)</f>
        <v>0.4</v>
      </c>
    </row>
    <row r="366" customFormat="false" ht="15" hidden="false" customHeight="false" outlineLevel="0" collapsed="false">
      <c r="A366" s="2" t="n">
        <v>1598</v>
      </c>
      <c r="B366" s="2" t="s">
        <v>959</v>
      </c>
      <c r="C366" s="2" t="s">
        <v>1594</v>
      </c>
      <c r="D366" s="2" t="s">
        <v>108</v>
      </c>
      <c r="E366" s="2" t="s">
        <v>3841</v>
      </c>
      <c r="F366" s="2" t="s">
        <v>3606</v>
      </c>
      <c r="G366" s="2" t="s">
        <v>3600</v>
      </c>
      <c r="H366" s="5" t="n">
        <v>3</v>
      </c>
      <c r="I366" s="5" t="s">
        <v>51</v>
      </c>
      <c r="J366" s="5" t="s">
        <v>59</v>
      </c>
      <c r="K366" s="5" t="s">
        <v>99</v>
      </c>
      <c r="L366" s="5" t="n">
        <v>1200</v>
      </c>
      <c r="M366" s="5" t="n">
        <v>3600</v>
      </c>
      <c r="N366" s="6" t="n">
        <f aca="false">L366*0.6*H366</f>
        <v>2160</v>
      </c>
      <c r="O366" s="6" t="n">
        <f aca="false">M366-N366</f>
        <v>1440</v>
      </c>
      <c r="P366" s="7" t="n">
        <f aca="false">IF(M366=0,0,O366/M366)</f>
        <v>0.4</v>
      </c>
    </row>
    <row r="367" customFormat="false" ht="15" hidden="false" customHeight="false" outlineLevel="0" collapsed="false">
      <c r="A367" s="3" t="n">
        <v>1599</v>
      </c>
      <c r="B367" s="3" t="s">
        <v>448</v>
      </c>
      <c r="C367" s="3" t="s">
        <v>1598</v>
      </c>
      <c r="D367" s="3" t="s">
        <v>16</v>
      </c>
      <c r="E367" s="3" t="s">
        <v>3648</v>
      </c>
      <c r="F367" s="3" t="s">
        <v>3628</v>
      </c>
      <c r="G367" s="3" t="s">
        <v>3595</v>
      </c>
      <c r="H367" s="8" t="n">
        <v>2</v>
      </c>
      <c r="I367" s="8" t="s">
        <v>18</v>
      </c>
      <c r="J367" s="8" t="s">
        <v>19</v>
      </c>
      <c r="K367" s="8" t="s">
        <v>21</v>
      </c>
      <c r="L367" s="8" t="n">
        <v>250</v>
      </c>
      <c r="M367" s="8" t="n">
        <v>500</v>
      </c>
      <c r="N367" s="6" t="n">
        <f aca="false">L367*0.6*H367</f>
        <v>300</v>
      </c>
      <c r="O367" s="6" t="n">
        <f aca="false">M367-N367</f>
        <v>200</v>
      </c>
      <c r="P367" s="7" t="n">
        <f aca="false">IF(M367=0,0,O367/M367)</f>
        <v>0.4</v>
      </c>
    </row>
    <row r="368" customFormat="false" ht="15" hidden="false" customHeight="false" outlineLevel="0" collapsed="false">
      <c r="A368" s="2" t="n">
        <v>1600</v>
      </c>
      <c r="B368" s="2" t="s">
        <v>405</v>
      </c>
      <c r="C368" s="2" t="s">
        <v>184</v>
      </c>
      <c r="D368" s="2" t="s">
        <v>147</v>
      </c>
      <c r="E368" s="2" t="s">
        <v>3842</v>
      </c>
      <c r="F368" s="2" t="s">
        <v>3608</v>
      </c>
      <c r="G368" s="2" t="s">
        <v>3604</v>
      </c>
      <c r="H368" s="5" t="n">
        <v>2</v>
      </c>
      <c r="I368" s="5" t="s">
        <v>27</v>
      </c>
      <c r="J368" s="5" t="s">
        <v>36</v>
      </c>
      <c r="K368" s="5" t="s">
        <v>38</v>
      </c>
      <c r="L368" s="5" t="n">
        <v>600</v>
      </c>
      <c r="M368" s="5" t="n">
        <v>1200</v>
      </c>
      <c r="N368" s="6" t="n">
        <f aca="false">L368*0.6*H368</f>
        <v>720</v>
      </c>
      <c r="O368" s="6" t="n">
        <f aca="false">M368-N368</f>
        <v>480</v>
      </c>
      <c r="P368" s="7" t="n">
        <f aca="false">IF(M368=0,0,O368/M368)</f>
        <v>0.4</v>
      </c>
    </row>
    <row r="369" customFormat="false" ht="15" hidden="false" customHeight="false" outlineLevel="0" collapsed="false">
      <c r="A369" s="3" t="n">
        <v>1601</v>
      </c>
      <c r="B369" s="3" t="s">
        <v>1605</v>
      </c>
      <c r="C369" s="3" t="s">
        <v>1604</v>
      </c>
      <c r="D369" s="3" t="s">
        <v>25</v>
      </c>
      <c r="E369" s="3" t="s">
        <v>3781</v>
      </c>
      <c r="F369" s="3" t="s">
        <v>3610</v>
      </c>
      <c r="G369" s="3" t="s">
        <v>3600</v>
      </c>
      <c r="H369" s="8" t="n">
        <v>1</v>
      </c>
      <c r="I369" s="8" t="s">
        <v>51</v>
      </c>
      <c r="J369" s="8" t="s">
        <v>52</v>
      </c>
      <c r="K369" s="8" t="s">
        <v>54</v>
      </c>
      <c r="L369" s="8" t="n">
        <v>800</v>
      </c>
      <c r="M369" s="8" t="n">
        <v>800</v>
      </c>
      <c r="N369" s="6" t="n">
        <f aca="false">L369*0.6*H369</f>
        <v>480</v>
      </c>
      <c r="O369" s="6" t="n">
        <f aca="false">M369-N369</f>
        <v>320</v>
      </c>
      <c r="P369" s="7" t="n">
        <f aca="false">IF(M369=0,0,O369/M369)</f>
        <v>0.4</v>
      </c>
    </row>
    <row r="370" customFormat="false" ht="15" hidden="false" customHeight="false" outlineLevel="0" collapsed="false">
      <c r="A370" s="2" t="n">
        <v>1602</v>
      </c>
      <c r="B370" s="2" t="s">
        <v>1608</v>
      </c>
      <c r="C370" s="2" t="s">
        <v>457</v>
      </c>
      <c r="D370" s="2" t="s">
        <v>34</v>
      </c>
      <c r="E370" s="2" t="s">
        <v>3763</v>
      </c>
      <c r="F370" s="2" t="s">
        <v>3608</v>
      </c>
      <c r="G370" s="2" t="s">
        <v>3604</v>
      </c>
      <c r="H370" s="5" t="n">
        <v>2</v>
      </c>
      <c r="I370" s="5" t="s">
        <v>18</v>
      </c>
      <c r="J370" s="5" t="s">
        <v>19</v>
      </c>
      <c r="K370" s="5" t="s">
        <v>21</v>
      </c>
      <c r="L370" s="5" t="n">
        <v>300</v>
      </c>
      <c r="M370" s="5" t="n">
        <v>600</v>
      </c>
      <c r="N370" s="6" t="n">
        <f aca="false">L370*0.6*H370</f>
        <v>360</v>
      </c>
      <c r="O370" s="6" t="n">
        <f aca="false">M370-N370</f>
        <v>240</v>
      </c>
      <c r="P370" s="7" t="n">
        <f aca="false">IF(M370=0,0,O370/M370)</f>
        <v>0.4</v>
      </c>
    </row>
    <row r="371" customFormat="false" ht="15" hidden="false" customHeight="false" outlineLevel="0" collapsed="false">
      <c r="A371" s="3" t="n">
        <v>1603</v>
      </c>
      <c r="B371" s="3" t="s">
        <v>1612</v>
      </c>
      <c r="C371" s="3" t="s">
        <v>1611</v>
      </c>
      <c r="D371" s="3" t="s">
        <v>147</v>
      </c>
      <c r="E371" s="3" t="s">
        <v>3813</v>
      </c>
      <c r="F371" s="3" t="s">
        <v>3606</v>
      </c>
      <c r="G371" s="3" t="s">
        <v>3600</v>
      </c>
      <c r="H371" s="8" t="n">
        <v>2</v>
      </c>
      <c r="I371" s="8" t="s">
        <v>18</v>
      </c>
      <c r="J371" s="8" t="s">
        <v>78</v>
      </c>
      <c r="K371" s="8" t="s">
        <v>80</v>
      </c>
      <c r="L371" s="8" t="n">
        <v>600</v>
      </c>
      <c r="M371" s="8" t="n">
        <v>1200</v>
      </c>
      <c r="N371" s="6" t="n">
        <f aca="false">L371*0.6*H371</f>
        <v>720</v>
      </c>
      <c r="O371" s="6" t="n">
        <f aca="false">M371-N371</f>
        <v>480</v>
      </c>
      <c r="P371" s="7" t="n">
        <f aca="false">IF(M371=0,0,O371/M371)</f>
        <v>0.4</v>
      </c>
    </row>
    <row r="372" customFormat="false" ht="15" hidden="false" customHeight="false" outlineLevel="0" collapsed="false">
      <c r="A372" s="2" t="n">
        <v>1604</v>
      </c>
      <c r="B372" s="2" t="s">
        <v>1529</v>
      </c>
      <c r="C372" s="2" t="s">
        <v>1615</v>
      </c>
      <c r="D372" s="2" t="s">
        <v>108</v>
      </c>
      <c r="E372" s="2" t="s">
        <v>3826</v>
      </c>
      <c r="F372" s="2" t="s">
        <v>3610</v>
      </c>
      <c r="G372" s="2" t="s">
        <v>3600</v>
      </c>
      <c r="H372" s="5" t="n">
        <v>3</v>
      </c>
      <c r="I372" s="5" t="s">
        <v>51</v>
      </c>
      <c r="J372" s="5" t="s">
        <v>19</v>
      </c>
      <c r="K372" s="5" t="s">
        <v>73</v>
      </c>
      <c r="L372" s="5" t="n">
        <v>1200</v>
      </c>
      <c r="M372" s="5" t="n">
        <v>3600</v>
      </c>
      <c r="N372" s="6" t="n">
        <f aca="false">L372*0.6*H372</f>
        <v>2160</v>
      </c>
      <c r="O372" s="6" t="n">
        <f aca="false">M372-N372</f>
        <v>1440</v>
      </c>
      <c r="P372" s="7" t="n">
        <f aca="false">IF(M372=0,0,O372/M372)</f>
        <v>0.4</v>
      </c>
    </row>
    <row r="373" customFormat="false" ht="15" hidden="false" customHeight="false" outlineLevel="0" collapsed="false">
      <c r="A373" s="3" t="n">
        <v>1605</v>
      </c>
      <c r="B373" s="3" t="s">
        <v>1619</v>
      </c>
      <c r="C373" s="3" t="s">
        <v>1618</v>
      </c>
      <c r="D373" s="3" t="s">
        <v>108</v>
      </c>
      <c r="E373" s="3" t="s">
        <v>3843</v>
      </c>
      <c r="F373" s="3" t="s">
        <v>3603</v>
      </c>
      <c r="G373" s="3" t="s">
        <v>3604</v>
      </c>
      <c r="H373" s="8" t="n">
        <v>3</v>
      </c>
      <c r="I373" s="8" t="s">
        <v>51</v>
      </c>
      <c r="J373" s="8" t="s">
        <v>43</v>
      </c>
      <c r="K373" s="8" t="s">
        <v>67</v>
      </c>
      <c r="L373" s="8" t="n">
        <v>1200</v>
      </c>
      <c r="M373" s="8" t="n">
        <v>3600</v>
      </c>
      <c r="N373" s="6" t="n">
        <f aca="false">L373*0.6*H373</f>
        <v>2160</v>
      </c>
      <c r="O373" s="6" t="n">
        <f aca="false">M373-N373</f>
        <v>1440</v>
      </c>
      <c r="P373" s="7" t="n">
        <f aca="false">IF(M373=0,0,O373/M373)</f>
        <v>0.4</v>
      </c>
    </row>
    <row r="374" customFormat="false" ht="15" hidden="false" customHeight="false" outlineLevel="0" collapsed="false">
      <c r="A374" s="2" t="n">
        <v>1606</v>
      </c>
      <c r="B374" s="2" t="s">
        <v>891</v>
      </c>
      <c r="C374" s="2" t="s">
        <v>1623</v>
      </c>
      <c r="D374" s="2" t="s">
        <v>147</v>
      </c>
      <c r="E374" s="2" t="s">
        <v>3844</v>
      </c>
      <c r="F374" s="2" t="s">
        <v>3603</v>
      </c>
      <c r="G374" s="2" t="s">
        <v>3604</v>
      </c>
      <c r="H374" s="5" t="n">
        <v>3</v>
      </c>
      <c r="I374" s="5" t="s">
        <v>51</v>
      </c>
      <c r="J374" s="5" t="s">
        <v>78</v>
      </c>
      <c r="K374" s="5" t="s">
        <v>408</v>
      </c>
      <c r="L374" s="5" t="n">
        <v>600</v>
      </c>
      <c r="M374" s="5" t="n">
        <v>1800</v>
      </c>
      <c r="N374" s="6" t="n">
        <f aca="false">L374*0.6*H374</f>
        <v>1080</v>
      </c>
      <c r="O374" s="6" t="n">
        <f aca="false">M374-N374</f>
        <v>720</v>
      </c>
      <c r="P374" s="7" t="n">
        <f aca="false">IF(M374=0,0,O374/M374)</f>
        <v>0.4</v>
      </c>
    </row>
    <row r="375" customFormat="false" ht="15" hidden="false" customHeight="false" outlineLevel="0" collapsed="false">
      <c r="A375" s="3" t="n">
        <v>1607</v>
      </c>
      <c r="B375" s="3" t="s">
        <v>1228</v>
      </c>
      <c r="C375" s="3" t="s">
        <v>1627</v>
      </c>
      <c r="D375" s="3" t="s">
        <v>25</v>
      </c>
      <c r="E375" s="3" t="s">
        <v>3845</v>
      </c>
      <c r="F375" s="3" t="s">
        <v>3594</v>
      </c>
      <c r="G375" s="3" t="s">
        <v>3595</v>
      </c>
      <c r="H375" s="8" t="n">
        <v>3</v>
      </c>
      <c r="I375" s="8" t="s">
        <v>18</v>
      </c>
      <c r="J375" s="8" t="s">
        <v>52</v>
      </c>
      <c r="K375" s="8" t="s">
        <v>92</v>
      </c>
      <c r="L375" s="8" t="n">
        <v>800</v>
      </c>
      <c r="M375" s="8" t="n">
        <v>2400</v>
      </c>
      <c r="N375" s="6" t="n">
        <f aca="false">L375*0.6*H375</f>
        <v>1440</v>
      </c>
      <c r="O375" s="6" t="n">
        <f aca="false">M375-N375</f>
        <v>960</v>
      </c>
      <c r="P375" s="7" t="n">
        <f aca="false">IF(M375=0,0,O375/M375)</f>
        <v>0.4</v>
      </c>
    </row>
    <row r="376" customFormat="false" ht="15" hidden="false" customHeight="false" outlineLevel="0" collapsed="false">
      <c r="A376" s="2" t="n">
        <v>1608</v>
      </c>
      <c r="B376" s="2" t="s">
        <v>954</v>
      </c>
      <c r="C376" s="2" t="s">
        <v>1427</v>
      </c>
      <c r="D376" s="2" t="s">
        <v>16</v>
      </c>
      <c r="E376" s="2" t="s">
        <v>3846</v>
      </c>
      <c r="F376" s="2" t="s">
        <v>3603</v>
      </c>
      <c r="G376" s="2" t="s">
        <v>3604</v>
      </c>
      <c r="H376" s="5" t="n">
        <v>3</v>
      </c>
      <c r="I376" s="5" t="s">
        <v>51</v>
      </c>
      <c r="J376" s="5" t="s">
        <v>19</v>
      </c>
      <c r="K376" s="5" t="s">
        <v>176</v>
      </c>
      <c r="L376" s="5" t="n">
        <v>250</v>
      </c>
      <c r="M376" s="5" t="n">
        <v>750</v>
      </c>
      <c r="N376" s="6" t="n">
        <f aca="false">L376*0.6*H376</f>
        <v>450</v>
      </c>
      <c r="O376" s="6" t="n">
        <f aca="false">M376-N376</f>
        <v>300</v>
      </c>
      <c r="P376" s="7" t="n">
        <f aca="false">IF(M376=0,0,O376/M376)</f>
        <v>0.4</v>
      </c>
    </row>
    <row r="377" customFormat="false" ht="15" hidden="false" customHeight="false" outlineLevel="0" collapsed="false">
      <c r="A377" s="3" t="n">
        <v>1609</v>
      </c>
      <c r="B377" s="3" t="s">
        <v>1635</v>
      </c>
      <c r="C377" s="3" t="s">
        <v>1634</v>
      </c>
      <c r="D377" s="3" t="s">
        <v>147</v>
      </c>
      <c r="E377" s="3" t="s">
        <v>3847</v>
      </c>
      <c r="F377" s="3" t="s">
        <v>1756</v>
      </c>
      <c r="G377" s="3" t="s">
        <v>3595</v>
      </c>
      <c r="H377" s="8" t="n">
        <v>2</v>
      </c>
      <c r="I377" s="8" t="s">
        <v>27</v>
      </c>
      <c r="J377" s="8" t="s">
        <v>78</v>
      </c>
      <c r="K377" s="8" t="s">
        <v>408</v>
      </c>
      <c r="L377" s="8" t="n">
        <v>600</v>
      </c>
      <c r="M377" s="8" t="n">
        <v>1200</v>
      </c>
      <c r="N377" s="6" t="n">
        <f aca="false">L377*0.6*H377</f>
        <v>720</v>
      </c>
      <c r="O377" s="6" t="n">
        <f aca="false">M377-N377</f>
        <v>480</v>
      </c>
      <c r="P377" s="7" t="n">
        <f aca="false">IF(M377=0,0,O377/M377)</f>
        <v>0.4</v>
      </c>
    </row>
    <row r="378" customFormat="false" ht="15" hidden="false" customHeight="false" outlineLevel="0" collapsed="false">
      <c r="A378" s="2" t="n">
        <v>1610</v>
      </c>
      <c r="B378" s="2" t="s">
        <v>1423</v>
      </c>
      <c r="C378" s="2" t="s">
        <v>1639</v>
      </c>
      <c r="D378" s="2" t="s">
        <v>34</v>
      </c>
      <c r="E378" s="2" t="s">
        <v>3848</v>
      </c>
      <c r="F378" s="2" t="s">
        <v>3606</v>
      </c>
      <c r="G378" s="2" t="s">
        <v>3600</v>
      </c>
      <c r="H378" s="5" t="n">
        <v>3</v>
      </c>
      <c r="I378" s="5" t="s">
        <v>27</v>
      </c>
      <c r="J378" s="5" t="s">
        <v>59</v>
      </c>
      <c r="K378" s="5" t="s">
        <v>292</v>
      </c>
      <c r="L378" s="5" t="n">
        <v>300</v>
      </c>
      <c r="M378" s="5" t="n">
        <v>900</v>
      </c>
      <c r="N378" s="6" t="n">
        <f aca="false">L378*0.6*H378</f>
        <v>540</v>
      </c>
      <c r="O378" s="6" t="n">
        <f aca="false">M378-N378</f>
        <v>360</v>
      </c>
      <c r="P378" s="7" t="n">
        <f aca="false">IF(M378=0,0,O378/M378)</f>
        <v>0.4</v>
      </c>
    </row>
    <row r="379" customFormat="false" ht="15" hidden="false" customHeight="false" outlineLevel="0" collapsed="false">
      <c r="A379" s="3" t="n">
        <v>1611</v>
      </c>
      <c r="B379" s="3" t="s">
        <v>1643</v>
      </c>
      <c r="C379" s="3" t="s">
        <v>482</v>
      </c>
      <c r="D379" s="3" t="s">
        <v>108</v>
      </c>
      <c r="E379" s="3" t="s">
        <v>3849</v>
      </c>
      <c r="F379" s="3" t="s">
        <v>1756</v>
      </c>
      <c r="G379" s="3" t="s">
        <v>3595</v>
      </c>
      <c r="H379" s="8" t="n">
        <v>3</v>
      </c>
      <c r="I379" s="8" t="s">
        <v>97</v>
      </c>
      <c r="J379" s="8" t="s">
        <v>28</v>
      </c>
      <c r="K379" s="8" t="s">
        <v>30</v>
      </c>
      <c r="L379" s="8" t="n">
        <v>1200</v>
      </c>
      <c r="M379" s="8" t="n">
        <v>3600</v>
      </c>
      <c r="N379" s="6" t="n">
        <f aca="false">L379*0.6*H379</f>
        <v>2160</v>
      </c>
      <c r="O379" s="6" t="n">
        <f aca="false">M379-N379</f>
        <v>1440</v>
      </c>
      <c r="P379" s="7" t="n">
        <f aca="false">IF(M379=0,0,O379/M379)</f>
        <v>0.4</v>
      </c>
    </row>
    <row r="380" customFormat="false" ht="15" hidden="false" customHeight="false" outlineLevel="0" collapsed="false">
      <c r="A380" s="2" t="n">
        <v>1612</v>
      </c>
      <c r="B380" s="2" t="s">
        <v>1648</v>
      </c>
      <c r="C380" s="2" t="s">
        <v>1647</v>
      </c>
      <c r="D380" s="2" t="s">
        <v>108</v>
      </c>
      <c r="E380" s="2" t="s">
        <v>3744</v>
      </c>
      <c r="F380" s="2" t="s">
        <v>3606</v>
      </c>
      <c r="G380" s="2" t="s">
        <v>3600</v>
      </c>
      <c r="H380" s="5" t="n">
        <v>1</v>
      </c>
      <c r="I380" s="5" t="s">
        <v>18</v>
      </c>
      <c r="J380" s="5" t="s">
        <v>59</v>
      </c>
      <c r="K380" s="5" t="s">
        <v>61</v>
      </c>
      <c r="L380" s="5" t="n">
        <v>1200</v>
      </c>
      <c r="M380" s="5" t="n">
        <v>1200</v>
      </c>
      <c r="N380" s="6" t="n">
        <f aca="false">L380*0.6*H380</f>
        <v>720</v>
      </c>
      <c r="O380" s="6" t="n">
        <f aca="false">M380-N380</f>
        <v>480</v>
      </c>
      <c r="P380" s="7" t="n">
        <f aca="false">IF(M380=0,0,O380/M380)</f>
        <v>0.4</v>
      </c>
    </row>
    <row r="381" customFormat="false" ht="15" hidden="false" customHeight="false" outlineLevel="0" collapsed="false">
      <c r="A381" s="3" t="n">
        <v>1613</v>
      </c>
      <c r="B381" s="3" t="s">
        <v>824</v>
      </c>
      <c r="C381" s="3" t="s">
        <v>1518</v>
      </c>
      <c r="D381" s="3" t="s">
        <v>16</v>
      </c>
      <c r="E381" s="3" t="s">
        <v>3746</v>
      </c>
      <c r="F381" s="3" t="s">
        <v>2379</v>
      </c>
      <c r="G381" s="3" t="s">
        <v>3592</v>
      </c>
      <c r="H381" s="8" t="n">
        <v>3</v>
      </c>
      <c r="I381" s="8" t="s">
        <v>51</v>
      </c>
      <c r="J381" s="8" t="s">
        <v>78</v>
      </c>
      <c r="K381" s="8" t="s">
        <v>80</v>
      </c>
      <c r="L381" s="8" t="n">
        <v>250</v>
      </c>
      <c r="M381" s="8" t="n">
        <v>750</v>
      </c>
      <c r="N381" s="6" t="n">
        <f aca="false">L381*0.6*H381</f>
        <v>450</v>
      </c>
      <c r="O381" s="6" t="n">
        <f aca="false">M381-N381</f>
        <v>300</v>
      </c>
      <c r="P381" s="7" t="n">
        <f aca="false">IF(M381=0,0,O381/M381)</f>
        <v>0.4</v>
      </c>
    </row>
    <row r="382" customFormat="false" ht="15" hidden="false" customHeight="false" outlineLevel="0" collapsed="false">
      <c r="A382" s="2" t="n">
        <v>1614</v>
      </c>
      <c r="B382" s="2" t="s">
        <v>1428</v>
      </c>
      <c r="C382" s="2" t="s">
        <v>1653</v>
      </c>
      <c r="D382" s="2" t="s">
        <v>16</v>
      </c>
      <c r="E382" s="2" t="s">
        <v>3845</v>
      </c>
      <c r="F382" s="2" t="s">
        <v>3594</v>
      </c>
      <c r="G382" s="2" t="s">
        <v>3595</v>
      </c>
      <c r="H382" s="5" t="n">
        <v>2</v>
      </c>
      <c r="I382" s="5" t="s">
        <v>97</v>
      </c>
      <c r="J382" s="5" t="s">
        <v>59</v>
      </c>
      <c r="K382" s="5" t="s">
        <v>99</v>
      </c>
      <c r="L382" s="5" t="n">
        <v>250</v>
      </c>
      <c r="M382" s="5" t="n">
        <v>500</v>
      </c>
      <c r="N382" s="6" t="n">
        <f aca="false">L382*0.6*H382</f>
        <v>300</v>
      </c>
      <c r="O382" s="6" t="n">
        <f aca="false">M382-N382</f>
        <v>200</v>
      </c>
      <c r="P382" s="7" t="n">
        <f aca="false">IF(M382=0,0,O382/M382)</f>
        <v>0.4</v>
      </c>
    </row>
    <row r="383" customFormat="false" ht="15" hidden="false" customHeight="false" outlineLevel="0" collapsed="false">
      <c r="A383" s="3" t="n">
        <v>1373</v>
      </c>
      <c r="B383" s="3" t="s">
        <v>711</v>
      </c>
      <c r="C383" s="3" t="s">
        <v>710</v>
      </c>
      <c r="D383" s="3" t="s">
        <v>108</v>
      </c>
      <c r="E383" s="3" t="s">
        <v>3816</v>
      </c>
      <c r="F383" s="3" t="s">
        <v>3625</v>
      </c>
      <c r="G383" s="3" t="s">
        <v>3592</v>
      </c>
      <c r="H383" s="8" t="n">
        <v>2</v>
      </c>
      <c r="I383" s="8" t="s">
        <v>51</v>
      </c>
      <c r="J383" s="8" t="s">
        <v>121</v>
      </c>
      <c r="K383" s="8" t="s">
        <v>317</v>
      </c>
      <c r="L383" s="8" t="n">
        <v>1200</v>
      </c>
      <c r="M383" s="8" t="n">
        <v>2400</v>
      </c>
      <c r="N383" s="6" t="n">
        <f aca="false">L383*0.6*H383</f>
        <v>1440</v>
      </c>
      <c r="O383" s="6" t="n">
        <f aca="false">M383-N383</f>
        <v>960</v>
      </c>
      <c r="P383" s="7" t="n">
        <f aca="false">IF(M383=0,0,O383/M383)</f>
        <v>0.4</v>
      </c>
    </row>
    <row r="384" customFormat="false" ht="15" hidden="false" customHeight="false" outlineLevel="0" collapsed="false">
      <c r="A384" s="2" t="n">
        <v>1615</v>
      </c>
      <c r="B384" s="2" t="s">
        <v>1659</v>
      </c>
      <c r="C384" s="2" t="s">
        <v>1658</v>
      </c>
      <c r="D384" s="2" t="s">
        <v>25</v>
      </c>
      <c r="E384" s="2" t="s">
        <v>3694</v>
      </c>
      <c r="F384" s="2" t="s">
        <v>3603</v>
      </c>
      <c r="G384" s="2" t="s">
        <v>3604</v>
      </c>
      <c r="H384" s="5" t="n">
        <v>1</v>
      </c>
      <c r="I384" s="5" t="s">
        <v>51</v>
      </c>
      <c r="J384" s="5" t="s">
        <v>78</v>
      </c>
      <c r="K384" s="5" t="s">
        <v>408</v>
      </c>
      <c r="L384" s="5" t="n">
        <v>800</v>
      </c>
      <c r="M384" s="5" t="n">
        <v>800</v>
      </c>
      <c r="N384" s="6" t="n">
        <f aca="false">L384*0.6*H384</f>
        <v>480</v>
      </c>
      <c r="O384" s="6" t="n">
        <f aca="false">M384-N384</f>
        <v>320</v>
      </c>
      <c r="P384" s="7" t="n">
        <f aca="false">IF(M384=0,0,O384/M384)</f>
        <v>0.4</v>
      </c>
    </row>
    <row r="385" customFormat="false" ht="15" hidden="false" customHeight="false" outlineLevel="0" collapsed="false">
      <c r="A385" s="3" t="n">
        <v>1616</v>
      </c>
      <c r="B385" s="3" t="s">
        <v>376</v>
      </c>
      <c r="C385" s="3" t="s">
        <v>1662</v>
      </c>
      <c r="D385" s="3" t="s">
        <v>108</v>
      </c>
      <c r="E385" s="3" t="s">
        <v>3850</v>
      </c>
      <c r="F385" s="3" t="s">
        <v>3591</v>
      </c>
      <c r="G385" s="3" t="s">
        <v>3592</v>
      </c>
      <c r="H385" s="8" t="n">
        <v>3</v>
      </c>
      <c r="I385" s="8" t="s">
        <v>27</v>
      </c>
      <c r="J385" s="8" t="s">
        <v>52</v>
      </c>
      <c r="K385" s="8" t="s">
        <v>54</v>
      </c>
      <c r="L385" s="8" t="n">
        <v>1200</v>
      </c>
      <c r="M385" s="8" t="n">
        <v>3600</v>
      </c>
      <c r="N385" s="6" t="n">
        <f aca="false">L385*0.6*H385</f>
        <v>2160</v>
      </c>
      <c r="O385" s="6" t="n">
        <f aca="false">M385-N385</f>
        <v>1440</v>
      </c>
      <c r="P385" s="7" t="n">
        <f aca="false">IF(M385=0,0,O385/M385)</f>
        <v>0.4</v>
      </c>
    </row>
    <row r="386" customFormat="false" ht="15" hidden="false" customHeight="false" outlineLevel="0" collapsed="false">
      <c r="A386" s="2" t="n">
        <v>1617</v>
      </c>
      <c r="B386" s="2" t="s">
        <v>1667</v>
      </c>
      <c r="C386" s="2" t="s">
        <v>1666</v>
      </c>
      <c r="D386" s="2" t="s">
        <v>108</v>
      </c>
      <c r="E386" s="2" t="s">
        <v>3646</v>
      </c>
      <c r="F386" s="2" t="s">
        <v>3599</v>
      </c>
      <c r="G386" s="2" t="s">
        <v>3600</v>
      </c>
      <c r="H386" s="5" t="n">
        <v>3</v>
      </c>
      <c r="I386" s="5" t="s">
        <v>51</v>
      </c>
      <c r="J386" s="5" t="s">
        <v>78</v>
      </c>
      <c r="K386" s="5" t="s">
        <v>80</v>
      </c>
      <c r="L386" s="5" t="n">
        <v>1200</v>
      </c>
      <c r="M386" s="5" t="n">
        <v>3600</v>
      </c>
      <c r="N386" s="6" t="n">
        <f aca="false">L386*0.6*H386</f>
        <v>2160</v>
      </c>
      <c r="O386" s="6" t="n">
        <f aca="false">M386-N386</f>
        <v>1440</v>
      </c>
      <c r="P386" s="7" t="n">
        <f aca="false">IF(M386=0,0,O386/M386)</f>
        <v>0.4</v>
      </c>
    </row>
    <row r="387" customFormat="false" ht="15" hidden="false" customHeight="false" outlineLevel="0" collapsed="false">
      <c r="A387" s="3" t="n">
        <v>1618</v>
      </c>
      <c r="B387" s="3" t="s">
        <v>1670</v>
      </c>
      <c r="C387" s="3" t="s">
        <v>1251</v>
      </c>
      <c r="D387" s="3" t="s">
        <v>34</v>
      </c>
      <c r="E387" s="3" t="s">
        <v>3851</v>
      </c>
      <c r="F387" s="3" t="s">
        <v>3591</v>
      </c>
      <c r="G387" s="3" t="s">
        <v>3592</v>
      </c>
      <c r="H387" s="8" t="n">
        <v>3</v>
      </c>
      <c r="I387" s="8" t="s">
        <v>18</v>
      </c>
      <c r="J387" s="8" t="s">
        <v>28</v>
      </c>
      <c r="K387" s="8" t="s">
        <v>30</v>
      </c>
      <c r="L387" s="8" t="n">
        <v>300</v>
      </c>
      <c r="M387" s="8" t="n">
        <v>900</v>
      </c>
      <c r="N387" s="6" t="n">
        <f aca="false">L387*0.6*H387</f>
        <v>540</v>
      </c>
      <c r="O387" s="6" t="n">
        <f aca="false">M387-N387</f>
        <v>360</v>
      </c>
      <c r="P387" s="7" t="n">
        <f aca="false">IF(M387=0,0,O387/M387)</f>
        <v>0.4</v>
      </c>
    </row>
    <row r="388" customFormat="false" ht="15" hidden="false" customHeight="false" outlineLevel="0" collapsed="false">
      <c r="A388" s="2" t="n">
        <v>1619</v>
      </c>
      <c r="B388" s="2" t="s">
        <v>1168</v>
      </c>
      <c r="C388" s="2" t="s">
        <v>1674</v>
      </c>
      <c r="D388" s="2" t="s">
        <v>108</v>
      </c>
      <c r="E388" s="2" t="s">
        <v>3852</v>
      </c>
      <c r="F388" s="2" t="s">
        <v>3606</v>
      </c>
      <c r="G388" s="2" t="s">
        <v>3600</v>
      </c>
      <c r="H388" s="5" t="n">
        <v>2</v>
      </c>
      <c r="I388" s="5" t="s">
        <v>18</v>
      </c>
      <c r="J388" s="5" t="s">
        <v>52</v>
      </c>
      <c r="K388" s="5" t="s">
        <v>92</v>
      </c>
      <c r="L388" s="5" t="n">
        <v>1200</v>
      </c>
      <c r="M388" s="5" t="n">
        <v>2400</v>
      </c>
      <c r="N388" s="6" t="n">
        <f aca="false">L388*0.6*H388</f>
        <v>1440</v>
      </c>
      <c r="O388" s="6" t="n">
        <f aca="false">M388-N388</f>
        <v>960</v>
      </c>
      <c r="P388" s="7" t="n">
        <f aca="false">IF(M388=0,0,O388/M388)</f>
        <v>0.4</v>
      </c>
    </row>
    <row r="389" customFormat="false" ht="15" hidden="false" customHeight="false" outlineLevel="0" collapsed="false">
      <c r="A389" s="3" t="n">
        <v>1620</v>
      </c>
      <c r="B389" s="3" t="s">
        <v>1678</v>
      </c>
      <c r="C389" s="3" t="s">
        <v>304</v>
      </c>
      <c r="D389" s="3" t="s">
        <v>147</v>
      </c>
      <c r="E389" s="3" t="s">
        <v>3593</v>
      </c>
      <c r="F389" s="3" t="s">
        <v>3594</v>
      </c>
      <c r="G389" s="3" t="s">
        <v>3595</v>
      </c>
      <c r="H389" s="8" t="n">
        <v>1</v>
      </c>
      <c r="I389" s="8" t="s">
        <v>97</v>
      </c>
      <c r="J389" s="8" t="s">
        <v>59</v>
      </c>
      <c r="K389" s="8" t="s">
        <v>292</v>
      </c>
      <c r="L389" s="8" t="n">
        <v>600</v>
      </c>
      <c r="M389" s="8" t="n">
        <v>600</v>
      </c>
      <c r="N389" s="6" t="n">
        <f aca="false">L389*0.6*H389</f>
        <v>360</v>
      </c>
      <c r="O389" s="6" t="n">
        <f aca="false">M389-N389</f>
        <v>240</v>
      </c>
      <c r="P389" s="7" t="n">
        <f aca="false">IF(M389=0,0,O389/M389)</f>
        <v>0.4</v>
      </c>
    </row>
    <row r="390" customFormat="false" ht="15" hidden="false" customHeight="false" outlineLevel="0" collapsed="false">
      <c r="A390" s="2" t="n">
        <v>1621</v>
      </c>
      <c r="B390" s="2" t="s">
        <v>1682</v>
      </c>
      <c r="C390" s="2" t="s">
        <v>1681</v>
      </c>
      <c r="D390" s="2" t="s">
        <v>108</v>
      </c>
      <c r="E390" s="2" t="s">
        <v>3853</v>
      </c>
      <c r="F390" s="2" t="s">
        <v>3599</v>
      </c>
      <c r="G390" s="2" t="s">
        <v>3600</v>
      </c>
      <c r="H390" s="5" t="n">
        <v>1</v>
      </c>
      <c r="I390" s="5" t="s">
        <v>97</v>
      </c>
      <c r="J390" s="5" t="s">
        <v>36</v>
      </c>
      <c r="K390" s="5" t="s">
        <v>170</v>
      </c>
      <c r="L390" s="5" t="n">
        <v>1200</v>
      </c>
      <c r="M390" s="5" t="n">
        <v>1200</v>
      </c>
      <c r="N390" s="6" t="n">
        <f aca="false">L390*0.6*H390</f>
        <v>720</v>
      </c>
      <c r="O390" s="6" t="n">
        <f aca="false">M390-N390</f>
        <v>480</v>
      </c>
      <c r="P390" s="7" t="n">
        <f aca="false">IF(M390=0,0,O390/M390)</f>
        <v>0.4</v>
      </c>
    </row>
    <row r="391" customFormat="false" ht="15" hidden="false" customHeight="false" outlineLevel="0" collapsed="false">
      <c r="A391" s="3" t="n">
        <v>1622</v>
      </c>
      <c r="B391" s="3" t="s">
        <v>325</v>
      </c>
      <c r="C391" s="3" t="s">
        <v>1686</v>
      </c>
      <c r="D391" s="3" t="s">
        <v>147</v>
      </c>
      <c r="E391" s="3" t="s">
        <v>3638</v>
      </c>
      <c r="F391" s="3" t="s">
        <v>3628</v>
      </c>
      <c r="G391" s="3" t="s">
        <v>3595</v>
      </c>
      <c r="H391" s="8" t="n">
        <v>3</v>
      </c>
      <c r="I391" s="8" t="s">
        <v>51</v>
      </c>
      <c r="J391" s="8" t="s">
        <v>59</v>
      </c>
      <c r="K391" s="8" t="s">
        <v>292</v>
      </c>
      <c r="L391" s="8" t="n">
        <v>600</v>
      </c>
      <c r="M391" s="8" t="n">
        <v>1800</v>
      </c>
      <c r="N391" s="6" t="n">
        <f aca="false">L391*0.6*H391</f>
        <v>1080</v>
      </c>
      <c r="O391" s="6" t="n">
        <f aca="false">M391-N391</f>
        <v>720</v>
      </c>
      <c r="P391" s="7" t="n">
        <f aca="false">IF(M391=0,0,O391/M391)</f>
        <v>0.4</v>
      </c>
    </row>
    <row r="392" customFormat="false" ht="15" hidden="false" customHeight="false" outlineLevel="0" collapsed="false">
      <c r="A392" s="2" t="n">
        <v>1623</v>
      </c>
      <c r="B392" s="2" t="s">
        <v>344</v>
      </c>
      <c r="C392" s="2" t="s">
        <v>751</v>
      </c>
      <c r="D392" s="2" t="s">
        <v>49</v>
      </c>
      <c r="E392" s="2" t="s">
        <v>3682</v>
      </c>
      <c r="F392" s="2" t="s">
        <v>1756</v>
      </c>
      <c r="G392" s="2" t="s">
        <v>3595</v>
      </c>
      <c r="H392" s="5" t="n">
        <v>3</v>
      </c>
      <c r="I392" s="5" t="s">
        <v>18</v>
      </c>
      <c r="J392" s="5" t="s">
        <v>78</v>
      </c>
      <c r="K392" s="5" t="s">
        <v>86</v>
      </c>
      <c r="L392" s="5" t="n">
        <v>250</v>
      </c>
      <c r="M392" s="5" t="n">
        <v>750</v>
      </c>
      <c r="N392" s="6" t="n">
        <f aca="false">L392*0.6*H392</f>
        <v>450</v>
      </c>
      <c r="O392" s="6" t="n">
        <f aca="false">M392-N392</f>
        <v>300</v>
      </c>
      <c r="P392" s="7" t="n">
        <f aca="false">IF(M392=0,0,O392/M392)</f>
        <v>0.4</v>
      </c>
    </row>
    <row r="393" customFormat="false" ht="15" hidden="false" customHeight="false" outlineLevel="0" collapsed="false">
      <c r="A393" s="3" t="n">
        <v>1624</v>
      </c>
      <c r="B393" s="3" t="s">
        <v>1692</v>
      </c>
      <c r="C393" s="3" t="s">
        <v>1691</v>
      </c>
      <c r="D393" s="3" t="s">
        <v>147</v>
      </c>
      <c r="E393" s="3" t="s">
        <v>3617</v>
      </c>
      <c r="F393" s="3" t="s">
        <v>1756</v>
      </c>
      <c r="G393" s="3" t="s">
        <v>3595</v>
      </c>
      <c r="H393" s="8" t="n">
        <v>1</v>
      </c>
      <c r="I393" s="8" t="s">
        <v>51</v>
      </c>
      <c r="J393" s="8" t="s">
        <v>36</v>
      </c>
      <c r="K393" s="8" t="s">
        <v>170</v>
      </c>
      <c r="L393" s="8" t="n">
        <v>600</v>
      </c>
      <c r="M393" s="8" t="n">
        <v>600</v>
      </c>
      <c r="N393" s="6" t="n">
        <f aca="false">L393*0.6*H393</f>
        <v>360</v>
      </c>
      <c r="O393" s="6" t="n">
        <f aca="false">M393-N393</f>
        <v>240</v>
      </c>
      <c r="P393" s="7" t="n">
        <f aca="false">IF(M393=0,0,O393/M393)</f>
        <v>0.4</v>
      </c>
    </row>
    <row r="394" customFormat="false" ht="15" hidden="false" customHeight="false" outlineLevel="0" collapsed="false">
      <c r="A394" s="2" t="n">
        <v>1625</v>
      </c>
      <c r="B394" s="2" t="s">
        <v>229</v>
      </c>
      <c r="C394" s="2" t="s">
        <v>1666</v>
      </c>
      <c r="D394" s="2" t="s">
        <v>49</v>
      </c>
      <c r="E394" s="2" t="s">
        <v>3854</v>
      </c>
      <c r="F394" s="2" t="s">
        <v>3591</v>
      </c>
      <c r="G394" s="2" t="s">
        <v>3592</v>
      </c>
      <c r="H394" s="5" t="n">
        <v>3</v>
      </c>
      <c r="I394" s="5" t="s">
        <v>97</v>
      </c>
      <c r="J394" s="5" t="s">
        <v>43</v>
      </c>
      <c r="K394" s="5" t="s">
        <v>45</v>
      </c>
      <c r="L394" s="5" t="n">
        <v>250</v>
      </c>
      <c r="M394" s="5" t="n">
        <v>750</v>
      </c>
      <c r="N394" s="6" t="n">
        <f aca="false">L394*0.6*H394</f>
        <v>450</v>
      </c>
      <c r="O394" s="6" t="n">
        <f aca="false">M394-N394</f>
        <v>300</v>
      </c>
      <c r="P394" s="7" t="n">
        <f aca="false">IF(M394=0,0,O394/M394)</f>
        <v>0.4</v>
      </c>
    </row>
    <row r="395" customFormat="false" ht="15" hidden="false" customHeight="false" outlineLevel="0" collapsed="false">
      <c r="A395" s="3" t="n">
        <v>1626</v>
      </c>
      <c r="B395" s="3" t="s">
        <v>1699</v>
      </c>
      <c r="C395" s="3" t="s">
        <v>1698</v>
      </c>
      <c r="D395" s="3" t="s">
        <v>147</v>
      </c>
      <c r="E395" s="3" t="s">
        <v>3779</v>
      </c>
      <c r="F395" s="3" t="s">
        <v>3599</v>
      </c>
      <c r="G395" s="3" t="s">
        <v>3600</v>
      </c>
      <c r="H395" s="8" t="n">
        <v>1</v>
      </c>
      <c r="I395" s="8" t="s">
        <v>51</v>
      </c>
      <c r="J395" s="8" t="s">
        <v>19</v>
      </c>
      <c r="K395" s="8" t="s">
        <v>73</v>
      </c>
      <c r="L395" s="8" t="n">
        <v>600</v>
      </c>
      <c r="M395" s="8" t="n">
        <v>600</v>
      </c>
      <c r="N395" s="6" t="n">
        <f aca="false">L395*0.6*H395</f>
        <v>360</v>
      </c>
      <c r="O395" s="6" t="n">
        <f aca="false">M395-N395</f>
        <v>240</v>
      </c>
      <c r="P395" s="7" t="n">
        <f aca="false">IF(M395=0,0,O395/M395)</f>
        <v>0.4</v>
      </c>
    </row>
    <row r="396" customFormat="false" ht="15" hidden="false" customHeight="false" outlineLevel="0" collapsed="false">
      <c r="A396" s="2" t="n">
        <v>1627</v>
      </c>
      <c r="B396" s="2" t="s">
        <v>1703</v>
      </c>
      <c r="C396" s="2" t="s">
        <v>1702</v>
      </c>
      <c r="D396" s="2" t="s">
        <v>108</v>
      </c>
      <c r="E396" s="2" t="s">
        <v>3855</v>
      </c>
      <c r="F396" s="2" t="s">
        <v>3599</v>
      </c>
      <c r="G396" s="2" t="s">
        <v>3600</v>
      </c>
      <c r="H396" s="5" t="n">
        <v>1</v>
      </c>
      <c r="I396" s="5" t="s">
        <v>18</v>
      </c>
      <c r="J396" s="5" t="s">
        <v>121</v>
      </c>
      <c r="K396" s="5" t="s">
        <v>123</v>
      </c>
      <c r="L396" s="5" t="n">
        <v>1200</v>
      </c>
      <c r="M396" s="5" t="n">
        <v>1200</v>
      </c>
      <c r="N396" s="6" t="n">
        <f aca="false">L396*0.6*H396</f>
        <v>720</v>
      </c>
      <c r="O396" s="6" t="n">
        <f aca="false">M396-N396</f>
        <v>480</v>
      </c>
      <c r="P396" s="7" t="n">
        <f aca="false">IF(M396=0,0,O396/M396)</f>
        <v>0.4</v>
      </c>
    </row>
    <row r="397" customFormat="false" ht="15" hidden="false" customHeight="false" outlineLevel="0" collapsed="false">
      <c r="A397" s="3" t="n">
        <v>1628</v>
      </c>
      <c r="B397" s="3" t="s">
        <v>1708</v>
      </c>
      <c r="C397" s="3" t="s">
        <v>1707</v>
      </c>
      <c r="D397" s="3" t="s">
        <v>25</v>
      </c>
      <c r="E397" s="3" t="s">
        <v>3605</v>
      </c>
      <c r="F397" s="3" t="s">
        <v>3606</v>
      </c>
      <c r="G397" s="3" t="s">
        <v>3600</v>
      </c>
      <c r="H397" s="8" t="n">
        <v>3</v>
      </c>
      <c r="I397" s="8" t="s">
        <v>51</v>
      </c>
      <c r="J397" s="8" t="s">
        <v>43</v>
      </c>
      <c r="K397" s="8" t="s">
        <v>45</v>
      </c>
      <c r="L397" s="8" t="n">
        <v>800</v>
      </c>
      <c r="M397" s="8" t="n">
        <v>2400</v>
      </c>
      <c r="N397" s="6" t="n">
        <f aca="false">L397*0.6*H397</f>
        <v>1440</v>
      </c>
      <c r="O397" s="6" t="n">
        <f aca="false">M397-N397</f>
        <v>960</v>
      </c>
      <c r="P397" s="7" t="n">
        <f aca="false">IF(M397=0,0,O397/M397)</f>
        <v>0.4</v>
      </c>
    </row>
    <row r="398" customFormat="false" ht="15" hidden="false" customHeight="false" outlineLevel="0" collapsed="false">
      <c r="A398" s="2" t="n">
        <v>1629</v>
      </c>
      <c r="B398" s="2" t="s">
        <v>765</v>
      </c>
      <c r="C398" s="2" t="s">
        <v>358</v>
      </c>
      <c r="D398" s="2" t="s">
        <v>108</v>
      </c>
      <c r="E398" s="2" t="s">
        <v>3856</v>
      </c>
      <c r="F398" s="2" t="s">
        <v>3608</v>
      </c>
      <c r="G398" s="2" t="s">
        <v>3604</v>
      </c>
      <c r="H398" s="5" t="n">
        <v>3</v>
      </c>
      <c r="I398" s="5" t="s">
        <v>51</v>
      </c>
      <c r="J398" s="5" t="s">
        <v>121</v>
      </c>
      <c r="K398" s="5" t="s">
        <v>317</v>
      </c>
      <c r="L398" s="5" t="n">
        <v>1200</v>
      </c>
      <c r="M398" s="5" t="n">
        <v>3600</v>
      </c>
      <c r="N398" s="6" t="n">
        <f aca="false">L398*0.6*H398</f>
        <v>2160</v>
      </c>
      <c r="O398" s="6" t="n">
        <f aca="false">M398-N398</f>
        <v>1440</v>
      </c>
      <c r="P398" s="7" t="n">
        <f aca="false">IF(M398=0,0,O398/M398)</f>
        <v>0.4</v>
      </c>
    </row>
    <row r="399" customFormat="false" ht="15" hidden="false" customHeight="false" outlineLevel="0" collapsed="false">
      <c r="A399" s="3" t="n">
        <v>1630</v>
      </c>
      <c r="B399" s="3" t="s">
        <v>1714</v>
      </c>
      <c r="C399" s="3" t="s">
        <v>1354</v>
      </c>
      <c r="D399" s="3" t="s">
        <v>147</v>
      </c>
      <c r="E399" s="3" t="s">
        <v>3857</v>
      </c>
      <c r="F399" s="3" t="s">
        <v>3628</v>
      </c>
      <c r="G399" s="3" t="s">
        <v>3595</v>
      </c>
      <c r="H399" s="8" t="n">
        <v>3</v>
      </c>
      <c r="I399" s="8" t="s">
        <v>51</v>
      </c>
      <c r="J399" s="8" t="s">
        <v>19</v>
      </c>
      <c r="K399" s="8" t="s">
        <v>21</v>
      </c>
      <c r="L399" s="8" t="n">
        <v>600</v>
      </c>
      <c r="M399" s="8" t="n">
        <v>1800</v>
      </c>
      <c r="N399" s="6" t="n">
        <f aca="false">L399*0.6*H399</f>
        <v>1080</v>
      </c>
      <c r="O399" s="6" t="n">
        <f aca="false">M399-N399</f>
        <v>720</v>
      </c>
      <c r="P399" s="7" t="n">
        <f aca="false">IF(M399=0,0,O399/M399)</f>
        <v>0.4</v>
      </c>
    </row>
    <row r="400" customFormat="false" ht="15" hidden="false" customHeight="false" outlineLevel="0" collapsed="false">
      <c r="A400" s="2" t="n">
        <v>1631</v>
      </c>
      <c r="B400" s="2" t="s">
        <v>439</v>
      </c>
      <c r="C400" s="2" t="s">
        <v>1542</v>
      </c>
      <c r="D400" s="2" t="s">
        <v>34</v>
      </c>
      <c r="E400" s="2" t="s">
        <v>3858</v>
      </c>
      <c r="F400" s="2" t="s">
        <v>3603</v>
      </c>
      <c r="G400" s="2" t="s">
        <v>3604</v>
      </c>
      <c r="H400" s="5" t="n">
        <v>3</v>
      </c>
      <c r="I400" s="5" t="s">
        <v>18</v>
      </c>
      <c r="J400" s="5" t="s">
        <v>78</v>
      </c>
      <c r="K400" s="5" t="s">
        <v>86</v>
      </c>
      <c r="L400" s="5" t="n">
        <v>300</v>
      </c>
      <c r="M400" s="5" t="n">
        <v>900</v>
      </c>
      <c r="N400" s="6" t="n">
        <f aca="false">L400*0.6*H400</f>
        <v>540</v>
      </c>
      <c r="O400" s="6" t="n">
        <f aca="false">M400-N400</f>
        <v>360</v>
      </c>
      <c r="P400" s="7" t="n">
        <f aca="false">IF(M400=0,0,O400/M400)</f>
        <v>0.4</v>
      </c>
    </row>
    <row r="401" customFormat="false" ht="15" hidden="false" customHeight="false" outlineLevel="0" collapsed="false">
      <c r="A401" s="3" t="n">
        <v>1632</v>
      </c>
      <c r="B401" s="3" t="s">
        <v>1114</v>
      </c>
      <c r="C401" s="3" t="s">
        <v>1721</v>
      </c>
      <c r="D401" s="3" t="s">
        <v>147</v>
      </c>
      <c r="E401" s="3" t="s">
        <v>3859</v>
      </c>
      <c r="F401" s="3" t="s">
        <v>3603</v>
      </c>
      <c r="G401" s="3" t="s">
        <v>3604</v>
      </c>
      <c r="H401" s="8" t="n">
        <v>3</v>
      </c>
      <c r="I401" s="8" t="s">
        <v>18</v>
      </c>
      <c r="J401" s="8" t="s">
        <v>43</v>
      </c>
      <c r="K401" s="8" t="s">
        <v>111</v>
      </c>
      <c r="L401" s="8" t="n">
        <v>600</v>
      </c>
      <c r="M401" s="8" t="n">
        <v>1800</v>
      </c>
      <c r="N401" s="6" t="n">
        <f aca="false">L401*0.6*H401</f>
        <v>1080</v>
      </c>
      <c r="O401" s="6" t="n">
        <f aca="false">M401-N401</f>
        <v>720</v>
      </c>
      <c r="P401" s="7" t="n">
        <f aca="false">IF(M401=0,0,O401/M401)</f>
        <v>0.4</v>
      </c>
    </row>
    <row r="402" customFormat="false" ht="15" hidden="false" customHeight="false" outlineLevel="0" collapsed="false">
      <c r="A402" s="2" t="n">
        <v>1633</v>
      </c>
      <c r="B402" s="2" t="s">
        <v>1725</v>
      </c>
      <c r="C402" s="2" t="s">
        <v>140</v>
      </c>
      <c r="D402" s="2" t="s">
        <v>108</v>
      </c>
      <c r="E402" s="2" t="s">
        <v>3755</v>
      </c>
      <c r="F402" s="2" t="s">
        <v>3599</v>
      </c>
      <c r="G402" s="2" t="s">
        <v>3600</v>
      </c>
      <c r="H402" s="5" t="n">
        <v>3</v>
      </c>
      <c r="I402" s="5" t="s">
        <v>51</v>
      </c>
      <c r="J402" s="5" t="s">
        <v>28</v>
      </c>
      <c r="K402" s="5" t="s">
        <v>30</v>
      </c>
      <c r="L402" s="5" t="n">
        <v>1200</v>
      </c>
      <c r="M402" s="5" t="n">
        <v>3600</v>
      </c>
      <c r="N402" s="6" t="n">
        <f aca="false">L402*0.6*H402</f>
        <v>2160</v>
      </c>
      <c r="O402" s="6" t="n">
        <f aca="false">M402-N402</f>
        <v>1440</v>
      </c>
      <c r="P402" s="7" t="n">
        <f aca="false">IF(M402=0,0,O402/M402)</f>
        <v>0.4</v>
      </c>
    </row>
    <row r="403" customFormat="false" ht="15" hidden="false" customHeight="false" outlineLevel="0" collapsed="false">
      <c r="A403" s="3" t="n">
        <v>1634</v>
      </c>
      <c r="B403" s="3" t="s">
        <v>1729</v>
      </c>
      <c r="C403" s="3" t="s">
        <v>1728</v>
      </c>
      <c r="D403" s="3" t="s">
        <v>25</v>
      </c>
      <c r="E403" s="3" t="s">
        <v>3860</v>
      </c>
      <c r="F403" s="3" t="s">
        <v>3591</v>
      </c>
      <c r="G403" s="3" t="s">
        <v>3592</v>
      </c>
      <c r="H403" s="8" t="n">
        <v>3</v>
      </c>
      <c r="I403" s="8" t="s">
        <v>51</v>
      </c>
      <c r="J403" s="8" t="s">
        <v>121</v>
      </c>
      <c r="K403" s="8" t="s">
        <v>123</v>
      </c>
      <c r="L403" s="8" t="n">
        <v>800</v>
      </c>
      <c r="M403" s="8" t="n">
        <v>2400</v>
      </c>
      <c r="N403" s="6" t="n">
        <f aca="false">L403*0.6*H403</f>
        <v>1440</v>
      </c>
      <c r="O403" s="6" t="n">
        <f aca="false">M403-N403</f>
        <v>960</v>
      </c>
      <c r="P403" s="7" t="n">
        <f aca="false">IF(M403=0,0,O403/M403)</f>
        <v>0.4</v>
      </c>
    </row>
    <row r="404" customFormat="false" ht="15" hidden="false" customHeight="false" outlineLevel="0" collapsed="false">
      <c r="A404" s="2" t="n">
        <v>1635</v>
      </c>
      <c r="B404" s="2" t="s">
        <v>618</v>
      </c>
      <c r="C404" s="2" t="s">
        <v>1733</v>
      </c>
      <c r="D404" s="2" t="s">
        <v>108</v>
      </c>
      <c r="E404" s="2" t="s">
        <v>3632</v>
      </c>
      <c r="F404" s="2" t="s">
        <v>1756</v>
      </c>
      <c r="G404" s="2" t="s">
        <v>3595</v>
      </c>
      <c r="H404" s="5" t="n">
        <v>2</v>
      </c>
      <c r="I404" s="5" t="s">
        <v>18</v>
      </c>
      <c r="J404" s="5" t="s">
        <v>43</v>
      </c>
      <c r="K404" s="5" t="s">
        <v>111</v>
      </c>
      <c r="L404" s="5" t="n">
        <v>1200</v>
      </c>
      <c r="M404" s="5" t="n">
        <v>2400</v>
      </c>
      <c r="N404" s="6" t="n">
        <f aca="false">L404*0.6*H404</f>
        <v>1440</v>
      </c>
      <c r="O404" s="6" t="n">
        <f aca="false">M404-N404</f>
        <v>960</v>
      </c>
      <c r="P404" s="7" t="n">
        <f aca="false">IF(M404=0,0,O404/M404)</f>
        <v>0.4</v>
      </c>
    </row>
    <row r="405" customFormat="false" ht="15" hidden="false" customHeight="false" outlineLevel="0" collapsed="false">
      <c r="A405" s="3" t="n">
        <v>1636</v>
      </c>
      <c r="B405" s="3" t="s">
        <v>1736</v>
      </c>
      <c r="C405" s="3" t="s">
        <v>82</v>
      </c>
      <c r="D405" s="3" t="s">
        <v>16</v>
      </c>
      <c r="E405" s="3" t="s">
        <v>3861</v>
      </c>
      <c r="F405" s="3" t="s">
        <v>3594</v>
      </c>
      <c r="G405" s="3" t="s">
        <v>3595</v>
      </c>
      <c r="H405" s="8" t="n">
        <v>2</v>
      </c>
      <c r="I405" s="8" t="s">
        <v>97</v>
      </c>
      <c r="J405" s="8" t="s">
        <v>43</v>
      </c>
      <c r="K405" s="8" t="s">
        <v>111</v>
      </c>
      <c r="L405" s="8" t="n">
        <v>250</v>
      </c>
      <c r="M405" s="8" t="n">
        <v>500</v>
      </c>
      <c r="N405" s="6" t="n">
        <f aca="false">L405*0.6*H405</f>
        <v>300</v>
      </c>
      <c r="O405" s="6" t="n">
        <f aca="false">M405-N405</f>
        <v>200</v>
      </c>
      <c r="P405" s="7" t="n">
        <f aca="false">IF(M405=0,0,O405/M405)</f>
        <v>0.4</v>
      </c>
    </row>
    <row r="406" customFormat="false" ht="15" hidden="false" customHeight="false" outlineLevel="0" collapsed="false">
      <c r="A406" s="2" t="n">
        <v>1637</v>
      </c>
      <c r="B406" s="2" t="s">
        <v>1741</v>
      </c>
      <c r="C406" s="2" t="s">
        <v>1740</v>
      </c>
      <c r="D406" s="2" t="s">
        <v>34</v>
      </c>
      <c r="E406" s="2" t="s">
        <v>3828</v>
      </c>
      <c r="F406" s="2" t="s">
        <v>3610</v>
      </c>
      <c r="G406" s="2" t="s">
        <v>3600</v>
      </c>
      <c r="H406" s="5" t="n">
        <v>3</v>
      </c>
      <c r="I406" s="5" t="s">
        <v>51</v>
      </c>
      <c r="J406" s="5" t="s">
        <v>19</v>
      </c>
      <c r="K406" s="5" t="s">
        <v>73</v>
      </c>
      <c r="L406" s="5" t="n">
        <v>300</v>
      </c>
      <c r="M406" s="5" t="n">
        <v>900</v>
      </c>
      <c r="N406" s="6" t="n">
        <f aca="false">L406*0.6*H406</f>
        <v>540</v>
      </c>
      <c r="O406" s="6" t="n">
        <f aca="false">M406-N406</f>
        <v>360</v>
      </c>
      <c r="P406" s="7" t="n">
        <f aca="false">IF(M406=0,0,O406/M406)</f>
        <v>0.4</v>
      </c>
    </row>
    <row r="407" customFormat="false" ht="15" hidden="false" customHeight="false" outlineLevel="0" collapsed="false">
      <c r="A407" s="3" t="n">
        <v>1638</v>
      </c>
      <c r="B407" s="3" t="s">
        <v>1306</v>
      </c>
      <c r="C407" s="3" t="s">
        <v>1744</v>
      </c>
      <c r="D407" s="3" t="s">
        <v>25</v>
      </c>
      <c r="E407" s="3" t="s">
        <v>3862</v>
      </c>
      <c r="F407" s="3" t="s">
        <v>3608</v>
      </c>
      <c r="G407" s="3" t="s">
        <v>3604</v>
      </c>
      <c r="H407" s="8" t="n">
        <v>1</v>
      </c>
      <c r="I407" s="8" t="s">
        <v>27</v>
      </c>
      <c r="J407" s="8" t="s">
        <v>28</v>
      </c>
      <c r="K407" s="8" t="s">
        <v>30</v>
      </c>
      <c r="L407" s="8" t="n">
        <v>800</v>
      </c>
      <c r="M407" s="8" t="n">
        <v>800</v>
      </c>
      <c r="N407" s="6" t="n">
        <f aca="false">L407*0.6*H407</f>
        <v>480</v>
      </c>
      <c r="O407" s="6" t="n">
        <f aca="false">M407-N407</f>
        <v>320</v>
      </c>
      <c r="P407" s="7" t="n">
        <f aca="false">IF(M407=0,0,O407/M407)</f>
        <v>0.4</v>
      </c>
    </row>
    <row r="408" customFormat="false" ht="15" hidden="false" customHeight="false" outlineLevel="0" collapsed="false">
      <c r="A408" s="2" t="n">
        <v>1639</v>
      </c>
      <c r="B408" s="2" t="s">
        <v>1090</v>
      </c>
      <c r="C408" s="2" t="s">
        <v>1748</v>
      </c>
      <c r="D408" s="2" t="s">
        <v>49</v>
      </c>
      <c r="E408" s="2" t="s">
        <v>3763</v>
      </c>
      <c r="F408" s="2" t="s">
        <v>3608</v>
      </c>
      <c r="G408" s="2" t="s">
        <v>3604</v>
      </c>
      <c r="H408" s="5" t="n">
        <v>3</v>
      </c>
      <c r="I408" s="5" t="s">
        <v>97</v>
      </c>
      <c r="J408" s="5" t="s">
        <v>43</v>
      </c>
      <c r="K408" s="5" t="s">
        <v>111</v>
      </c>
      <c r="L408" s="5" t="n">
        <v>250</v>
      </c>
      <c r="M408" s="5" t="n">
        <v>750</v>
      </c>
      <c r="N408" s="6" t="n">
        <f aca="false">L408*0.6*H408</f>
        <v>450</v>
      </c>
      <c r="O408" s="6" t="n">
        <f aca="false">M408-N408</f>
        <v>300</v>
      </c>
      <c r="P408" s="7" t="n">
        <f aca="false">IF(M408=0,0,O408/M408)</f>
        <v>0.4</v>
      </c>
    </row>
    <row r="409" customFormat="false" ht="15" hidden="false" customHeight="false" outlineLevel="0" collapsed="false">
      <c r="A409" s="3" t="n">
        <v>1640</v>
      </c>
      <c r="B409" s="3" t="s">
        <v>1752</v>
      </c>
      <c r="C409" s="3" t="s">
        <v>1751</v>
      </c>
      <c r="D409" s="3" t="s">
        <v>49</v>
      </c>
      <c r="E409" s="3" t="s">
        <v>3656</v>
      </c>
      <c r="F409" s="3" t="s">
        <v>3599</v>
      </c>
      <c r="G409" s="3" t="s">
        <v>3600</v>
      </c>
      <c r="H409" s="8" t="n">
        <v>3</v>
      </c>
      <c r="I409" s="8" t="s">
        <v>51</v>
      </c>
      <c r="J409" s="8" t="s">
        <v>78</v>
      </c>
      <c r="K409" s="8" t="s">
        <v>80</v>
      </c>
      <c r="L409" s="8" t="n">
        <v>250</v>
      </c>
      <c r="M409" s="8" t="n">
        <v>750</v>
      </c>
      <c r="N409" s="6" t="n">
        <f aca="false">L409*0.6*H409</f>
        <v>450</v>
      </c>
      <c r="O409" s="6" t="n">
        <f aca="false">M409-N409</f>
        <v>300</v>
      </c>
      <c r="P409" s="7" t="n">
        <f aca="false">IF(M409=0,0,O409/M409)</f>
        <v>0.4</v>
      </c>
    </row>
    <row r="410" customFormat="false" ht="15" hidden="false" customHeight="false" outlineLevel="0" collapsed="false">
      <c r="A410" s="2" t="n">
        <v>1641</v>
      </c>
      <c r="B410" s="2" t="s">
        <v>1756</v>
      </c>
      <c r="C410" s="2" t="s">
        <v>1755</v>
      </c>
      <c r="D410" s="2" t="s">
        <v>147</v>
      </c>
      <c r="E410" s="2" t="s">
        <v>3655</v>
      </c>
      <c r="F410" s="2" t="s">
        <v>3613</v>
      </c>
      <c r="G410" s="2" t="s">
        <v>3604</v>
      </c>
      <c r="H410" s="5" t="n">
        <v>2</v>
      </c>
      <c r="I410" s="5" t="s">
        <v>51</v>
      </c>
      <c r="J410" s="5" t="s">
        <v>28</v>
      </c>
      <c r="K410" s="5" t="s">
        <v>30</v>
      </c>
      <c r="L410" s="5" t="n">
        <v>600</v>
      </c>
      <c r="M410" s="5" t="n">
        <v>1200</v>
      </c>
      <c r="N410" s="6" t="n">
        <f aca="false">L410*0.6*H410</f>
        <v>720</v>
      </c>
      <c r="O410" s="6" t="n">
        <f aca="false">M410-N410</f>
        <v>480</v>
      </c>
      <c r="P410" s="7" t="n">
        <f aca="false">IF(M410=0,0,O410/M410)</f>
        <v>0.4</v>
      </c>
    </row>
    <row r="411" customFormat="false" ht="15" hidden="false" customHeight="false" outlineLevel="0" collapsed="false">
      <c r="A411" s="3" t="n">
        <v>1642</v>
      </c>
      <c r="B411" s="3" t="s">
        <v>1760</v>
      </c>
      <c r="C411" s="3" t="s">
        <v>1759</v>
      </c>
      <c r="D411" s="3" t="s">
        <v>34</v>
      </c>
      <c r="E411" s="3" t="s">
        <v>3611</v>
      </c>
      <c r="F411" s="3" t="s">
        <v>3591</v>
      </c>
      <c r="G411" s="3" t="s">
        <v>3592</v>
      </c>
      <c r="H411" s="8" t="n">
        <v>3</v>
      </c>
      <c r="I411" s="8" t="s">
        <v>27</v>
      </c>
      <c r="J411" s="8" t="s">
        <v>52</v>
      </c>
      <c r="K411" s="8" t="s">
        <v>182</v>
      </c>
      <c r="L411" s="8" t="n">
        <v>300</v>
      </c>
      <c r="M411" s="8" t="n">
        <v>900</v>
      </c>
      <c r="N411" s="6" t="n">
        <f aca="false">L411*0.6*H411</f>
        <v>540</v>
      </c>
      <c r="O411" s="6" t="n">
        <f aca="false">M411-N411</f>
        <v>360</v>
      </c>
      <c r="P411" s="7" t="n">
        <f aca="false">IF(M411=0,0,O411/M411)</f>
        <v>0.4</v>
      </c>
    </row>
    <row r="412" customFormat="false" ht="15" hidden="false" customHeight="false" outlineLevel="0" collapsed="false">
      <c r="A412" s="2" t="n">
        <v>1643</v>
      </c>
      <c r="B412" s="2" t="s">
        <v>1763</v>
      </c>
      <c r="C412" s="2" t="s">
        <v>1721</v>
      </c>
      <c r="D412" s="2" t="s">
        <v>16</v>
      </c>
      <c r="E412" s="2" t="s">
        <v>3863</v>
      </c>
      <c r="F412" s="2" t="s">
        <v>1756</v>
      </c>
      <c r="G412" s="2" t="s">
        <v>3595</v>
      </c>
      <c r="H412" s="5" t="n">
        <v>1</v>
      </c>
      <c r="I412" s="5" t="s">
        <v>27</v>
      </c>
      <c r="J412" s="5" t="s">
        <v>43</v>
      </c>
      <c r="K412" s="5" t="s">
        <v>67</v>
      </c>
      <c r="L412" s="5" t="n">
        <v>250</v>
      </c>
      <c r="M412" s="5" t="n">
        <v>250</v>
      </c>
      <c r="N412" s="6" t="n">
        <f aca="false">L412*0.6*H412</f>
        <v>150</v>
      </c>
      <c r="O412" s="6" t="n">
        <f aca="false">M412-N412</f>
        <v>100</v>
      </c>
      <c r="P412" s="7" t="n">
        <f aca="false">IF(M412=0,0,O412/M412)</f>
        <v>0.4</v>
      </c>
    </row>
    <row r="413" customFormat="false" ht="15" hidden="false" customHeight="false" outlineLevel="0" collapsed="false">
      <c r="A413" s="3" t="n">
        <v>1644</v>
      </c>
      <c r="B413" s="3" t="s">
        <v>215</v>
      </c>
      <c r="C413" s="3" t="s">
        <v>1406</v>
      </c>
      <c r="D413" s="3" t="s">
        <v>147</v>
      </c>
      <c r="E413" s="3" t="s">
        <v>3784</v>
      </c>
      <c r="F413" s="3" t="s">
        <v>3628</v>
      </c>
      <c r="G413" s="3" t="s">
        <v>3595</v>
      </c>
      <c r="H413" s="8" t="n">
        <v>1</v>
      </c>
      <c r="I413" s="8" t="s">
        <v>51</v>
      </c>
      <c r="J413" s="8" t="s">
        <v>36</v>
      </c>
      <c r="K413" s="8" t="s">
        <v>170</v>
      </c>
      <c r="L413" s="8" t="n">
        <v>600</v>
      </c>
      <c r="M413" s="8" t="n">
        <v>600</v>
      </c>
      <c r="N413" s="6" t="n">
        <f aca="false">L413*0.6*H413</f>
        <v>360</v>
      </c>
      <c r="O413" s="6" t="n">
        <f aca="false">M413-N413</f>
        <v>240</v>
      </c>
      <c r="P413" s="7" t="n">
        <f aca="false">IF(M413=0,0,O413/M413)</f>
        <v>0.4</v>
      </c>
    </row>
    <row r="414" customFormat="false" ht="15" hidden="false" customHeight="false" outlineLevel="0" collapsed="false">
      <c r="A414" s="2" t="n">
        <v>1645</v>
      </c>
      <c r="B414" s="2" t="s">
        <v>1770</v>
      </c>
      <c r="C414" s="2" t="s">
        <v>1769</v>
      </c>
      <c r="D414" s="2" t="s">
        <v>108</v>
      </c>
      <c r="E414" s="2" t="s">
        <v>3862</v>
      </c>
      <c r="F414" s="2" t="s">
        <v>3608</v>
      </c>
      <c r="G414" s="2" t="s">
        <v>3604</v>
      </c>
      <c r="H414" s="5" t="n">
        <v>3</v>
      </c>
      <c r="I414" s="5" t="s">
        <v>18</v>
      </c>
      <c r="J414" s="5" t="s">
        <v>78</v>
      </c>
      <c r="K414" s="5" t="s">
        <v>86</v>
      </c>
      <c r="L414" s="5" t="n">
        <v>1200</v>
      </c>
      <c r="M414" s="5" t="n">
        <v>3600</v>
      </c>
      <c r="N414" s="6" t="n">
        <f aca="false">L414*0.6*H414</f>
        <v>2160</v>
      </c>
      <c r="O414" s="6" t="n">
        <f aca="false">M414-N414</f>
        <v>1440</v>
      </c>
      <c r="P414" s="7" t="n">
        <f aca="false">IF(M414=0,0,O414/M414)</f>
        <v>0.4</v>
      </c>
    </row>
    <row r="415" customFormat="false" ht="15" hidden="false" customHeight="false" outlineLevel="0" collapsed="false">
      <c r="A415" s="3" t="n">
        <v>1646</v>
      </c>
      <c r="B415" s="3" t="s">
        <v>1773</v>
      </c>
      <c r="C415" s="3" t="s">
        <v>130</v>
      </c>
      <c r="D415" s="3" t="s">
        <v>147</v>
      </c>
      <c r="E415" s="3" t="s">
        <v>3864</v>
      </c>
      <c r="F415" s="3" t="s">
        <v>3608</v>
      </c>
      <c r="G415" s="3" t="s">
        <v>3604</v>
      </c>
      <c r="H415" s="8" t="n">
        <v>3</v>
      </c>
      <c r="I415" s="8" t="s">
        <v>27</v>
      </c>
      <c r="J415" s="8" t="s">
        <v>28</v>
      </c>
      <c r="K415" s="8" t="s">
        <v>30</v>
      </c>
      <c r="L415" s="8" t="n">
        <v>600</v>
      </c>
      <c r="M415" s="8" t="n">
        <v>1800</v>
      </c>
      <c r="N415" s="6" t="n">
        <f aca="false">L415*0.6*H415</f>
        <v>1080</v>
      </c>
      <c r="O415" s="6" t="n">
        <f aca="false">M415-N415</f>
        <v>720</v>
      </c>
      <c r="P415" s="7" t="n">
        <f aca="false">IF(M415=0,0,O415/M415)</f>
        <v>0.4</v>
      </c>
    </row>
    <row r="416" customFormat="false" ht="15" hidden="false" customHeight="false" outlineLevel="0" collapsed="false">
      <c r="A416" s="2" t="n">
        <v>1647</v>
      </c>
      <c r="B416" s="2" t="s">
        <v>500</v>
      </c>
      <c r="C416" s="2" t="s">
        <v>1777</v>
      </c>
      <c r="D416" s="2" t="s">
        <v>16</v>
      </c>
      <c r="E416" s="2" t="s">
        <v>3683</v>
      </c>
      <c r="F416" s="2" t="s">
        <v>1756</v>
      </c>
      <c r="G416" s="2" t="s">
        <v>3595</v>
      </c>
      <c r="H416" s="5" t="n">
        <v>2</v>
      </c>
      <c r="I416" s="5" t="s">
        <v>18</v>
      </c>
      <c r="J416" s="5" t="s">
        <v>59</v>
      </c>
      <c r="K416" s="5" t="s">
        <v>292</v>
      </c>
      <c r="L416" s="5" t="n">
        <v>250</v>
      </c>
      <c r="M416" s="5" t="n">
        <v>500</v>
      </c>
      <c r="N416" s="6" t="n">
        <f aca="false">L416*0.6*H416</f>
        <v>300</v>
      </c>
      <c r="O416" s="6" t="n">
        <f aca="false">M416-N416</f>
        <v>200</v>
      </c>
      <c r="P416" s="7" t="n">
        <f aca="false">IF(M416=0,0,O416/M416)</f>
        <v>0.4</v>
      </c>
    </row>
    <row r="417" customFormat="false" ht="15" hidden="false" customHeight="false" outlineLevel="0" collapsed="false">
      <c r="A417" s="3" t="n">
        <v>1648</v>
      </c>
      <c r="B417" s="3" t="s">
        <v>1781</v>
      </c>
      <c r="C417" s="3" t="s">
        <v>1780</v>
      </c>
      <c r="D417" s="3" t="s">
        <v>49</v>
      </c>
      <c r="E417" s="3" t="s">
        <v>3662</v>
      </c>
      <c r="F417" s="3" t="s">
        <v>2379</v>
      </c>
      <c r="G417" s="3" t="s">
        <v>3592</v>
      </c>
      <c r="H417" s="8" t="n">
        <v>1</v>
      </c>
      <c r="I417" s="8" t="s">
        <v>18</v>
      </c>
      <c r="J417" s="8" t="s">
        <v>43</v>
      </c>
      <c r="K417" s="8" t="s">
        <v>67</v>
      </c>
      <c r="L417" s="8" t="n">
        <v>250</v>
      </c>
      <c r="M417" s="8" t="n">
        <v>250</v>
      </c>
      <c r="N417" s="6" t="n">
        <f aca="false">L417*0.6*H417</f>
        <v>150</v>
      </c>
      <c r="O417" s="6" t="n">
        <f aca="false">M417-N417</f>
        <v>100</v>
      </c>
      <c r="P417" s="7" t="n">
        <f aca="false">IF(M417=0,0,O417/M417)</f>
        <v>0.4</v>
      </c>
    </row>
    <row r="418" customFormat="false" ht="15" hidden="false" customHeight="false" outlineLevel="0" collapsed="false">
      <c r="A418" s="2" t="n">
        <v>1649</v>
      </c>
      <c r="B418" s="2" t="s">
        <v>1785</v>
      </c>
      <c r="C418" s="2" t="s">
        <v>1784</v>
      </c>
      <c r="D418" s="2" t="s">
        <v>16</v>
      </c>
      <c r="E418" s="2" t="s">
        <v>3724</v>
      </c>
      <c r="F418" s="2" t="s">
        <v>1756</v>
      </c>
      <c r="G418" s="2" t="s">
        <v>3595</v>
      </c>
      <c r="H418" s="5" t="n">
        <v>1</v>
      </c>
      <c r="I418" s="5" t="s">
        <v>51</v>
      </c>
      <c r="J418" s="5" t="s">
        <v>52</v>
      </c>
      <c r="K418" s="5" t="s">
        <v>54</v>
      </c>
      <c r="L418" s="5" t="n">
        <v>250</v>
      </c>
      <c r="M418" s="5" t="n">
        <v>250</v>
      </c>
      <c r="N418" s="6" t="n">
        <f aca="false">L418*0.6*H418</f>
        <v>150</v>
      </c>
      <c r="O418" s="6" t="n">
        <f aca="false">M418-N418</f>
        <v>100</v>
      </c>
      <c r="P418" s="7" t="n">
        <f aca="false">IF(M418=0,0,O418/M418)</f>
        <v>0.4</v>
      </c>
    </row>
    <row r="419" customFormat="false" ht="15" hidden="false" customHeight="false" outlineLevel="0" collapsed="false">
      <c r="A419" s="3" t="n">
        <v>1650</v>
      </c>
      <c r="B419" s="3" t="s">
        <v>1789</v>
      </c>
      <c r="C419" s="3" t="s">
        <v>1788</v>
      </c>
      <c r="D419" s="3" t="s">
        <v>25</v>
      </c>
      <c r="E419" s="3" t="s">
        <v>3673</v>
      </c>
      <c r="F419" s="3" t="s">
        <v>3610</v>
      </c>
      <c r="G419" s="3" t="s">
        <v>3600</v>
      </c>
      <c r="H419" s="8" t="n">
        <v>2</v>
      </c>
      <c r="I419" s="8" t="s">
        <v>51</v>
      </c>
      <c r="J419" s="8" t="s">
        <v>59</v>
      </c>
      <c r="K419" s="8" t="s">
        <v>99</v>
      </c>
      <c r="L419" s="8" t="n">
        <v>800</v>
      </c>
      <c r="M419" s="8" t="n">
        <v>1600</v>
      </c>
      <c r="N419" s="6" t="n">
        <f aca="false">L419*0.6*H419</f>
        <v>960</v>
      </c>
      <c r="O419" s="6" t="n">
        <f aca="false">M419-N419</f>
        <v>640</v>
      </c>
      <c r="P419" s="7" t="n">
        <f aca="false">IF(M419=0,0,O419/M419)</f>
        <v>0.4</v>
      </c>
    </row>
    <row r="420" customFormat="false" ht="15" hidden="false" customHeight="false" outlineLevel="0" collapsed="false">
      <c r="A420" s="2" t="n">
        <v>1651</v>
      </c>
      <c r="B420" s="2" t="s">
        <v>1793</v>
      </c>
      <c r="C420" s="2" t="s">
        <v>1792</v>
      </c>
      <c r="D420" s="2" t="s">
        <v>49</v>
      </c>
      <c r="E420" s="2" t="s">
        <v>3824</v>
      </c>
      <c r="F420" s="2" t="s">
        <v>2379</v>
      </c>
      <c r="G420" s="2" t="s">
        <v>3592</v>
      </c>
      <c r="H420" s="5" t="n">
        <v>2</v>
      </c>
      <c r="I420" s="5" t="s">
        <v>97</v>
      </c>
      <c r="J420" s="5" t="s">
        <v>78</v>
      </c>
      <c r="K420" s="5" t="s">
        <v>408</v>
      </c>
      <c r="L420" s="5" t="n">
        <v>250</v>
      </c>
      <c r="M420" s="5" t="n">
        <v>500</v>
      </c>
      <c r="N420" s="6" t="n">
        <f aca="false">L420*0.6*H420</f>
        <v>300</v>
      </c>
      <c r="O420" s="6" t="n">
        <f aca="false">M420-N420</f>
        <v>200</v>
      </c>
      <c r="P420" s="7" t="n">
        <f aca="false">IF(M420=0,0,O420/M420)</f>
        <v>0.4</v>
      </c>
    </row>
    <row r="421" customFormat="false" ht="15" hidden="false" customHeight="false" outlineLevel="0" collapsed="false">
      <c r="A421" s="3" t="n">
        <v>1652</v>
      </c>
      <c r="B421" s="3" t="s">
        <v>1541</v>
      </c>
      <c r="C421" s="3" t="s">
        <v>309</v>
      </c>
      <c r="D421" s="3" t="s">
        <v>108</v>
      </c>
      <c r="E421" s="3" t="s">
        <v>3865</v>
      </c>
      <c r="F421" s="3" t="s">
        <v>1756</v>
      </c>
      <c r="G421" s="3" t="s">
        <v>3595</v>
      </c>
      <c r="H421" s="8" t="n">
        <v>2</v>
      </c>
      <c r="I421" s="8" t="s">
        <v>18</v>
      </c>
      <c r="J421" s="8" t="s">
        <v>36</v>
      </c>
      <c r="K421" s="8" t="s">
        <v>192</v>
      </c>
      <c r="L421" s="8" t="n">
        <v>1200</v>
      </c>
      <c r="M421" s="8" t="n">
        <v>2400</v>
      </c>
      <c r="N421" s="6" t="n">
        <f aca="false">L421*0.6*H421</f>
        <v>1440</v>
      </c>
      <c r="O421" s="6" t="n">
        <f aca="false">M421-N421</f>
        <v>960</v>
      </c>
      <c r="P421" s="7" t="n">
        <f aca="false">IF(M421=0,0,O421/M421)</f>
        <v>0.4</v>
      </c>
    </row>
    <row r="422" customFormat="false" ht="15" hidden="false" customHeight="false" outlineLevel="0" collapsed="false">
      <c r="A422" s="2" t="n">
        <v>1653</v>
      </c>
      <c r="B422" s="2" t="s">
        <v>57</v>
      </c>
      <c r="C422" s="2" t="s">
        <v>710</v>
      </c>
      <c r="D422" s="2" t="s">
        <v>25</v>
      </c>
      <c r="E422" s="2" t="s">
        <v>3605</v>
      </c>
      <c r="F422" s="2" t="s">
        <v>3606</v>
      </c>
      <c r="G422" s="2" t="s">
        <v>3600</v>
      </c>
      <c r="H422" s="5" t="n">
        <v>3</v>
      </c>
      <c r="I422" s="5" t="s">
        <v>27</v>
      </c>
      <c r="J422" s="5" t="s">
        <v>19</v>
      </c>
      <c r="K422" s="5" t="s">
        <v>21</v>
      </c>
      <c r="L422" s="5" t="n">
        <v>800</v>
      </c>
      <c r="M422" s="5" t="n">
        <v>2400</v>
      </c>
      <c r="N422" s="6" t="n">
        <f aca="false">L422*0.6*H422</f>
        <v>1440</v>
      </c>
      <c r="O422" s="6" t="n">
        <f aca="false">M422-N422</f>
        <v>960</v>
      </c>
      <c r="P422" s="7" t="n">
        <f aca="false">IF(M422=0,0,O422/M422)</f>
        <v>0.4</v>
      </c>
    </row>
    <row r="423" customFormat="false" ht="15" hidden="false" customHeight="false" outlineLevel="0" collapsed="false">
      <c r="A423" s="3" t="n">
        <v>1654</v>
      </c>
      <c r="B423" s="3" t="s">
        <v>1802</v>
      </c>
      <c r="C423" s="3" t="s">
        <v>1801</v>
      </c>
      <c r="D423" s="3" t="s">
        <v>108</v>
      </c>
      <c r="E423" s="3" t="s">
        <v>3866</v>
      </c>
      <c r="F423" s="3" t="s">
        <v>3591</v>
      </c>
      <c r="G423" s="3" t="s">
        <v>3592</v>
      </c>
      <c r="H423" s="8" t="n">
        <v>1</v>
      </c>
      <c r="I423" s="8" t="s">
        <v>18</v>
      </c>
      <c r="J423" s="8" t="s">
        <v>19</v>
      </c>
      <c r="K423" s="8" t="s">
        <v>21</v>
      </c>
      <c r="L423" s="8" t="n">
        <v>1200</v>
      </c>
      <c r="M423" s="8" t="n">
        <v>1200</v>
      </c>
      <c r="N423" s="6" t="n">
        <f aca="false">L423*0.6*H423</f>
        <v>720</v>
      </c>
      <c r="O423" s="6" t="n">
        <f aca="false">M423-N423</f>
        <v>480</v>
      </c>
      <c r="P423" s="7" t="n">
        <f aca="false">IF(M423=0,0,O423/M423)</f>
        <v>0.4</v>
      </c>
    </row>
    <row r="424" customFormat="false" ht="15" hidden="false" customHeight="false" outlineLevel="0" collapsed="false">
      <c r="A424" s="2" t="n">
        <v>1655</v>
      </c>
      <c r="B424" s="2" t="s">
        <v>901</v>
      </c>
      <c r="C424" s="2" t="s">
        <v>1806</v>
      </c>
      <c r="D424" s="2" t="s">
        <v>25</v>
      </c>
      <c r="E424" s="2" t="s">
        <v>3692</v>
      </c>
      <c r="F424" s="2" t="s">
        <v>3599</v>
      </c>
      <c r="G424" s="2" t="s">
        <v>3600</v>
      </c>
      <c r="H424" s="5" t="n">
        <v>3</v>
      </c>
      <c r="I424" s="5" t="s">
        <v>18</v>
      </c>
      <c r="J424" s="5" t="s">
        <v>121</v>
      </c>
      <c r="K424" s="5" t="s">
        <v>317</v>
      </c>
      <c r="L424" s="5" t="n">
        <v>800</v>
      </c>
      <c r="M424" s="5" t="n">
        <v>2400</v>
      </c>
      <c r="N424" s="6" t="n">
        <f aca="false">L424*0.6*H424</f>
        <v>1440</v>
      </c>
      <c r="O424" s="6" t="n">
        <f aca="false">M424-N424</f>
        <v>960</v>
      </c>
      <c r="P424" s="7" t="n">
        <f aca="false">IF(M424=0,0,O424/M424)</f>
        <v>0.4</v>
      </c>
    </row>
    <row r="425" customFormat="false" ht="15" hidden="false" customHeight="false" outlineLevel="0" collapsed="false">
      <c r="A425" s="3" t="n">
        <v>1656</v>
      </c>
      <c r="B425" s="3" t="s">
        <v>711</v>
      </c>
      <c r="C425" s="3" t="s">
        <v>1100</v>
      </c>
      <c r="D425" s="3" t="s">
        <v>49</v>
      </c>
      <c r="E425" s="3" t="s">
        <v>3831</v>
      </c>
      <c r="F425" s="3" t="s">
        <v>3603</v>
      </c>
      <c r="G425" s="3" t="s">
        <v>3604</v>
      </c>
      <c r="H425" s="8" t="n">
        <v>3</v>
      </c>
      <c r="I425" s="8" t="s">
        <v>51</v>
      </c>
      <c r="J425" s="8" t="s">
        <v>52</v>
      </c>
      <c r="K425" s="8" t="s">
        <v>92</v>
      </c>
      <c r="L425" s="8" t="n">
        <v>250</v>
      </c>
      <c r="M425" s="8" t="n">
        <v>750</v>
      </c>
      <c r="N425" s="6" t="n">
        <f aca="false">L425*0.6*H425</f>
        <v>450</v>
      </c>
      <c r="O425" s="6" t="n">
        <f aca="false">M425-N425</f>
        <v>300</v>
      </c>
      <c r="P425" s="7" t="n">
        <f aca="false">IF(M425=0,0,O425/M425)</f>
        <v>0.4</v>
      </c>
    </row>
    <row r="426" customFormat="false" ht="15" hidden="false" customHeight="false" outlineLevel="0" collapsed="false">
      <c r="A426" s="2" t="n">
        <v>1657</v>
      </c>
      <c r="B426" s="2" t="s">
        <v>1812</v>
      </c>
      <c r="C426" s="2" t="s">
        <v>1811</v>
      </c>
      <c r="D426" s="2" t="s">
        <v>34</v>
      </c>
      <c r="E426" s="2" t="s">
        <v>3867</v>
      </c>
      <c r="F426" s="2" t="s">
        <v>3608</v>
      </c>
      <c r="G426" s="2" t="s">
        <v>3604</v>
      </c>
      <c r="H426" s="5" t="n">
        <v>2</v>
      </c>
      <c r="I426" s="5" t="s">
        <v>18</v>
      </c>
      <c r="J426" s="5" t="s">
        <v>19</v>
      </c>
      <c r="K426" s="5" t="s">
        <v>176</v>
      </c>
      <c r="L426" s="5" t="n">
        <v>300</v>
      </c>
      <c r="M426" s="5" t="n">
        <v>600</v>
      </c>
      <c r="N426" s="6" t="n">
        <f aca="false">L426*0.6*H426</f>
        <v>360</v>
      </c>
      <c r="O426" s="6" t="n">
        <f aca="false">M426-N426</f>
        <v>240</v>
      </c>
      <c r="P426" s="7" t="n">
        <f aca="false">IF(M426=0,0,O426/M426)</f>
        <v>0.4</v>
      </c>
    </row>
    <row r="427" customFormat="false" ht="15" hidden="false" customHeight="false" outlineLevel="0" collapsed="false">
      <c r="A427" s="3" t="n">
        <v>1658</v>
      </c>
      <c r="B427" s="3" t="s">
        <v>64</v>
      </c>
      <c r="C427" s="3" t="s">
        <v>234</v>
      </c>
      <c r="D427" s="3" t="s">
        <v>25</v>
      </c>
      <c r="E427" s="3" t="s">
        <v>3645</v>
      </c>
      <c r="F427" s="3" t="s">
        <v>3628</v>
      </c>
      <c r="G427" s="3" t="s">
        <v>3595</v>
      </c>
      <c r="H427" s="8" t="n">
        <v>1</v>
      </c>
      <c r="I427" s="8" t="s">
        <v>97</v>
      </c>
      <c r="J427" s="8" t="s">
        <v>78</v>
      </c>
      <c r="K427" s="8" t="s">
        <v>80</v>
      </c>
      <c r="L427" s="8" t="n">
        <v>800</v>
      </c>
      <c r="M427" s="8" t="n">
        <v>800</v>
      </c>
      <c r="N427" s="6" t="n">
        <f aca="false">L427*0.6*H427</f>
        <v>480</v>
      </c>
      <c r="O427" s="6" t="n">
        <f aca="false">M427-N427</f>
        <v>320</v>
      </c>
      <c r="P427" s="7" t="n">
        <f aca="false">IF(M427=0,0,O427/M427)</f>
        <v>0.4</v>
      </c>
    </row>
    <row r="428" customFormat="false" ht="15" hidden="false" customHeight="false" outlineLevel="0" collapsed="false">
      <c r="A428" s="2" t="n">
        <v>1659</v>
      </c>
      <c r="B428" s="2" t="s">
        <v>1819</v>
      </c>
      <c r="C428" s="2" t="s">
        <v>1818</v>
      </c>
      <c r="D428" s="2" t="s">
        <v>16</v>
      </c>
      <c r="E428" s="2" t="s">
        <v>3790</v>
      </c>
      <c r="F428" s="2" t="s">
        <v>2379</v>
      </c>
      <c r="G428" s="2" t="s">
        <v>3592</v>
      </c>
      <c r="H428" s="5" t="n">
        <v>3</v>
      </c>
      <c r="I428" s="5" t="s">
        <v>51</v>
      </c>
      <c r="J428" s="5" t="s">
        <v>121</v>
      </c>
      <c r="K428" s="5" t="s">
        <v>317</v>
      </c>
      <c r="L428" s="5" t="n">
        <v>250</v>
      </c>
      <c r="M428" s="5" t="n">
        <v>750</v>
      </c>
      <c r="N428" s="6" t="n">
        <f aca="false">L428*0.6*H428</f>
        <v>450</v>
      </c>
      <c r="O428" s="6" t="n">
        <f aca="false">M428-N428</f>
        <v>300</v>
      </c>
      <c r="P428" s="7" t="n">
        <f aca="false">IF(M428=0,0,O428/M428)</f>
        <v>0.4</v>
      </c>
    </row>
    <row r="429" customFormat="false" ht="15" hidden="false" customHeight="false" outlineLevel="0" collapsed="false">
      <c r="A429" s="3" t="n">
        <v>1660</v>
      </c>
      <c r="B429" s="3" t="s">
        <v>1823</v>
      </c>
      <c r="C429" s="3" t="s">
        <v>1822</v>
      </c>
      <c r="D429" s="3" t="s">
        <v>34</v>
      </c>
      <c r="E429" s="3" t="s">
        <v>3868</v>
      </c>
      <c r="F429" s="3" t="s">
        <v>3610</v>
      </c>
      <c r="G429" s="3" t="s">
        <v>3600</v>
      </c>
      <c r="H429" s="8" t="n">
        <v>2</v>
      </c>
      <c r="I429" s="8" t="s">
        <v>51</v>
      </c>
      <c r="J429" s="8" t="s">
        <v>78</v>
      </c>
      <c r="K429" s="8" t="s">
        <v>86</v>
      </c>
      <c r="L429" s="8" t="n">
        <v>300</v>
      </c>
      <c r="M429" s="8" t="n">
        <v>600</v>
      </c>
      <c r="N429" s="6" t="n">
        <f aca="false">L429*0.6*H429</f>
        <v>360</v>
      </c>
      <c r="O429" s="6" t="n">
        <f aca="false">M429-N429</f>
        <v>240</v>
      </c>
      <c r="P429" s="7" t="n">
        <f aca="false">IF(M429=0,0,O429/M429)</f>
        <v>0.4</v>
      </c>
    </row>
    <row r="430" customFormat="false" ht="15" hidden="false" customHeight="false" outlineLevel="0" collapsed="false">
      <c r="A430" s="2" t="n">
        <v>1661</v>
      </c>
      <c r="B430" s="2" t="s">
        <v>1827</v>
      </c>
      <c r="C430" s="2" t="s">
        <v>1085</v>
      </c>
      <c r="D430" s="2" t="s">
        <v>49</v>
      </c>
      <c r="E430" s="2" t="s">
        <v>3673</v>
      </c>
      <c r="F430" s="2" t="s">
        <v>3610</v>
      </c>
      <c r="G430" s="2" t="s">
        <v>3600</v>
      </c>
      <c r="H430" s="5" t="n">
        <v>1</v>
      </c>
      <c r="I430" s="5" t="s">
        <v>27</v>
      </c>
      <c r="J430" s="5" t="s">
        <v>36</v>
      </c>
      <c r="K430" s="5" t="s">
        <v>38</v>
      </c>
      <c r="L430" s="5" t="n">
        <v>250</v>
      </c>
      <c r="M430" s="5" t="n">
        <v>250</v>
      </c>
      <c r="N430" s="6" t="n">
        <f aca="false">L430*0.6*H430</f>
        <v>150</v>
      </c>
      <c r="O430" s="6" t="n">
        <f aca="false">M430-N430</f>
        <v>100</v>
      </c>
      <c r="P430" s="7" t="n">
        <f aca="false">IF(M430=0,0,O430/M430)</f>
        <v>0.4</v>
      </c>
    </row>
    <row r="431" customFormat="false" ht="15" hidden="false" customHeight="false" outlineLevel="0" collapsed="false">
      <c r="A431" s="3" t="n">
        <v>1662</v>
      </c>
      <c r="B431" s="3" t="s">
        <v>1313</v>
      </c>
      <c r="C431" s="3" t="s">
        <v>482</v>
      </c>
      <c r="D431" s="3" t="s">
        <v>147</v>
      </c>
      <c r="E431" s="3" t="s">
        <v>3840</v>
      </c>
      <c r="F431" s="3" t="s">
        <v>3591</v>
      </c>
      <c r="G431" s="3" t="s">
        <v>3592</v>
      </c>
      <c r="H431" s="8" t="n">
        <v>2</v>
      </c>
      <c r="I431" s="8" t="s">
        <v>18</v>
      </c>
      <c r="J431" s="8" t="s">
        <v>28</v>
      </c>
      <c r="K431" s="8" t="s">
        <v>30</v>
      </c>
      <c r="L431" s="8" t="n">
        <v>600</v>
      </c>
      <c r="M431" s="8" t="n">
        <v>1200</v>
      </c>
      <c r="N431" s="6" t="n">
        <f aca="false">L431*0.6*H431</f>
        <v>720</v>
      </c>
      <c r="O431" s="6" t="n">
        <f aca="false">M431-N431</f>
        <v>480</v>
      </c>
      <c r="P431" s="7" t="n">
        <f aca="false">IF(M431=0,0,O431/M431)</f>
        <v>0.4</v>
      </c>
    </row>
    <row r="432" customFormat="false" ht="15" hidden="false" customHeight="false" outlineLevel="0" collapsed="false">
      <c r="A432" s="2" t="n">
        <v>1663</v>
      </c>
      <c r="B432" s="2" t="s">
        <v>1789</v>
      </c>
      <c r="C432" s="2" t="s">
        <v>1832</v>
      </c>
      <c r="D432" s="2" t="s">
        <v>49</v>
      </c>
      <c r="E432" s="2" t="s">
        <v>3810</v>
      </c>
      <c r="F432" s="2" t="s">
        <v>3603</v>
      </c>
      <c r="G432" s="2" t="s">
        <v>3604</v>
      </c>
      <c r="H432" s="5" t="n">
        <v>2</v>
      </c>
      <c r="I432" s="5" t="s">
        <v>27</v>
      </c>
      <c r="J432" s="5" t="s">
        <v>52</v>
      </c>
      <c r="K432" s="5" t="s">
        <v>92</v>
      </c>
      <c r="L432" s="5" t="n">
        <v>250</v>
      </c>
      <c r="M432" s="5" t="n">
        <v>500</v>
      </c>
      <c r="N432" s="6" t="n">
        <f aca="false">L432*0.6*H432</f>
        <v>300</v>
      </c>
      <c r="O432" s="6" t="n">
        <f aca="false">M432-N432</f>
        <v>200</v>
      </c>
      <c r="P432" s="7" t="n">
        <f aca="false">IF(M432=0,0,O432/M432)</f>
        <v>0.4</v>
      </c>
    </row>
    <row r="433" customFormat="false" ht="15" hidden="false" customHeight="false" outlineLevel="0" collapsed="false">
      <c r="A433" s="3" t="n">
        <v>1664</v>
      </c>
      <c r="B433" s="3" t="s">
        <v>1835</v>
      </c>
      <c r="C433" s="3" t="s">
        <v>1305</v>
      </c>
      <c r="D433" s="3" t="s">
        <v>34</v>
      </c>
      <c r="E433" s="3" t="s">
        <v>3684</v>
      </c>
      <c r="F433" s="3" t="s">
        <v>3599</v>
      </c>
      <c r="G433" s="3" t="s">
        <v>3600</v>
      </c>
      <c r="H433" s="8" t="n">
        <v>1</v>
      </c>
      <c r="I433" s="8" t="s">
        <v>18</v>
      </c>
      <c r="J433" s="8" t="s">
        <v>19</v>
      </c>
      <c r="K433" s="8" t="s">
        <v>73</v>
      </c>
      <c r="L433" s="8" t="n">
        <v>300</v>
      </c>
      <c r="M433" s="8" t="n">
        <v>300</v>
      </c>
      <c r="N433" s="6" t="n">
        <f aca="false">L433*0.6*H433</f>
        <v>180</v>
      </c>
      <c r="O433" s="6" t="n">
        <f aca="false">M433-N433</f>
        <v>120</v>
      </c>
      <c r="P433" s="7" t="n">
        <f aca="false">IF(M433=0,0,O433/M433)</f>
        <v>0.4</v>
      </c>
    </row>
    <row r="434" customFormat="false" ht="15" hidden="false" customHeight="false" outlineLevel="0" collapsed="false">
      <c r="A434" s="2" t="n">
        <v>1665</v>
      </c>
      <c r="B434" s="2" t="s">
        <v>1839</v>
      </c>
      <c r="C434" s="2" t="s">
        <v>1838</v>
      </c>
      <c r="D434" s="2" t="s">
        <v>34</v>
      </c>
      <c r="E434" s="2" t="s">
        <v>3869</v>
      </c>
      <c r="F434" s="2" t="s">
        <v>3608</v>
      </c>
      <c r="G434" s="2" t="s">
        <v>3604</v>
      </c>
      <c r="H434" s="5" t="n">
        <v>2</v>
      </c>
      <c r="I434" s="5" t="s">
        <v>18</v>
      </c>
      <c r="J434" s="5" t="s">
        <v>52</v>
      </c>
      <c r="K434" s="5" t="s">
        <v>182</v>
      </c>
      <c r="L434" s="5" t="n">
        <v>300</v>
      </c>
      <c r="M434" s="5" t="n">
        <v>600</v>
      </c>
      <c r="N434" s="6" t="n">
        <f aca="false">L434*0.6*H434</f>
        <v>360</v>
      </c>
      <c r="O434" s="6" t="n">
        <f aca="false">M434-N434</f>
        <v>240</v>
      </c>
      <c r="P434" s="7" t="n">
        <f aca="false">IF(M434=0,0,O434/M434)</f>
        <v>0.4</v>
      </c>
    </row>
    <row r="435" customFormat="false" ht="15" hidden="false" customHeight="false" outlineLevel="0" collapsed="false">
      <c r="A435" s="3" t="n">
        <v>1666</v>
      </c>
      <c r="B435" s="3" t="s">
        <v>1844</v>
      </c>
      <c r="C435" s="3" t="s">
        <v>1843</v>
      </c>
      <c r="D435" s="3" t="s">
        <v>25</v>
      </c>
      <c r="E435" s="3" t="s">
        <v>3760</v>
      </c>
      <c r="F435" s="3" t="s">
        <v>3625</v>
      </c>
      <c r="G435" s="3" t="s">
        <v>3592</v>
      </c>
      <c r="H435" s="8" t="n">
        <v>2</v>
      </c>
      <c r="I435" s="8" t="s">
        <v>18</v>
      </c>
      <c r="J435" s="8" t="s">
        <v>121</v>
      </c>
      <c r="K435" s="8" t="s">
        <v>317</v>
      </c>
      <c r="L435" s="8" t="n">
        <v>800</v>
      </c>
      <c r="M435" s="8" t="n">
        <v>1600</v>
      </c>
      <c r="N435" s="6" t="n">
        <f aca="false">L435*0.6*H435</f>
        <v>960</v>
      </c>
      <c r="O435" s="6" t="n">
        <f aca="false">M435-N435</f>
        <v>640</v>
      </c>
      <c r="P435" s="7" t="n">
        <f aca="false">IF(M435=0,0,O435/M435)</f>
        <v>0.4</v>
      </c>
    </row>
    <row r="436" customFormat="false" ht="15" hidden="false" customHeight="false" outlineLevel="0" collapsed="false">
      <c r="A436" s="2" t="n">
        <v>1667</v>
      </c>
      <c r="B436" s="2" t="s">
        <v>1848</v>
      </c>
      <c r="C436" s="2" t="s">
        <v>1847</v>
      </c>
      <c r="D436" s="2" t="s">
        <v>25</v>
      </c>
      <c r="E436" s="2" t="s">
        <v>3706</v>
      </c>
      <c r="F436" s="2" t="s">
        <v>3606</v>
      </c>
      <c r="G436" s="2" t="s">
        <v>3600</v>
      </c>
      <c r="H436" s="5" t="n">
        <v>3</v>
      </c>
      <c r="I436" s="5" t="s">
        <v>18</v>
      </c>
      <c r="J436" s="5" t="s">
        <v>36</v>
      </c>
      <c r="K436" s="5" t="s">
        <v>38</v>
      </c>
      <c r="L436" s="5" t="n">
        <v>800</v>
      </c>
      <c r="M436" s="5" t="n">
        <v>2400</v>
      </c>
      <c r="N436" s="6" t="n">
        <f aca="false">L436*0.6*H436</f>
        <v>1440</v>
      </c>
      <c r="O436" s="6" t="n">
        <f aca="false">M436-N436</f>
        <v>960</v>
      </c>
      <c r="P436" s="7" t="n">
        <f aca="false">IF(M436=0,0,O436/M436)</f>
        <v>0.4</v>
      </c>
    </row>
    <row r="437" customFormat="false" ht="15" hidden="false" customHeight="false" outlineLevel="0" collapsed="false">
      <c r="A437" s="3" t="n">
        <v>1668</v>
      </c>
      <c r="B437" s="3" t="s">
        <v>1198</v>
      </c>
      <c r="C437" s="3" t="s">
        <v>1851</v>
      </c>
      <c r="D437" s="3" t="s">
        <v>49</v>
      </c>
      <c r="E437" s="3" t="s">
        <v>3645</v>
      </c>
      <c r="F437" s="3" t="s">
        <v>3628</v>
      </c>
      <c r="G437" s="3" t="s">
        <v>3595</v>
      </c>
      <c r="H437" s="8" t="n">
        <v>1</v>
      </c>
      <c r="I437" s="8" t="s">
        <v>51</v>
      </c>
      <c r="J437" s="8" t="s">
        <v>19</v>
      </c>
      <c r="K437" s="8" t="s">
        <v>21</v>
      </c>
      <c r="L437" s="8" t="n">
        <v>250</v>
      </c>
      <c r="M437" s="8" t="n">
        <v>250</v>
      </c>
      <c r="N437" s="6" t="n">
        <f aca="false">L437*0.6*H437</f>
        <v>150</v>
      </c>
      <c r="O437" s="6" t="n">
        <f aca="false">M437-N437</f>
        <v>100</v>
      </c>
      <c r="P437" s="7" t="n">
        <f aca="false">IF(M437=0,0,O437/M437)</f>
        <v>0.4</v>
      </c>
    </row>
    <row r="438" customFormat="false" ht="15" hidden="false" customHeight="false" outlineLevel="0" collapsed="false">
      <c r="A438" s="2" t="n">
        <v>1669</v>
      </c>
      <c r="B438" s="2" t="s">
        <v>391</v>
      </c>
      <c r="C438" s="2" t="s">
        <v>723</v>
      </c>
      <c r="D438" s="2" t="s">
        <v>49</v>
      </c>
      <c r="E438" s="2" t="s">
        <v>3831</v>
      </c>
      <c r="F438" s="2" t="s">
        <v>3603</v>
      </c>
      <c r="G438" s="2" t="s">
        <v>3604</v>
      </c>
      <c r="H438" s="5" t="n">
        <v>1</v>
      </c>
      <c r="I438" s="5" t="s">
        <v>51</v>
      </c>
      <c r="J438" s="5" t="s">
        <v>52</v>
      </c>
      <c r="K438" s="5" t="s">
        <v>182</v>
      </c>
      <c r="L438" s="5" t="n">
        <v>250</v>
      </c>
      <c r="M438" s="5" t="n">
        <v>250</v>
      </c>
      <c r="N438" s="6" t="n">
        <f aca="false">L438*0.6*H438</f>
        <v>150</v>
      </c>
      <c r="O438" s="6" t="n">
        <f aca="false">M438-N438</f>
        <v>100</v>
      </c>
      <c r="P438" s="7" t="n">
        <f aca="false">IF(M438=0,0,O438/M438)</f>
        <v>0.4</v>
      </c>
    </row>
    <row r="439" customFormat="false" ht="15" hidden="false" customHeight="false" outlineLevel="0" collapsed="false">
      <c r="A439" s="3" t="n">
        <v>1670</v>
      </c>
      <c r="B439" s="3" t="s">
        <v>946</v>
      </c>
      <c r="C439" s="3" t="s">
        <v>1856</v>
      </c>
      <c r="D439" s="3" t="s">
        <v>49</v>
      </c>
      <c r="E439" s="3" t="s">
        <v>3668</v>
      </c>
      <c r="F439" s="3" t="s">
        <v>3610</v>
      </c>
      <c r="G439" s="3" t="s">
        <v>3600</v>
      </c>
      <c r="H439" s="8" t="n">
        <v>2</v>
      </c>
      <c r="I439" s="8" t="s">
        <v>27</v>
      </c>
      <c r="J439" s="8" t="s">
        <v>19</v>
      </c>
      <c r="K439" s="8" t="s">
        <v>21</v>
      </c>
      <c r="L439" s="8" t="n">
        <v>250</v>
      </c>
      <c r="M439" s="8" t="n">
        <v>500</v>
      </c>
      <c r="N439" s="6" t="n">
        <f aca="false">L439*0.6*H439</f>
        <v>300</v>
      </c>
      <c r="O439" s="6" t="n">
        <f aca="false">M439-N439</f>
        <v>200</v>
      </c>
      <c r="P439" s="7" t="n">
        <f aca="false">IF(M439=0,0,O439/M439)</f>
        <v>0.4</v>
      </c>
    </row>
    <row r="440" customFormat="false" ht="15" hidden="false" customHeight="false" outlineLevel="0" collapsed="false">
      <c r="A440" s="2" t="n">
        <v>1671</v>
      </c>
      <c r="B440" s="2" t="s">
        <v>1860</v>
      </c>
      <c r="C440" s="2" t="s">
        <v>1859</v>
      </c>
      <c r="D440" s="2" t="s">
        <v>16</v>
      </c>
      <c r="E440" s="2" t="s">
        <v>3870</v>
      </c>
      <c r="F440" s="2" t="s">
        <v>3613</v>
      </c>
      <c r="G440" s="2" t="s">
        <v>3604</v>
      </c>
      <c r="H440" s="5" t="n">
        <v>1</v>
      </c>
      <c r="I440" s="5" t="s">
        <v>51</v>
      </c>
      <c r="J440" s="5" t="s">
        <v>52</v>
      </c>
      <c r="K440" s="5" t="s">
        <v>182</v>
      </c>
      <c r="L440" s="5" t="n">
        <v>250</v>
      </c>
      <c r="M440" s="5" t="n">
        <v>250</v>
      </c>
      <c r="N440" s="6" t="n">
        <f aca="false">L440*0.6*H440</f>
        <v>150</v>
      </c>
      <c r="O440" s="6" t="n">
        <f aca="false">M440-N440</f>
        <v>100</v>
      </c>
      <c r="P440" s="7" t="n">
        <f aca="false">IF(M440=0,0,O440/M440)</f>
        <v>0.4</v>
      </c>
    </row>
    <row r="441" customFormat="false" ht="15" hidden="false" customHeight="false" outlineLevel="0" collapsed="false">
      <c r="A441" s="3" t="n">
        <v>1672</v>
      </c>
      <c r="B441" s="3" t="s">
        <v>1864</v>
      </c>
      <c r="C441" s="3" t="s">
        <v>204</v>
      </c>
      <c r="D441" s="3" t="s">
        <v>34</v>
      </c>
      <c r="E441" s="3" t="s">
        <v>3679</v>
      </c>
      <c r="F441" s="3" t="s">
        <v>3628</v>
      </c>
      <c r="G441" s="3" t="s">
        <v>3595</v>
      </c>
      <c r="H441" s="8" t="n">
        <v>3</v>
      </c>
      <c r="I441" s="8" t="s">
        <v>51</v>
      </c>
      <c r="J441" s="8" t="s">
        <v>28</v>
      </c>
      <c r="K441" s="8" t="s">
        <v>30</v>
      </c>
      <c r="L441" s="8" t="n">
        <v>300</v>
      </c>
      <c r="M441" s="8" t="n">
        <v>900</v>
      </c>
      <c r="N441" s="6" t="n">
        <f aca="false">L441*0.6*H441</f>
        <v>540</v>
      </c>
      <c r="O441" s="6" t="n">
        <f aca="false">M441-N441</f>
        <v>360</v>
      </c>
      <c r="P441" s="7" t="n">
        <f aca="false">IF(M441=0,0,O441/M441)</f>
        <v>0.4</v>
      </c>
    </row>
    <row r="442" customFormat="false" ht="15" hidden="false" customHeight="false" outlineLevel="0" collapsed="false">
      <c r="A442" s="2" t="n">
        <v>1673</v>
      </c>
      <c r="B442" s="2" t="s">
        <v>1659</v>
      </c>
      <c r="C442" s="2" t="s">
        <v>1867</v>
      </c>
      <c r="D442" s="2" t="s">
        <v>108</v>
      </c>
      <c r="E442" s="2" t="s">
        <v>3819</v>
      </c>
      <c r="F442" s="2" t="s">
        <v>1756</v>
      </c>
      <c r="G442" s="2" t="s">
        <v>3595</v>
      </c>
      <c r="H442" s="5" t="n">
        <v>3</v>
      </c>
      <c r="I442" s="5" t="s">
        <v>18</v>
      </c>
      <c r="J442" s="5" t="s">
        <v>52</v>
      </c>
      <c r="K442" s="5" t="s">
        <v>92</v>
      </c>
      <c r="L442" s="5" t="n">
        <v>1200</v>
      </c>
      <c r="M442" s="5" t="n">
        <v>3600</v>
      </c>
      <c r="N442" s="6" t="n">
        <f aca="false">L442*0.6*H442</f>
        <v>2160</v>
      </c>
      <c r="O442" s="6" t="n">
        <f aca="false">M442-N442</f>
        <v>1440</v>
      </c>
      <c r="P442" s="7" t="n">
        <f aca="false">IF(M442=0,0,O442/M442)</f>
        <v>0.4</v>
      </c>
    </row>
    <row r="443" customFormat="false" ht="15" hidden="false" customHeight="false" outlineLevel="0" collapsed="false">
      <c r="A443" s="3" t="n">
        <v>1674</v>
      </c>
      <c r="B443" s="3" t="s">
        <v>1871</v>
      </c>
      <c r="C443" s="3" t="s">
        <v>1870</v>
      </c>
      <c r="D443" s="3" t="s">
        <v>16</v>
      </c>
      <c r="E443" s="3" t="s">
        <v>3785</v>
      </c>
      <c r="F443" s="3" t="s">
        <v>2379</v>
      </c>
      <c r="G443" s="3" t="s">
        <v>3592</v>
      </c>
      <c r="H443" s="8" t="n">
        <v>1</v>
      </c>
      <c r="I443" s="8" t="s">
        <v>51</v>
      </c>
      <c r="J443" s="8" t="s">
        <v>43</v>
      </c>
      <c r="K443" s="8" t="s">
        <v>45</v>
      </c>
      <c r="L443" s="8" t="n">
        <v>250</v>
      </c>
      <c r="M443" s="8" t="n">
        <v>250</v>
      </c>
      <c r="N443" s="6" t="n">
        <f aca="false">L443*0.6*H443</f>
        <v>150</v>
      </c>
      <c r="O443" s="6" t="n">
        <f aca="false">M443-N443</f>
        <v>100</v>
      </c>
      <c r="P443" s="7" t="n">
        <f aca="false">IF(M443=0,0,O443/M443)</f>
        <v>0.4</v>
      </c>
    </row>
    <row r="444" customFormat="false" ht="15" hidden="false" customHeight="false" outlineLevel="0" collapsed="false">
      <c r="A444" s="2" t="n">
        <v>1675</v>
      </c>
      <c r="B444" s="2" t="s">
        <v>1875</v>
      </c>
      <c r="C444" s="2" t="s">
        <v>1874</v>
      </c>
      <c r="D444" s="2" t="s">
        <v>108</v>
      </c>
      <c r="E444" s="2" t="s">
        <v>3779</v>
      </c>
      <c r="F444" s="2" t="s">
        <v>3599</v>
      </c>
      <c r="G444" s="2" t="s">
        <v>3600</v>
      </c>
      <c r="H444" s="5" t="n">
        <v>2</v>
      </c>
      <c r="I444" s="5" t="s">
        <v>18</v>
      </c>
      <c r="J444" s="5" t="s">
        <v>43</v>
      </c>
      <c r="K444" s="5" t="s">
        <v>45</v>
      </c>
      <c r="L444" s="5" t="n">
        <v>1200</v>
      </c>
      <c r="M444" s="5" t="n">
        <v>2400</v>
      </c>
      <c r="N444" s="6" t="n">
        <f aca="false">L444*0.6*H444</f>
        <v>1440</v>
      </c>
      <c r="O444" s="6" t="n">
        <f aca="false">M444-N444</f>
        <v>960</v>
      </c>
      <c r="P444" s="7" t="n">
        <f aca="false">IF(M444=0,0,O444/M444)</f>
        <v>0.4</v>
      </c>
    </row>
    <row r="445" customFormat="false" ht="15" hidden="false" customHeight="false" outlineLevel="0" collapsed="false">
      <c r="A445" s="3" t="n">
        <v>1676</v>
      </c>
      <c r="B445" s="3" t="s">
        <v>1879</v>
      </c>
      <c r="C445" s="3" t="s">
        <v>1878</v>
      </c>
      <c r="D445" s="3" t="s">
        <v>25</v>
      </c>
      <c r="E445" s="3" t="s">
        <v>3597</v>
      </c>
      <c r="F445" s="3" t="s">
        <v>2379</v>
      </c>
      <c r="G445" s="3" t="s">
        <v>3592</v>
      </c>
      <c r="H445" s="8" t="n">
        <v>2</v>
      </c>
      <c r="I445" s="8" t="s">
        <v>51</v>
      </c>
      <c r="J445" s="8" t="s">
        <v>43</v>
      </c>
      <c r="K445" s="8" t="s">
        <v>45</v>
      </c>
      <c r="L445" s="8" t="n">
        <v>800</v>
      </c>
      <c r="M445" s="8" t="n">
        <v>1600</v>
      </c>
      <c r="N445" s="6" t="n">
        <f aca="false">L445*0.6*H445</f>
        <v>960</v>
      </c>
      <c r="O445" s="6" t="n">
        <f aca="false">M445-N445</f>
        <v>640</v>
      </c>
      <c r="P445" s="7" t="n">
        <f aca="false">IF(M445=0,0,O445/M445)</f>
        <v>0.4</v>
      </c>
    </row>
    <row r="446" customFormat="false" ht="15" hidden="false" customHeight="false" outlineLevel="0" collapsed="false">
      <c r="A446" s="2" t="n">
        <v>1677</v>
      </c>
      <c r="B446" s="2" t="s">
        <v>1401</v>
      </c>
      <c r="C446" s="2" t="s">
        <v>1882</v>
      </c>
      <c r="D446" s="2" t="s">
        <v>108</v>
      </c>
      <c r="E446" s="2" t="s">
        <v>3686</v>
      </c>
      <c r="F446" s="2" t="s">
        <v>3594</v>
      </c>
      <c r="G446" s="2" t="s">
        <v>3595</v>
      </c>
      <c r="H446" s="5" t="n">
        <v>1</v>
      </c>
      <c r="I446" s="5" t="s">
        <v>51</v>
      </c>
      <c r="J446" s="5" t="s">
        <v>36</v>
      </c>
      <c r="K446" s="5" t="s">
        <v>38</v>
      </c>
      <c r="L446" s="5" t="n">
        <v>1200</v>
      </c>
      <c r="M446" s="5" t="n">
        <v>1200</v>
      </c>
      <c r="N446" s="6" t="n">
        <f aca="false">L446*0.6*H446</f>
        <v>720</v>
      </c>
      <c r="O446" s="6" t="n">
        <f aca="false">M446-N446</f>
        <v>480</v>
      </c>
      <c r="P446" s="7" t="n">
        <f aca="false">IF(M446=0,0,O446/M446)</f>
        <v>0.4</v>
      </c>
    </row>
    <row r="447" customFormat="false" ht="15" hidden="false" customHeight="false" outlineLevel="0" collapsed="false">
      <c r="A447" s="3" t="n">
        <v>1678</v>
      </c>
      <c r="B447" s="3" t="s">
        <v>1885</v>
      </c>
      <c r="C447" s="3" t="s">
        <v>1187</v>
      </c>
      <c r="D447" s="3" t="s">
        <v>16</v>
      </c>
      <c r="E447" s="3" t="s">
        <v>3627</v>
      </c>
      <c r="F447" s="3" t="s">
        <v>3628</v>
      </c>
      <c r="G447" s="3" t="s">
        <v>3595</v>
      </c>
      <c r="H447" s="8" t="n">
        <v>1</v>
      </c>
      <c r="I447" s="8" t="s">
        <v>51</v>
      </c>
      <c r="J447" s="8" t="s">
        <v>59</v>
      </c>
      <c r="K447" s="8" t="s">
        <v>99</v>
      </c>
      <c r="L447" s="8" t="n">
        <v>250</v>
      </c>
      <c r="M447" s="8" t="n">
        <v>250</v>
      </c>
      <c r="N447" s="6" t="n">
        <f aca="false">L447*0.6*H447</f>
        <v>150</v>
      </c>
      <c r="O447" s="6" t="n">
        <f aca="false">M447-N447</f>
        <v>100</v>
      </c>
      <c r="P447" s="7" t="n">
        <f aca="false">IF(M447=0,0,O447/M447)</f>
        <v>0.4</v>
      </c>
    </row>
    <row r="448" customFormat="false" ht="15" hidden="false" customHeight="false" outlineLevel="0" collapsed="false">
      <c r="A448" s="2" t="n">
        <v>1679</v>
      </c>
      <c r="B448" s="2" t="s">
        <v>448</v>
      </c>
      <c r="C448" s="2" t="s">
        <v>1888</v>
      </c>
      <c r="D448" s="2" t="s">
        <v>147</v>
      </c>
      <c r="E448" s="2" t="s">
        <v>3637</v>
      </c>
      <c r="F448" s="2" t="s">
        <v>1756</v>
      </c>
      <c r="G448" s="2" t="s">
        <v>3595</v>
      </c>
      <c r="H448" s="5" t="n">
        <v>1</v>
      </c>
      <c r="I448" s="5" t="s">
        <v>18</v>
      </c>
      <c r="J448" s="5" t="s">
        <v>121</v>
      </c>
      <c r="K448" s="5" t="s">
        <v>317</v>
      </c>
      <c r="L448" s="5" t="n">
        <v>600</v>
      </c>
      <c r="M448" s="5" t="n">
        <v>600</v>
      </c>
      <c r="N448" s="6" t="n">
        <f aca="false">L448*0.6*H448</f>
        <v>360</v>
      </c>
      <c r="O448" s="6" t="n">
        <f aca="false">M448-N448</f>
        <v>240</v>
      </c>
      <c r="P448" s="7" t="n">
        <f aca="false">IF(M448=0,0,O448/M448)</f>
        <v>0.4</v>
      </c>
    </row>
    <row r="449" customFormat="false" ht="15" hidden="false" customHeight="false" outlineLevel="0" collapsed="false">
      <c r="A449" s="3" t="n">
        <v>1680</v>
      </c>
      <c r="B449" s="3" t="s">
        <v>1891</v>
      </c>
      <c r="C449" s="3" t="s">
        <v>380</v>
      </c>
      <c r="D449" s="3" t="s">
        <v>16</v>
      </c>
      <c r="E449" s="3" t="s">
        <v>3607</v>
      </c>
      <c r="F449" s="3" t="s">
        <v>3608</v>
      </c>
      <c r="G449" s="3" t="s">
        <v>3604</v>
      </c>
      <c r="H449" s="8" t="n">
        <v>3</v>
      </c>
      <c r="I449" s="8" t="s">
        <v>27</v>
      </c>
      <c r="J449" s="8" t="s">
        <v>36</v>
      </c>
      <c r="K449" s="8" t="s">
        <v>38</v>
      </c>
      <c r="L449" s="8" t="n">
        <v>250</v>
      </c>
      <c r="M449" s="8" t="n">
        <v>750</v>
      </c>
      <c r="N449" s="6" t="n">
        <f aca="false">L449*0.6*H449</f>
        <v>450</v>
      </c>
      <c r="O449" s="6" t="n">
        <f aca="false">M449-N449</f>
        <v>300</v>
      </c>
      <c r="P449" s="7" t="n">
        <f aca="false">IF(M449=0,0,O449/M449)</f>
        <v>0.4</v>
      </c>
    </row>
    <row r="450" customFormat="false" ht="15" hidden="false" customHeight="false" outlineLevel="0" collapsed="false">
      <c r="A450" s="2" t="n">
        <v>1681</v>
      </c>
      <c r="B450" s="2" t="s">
        <v>1895</v>
      </c>
      <c r="C450" s="2" t="s">
        <v>1894</v>
      </c>
      <c r="D450" s="2" t="s">
        <v>34</v>
      </c>
      <c r="E450" s="2" t="s">
        <v>3785</v>
      </c>
      <c r="F450" s="2" t="s">
        <v>2379</v>
      </c>
      <c r="G450" s="2" t="s">
        <v>3592</v>
      </c>
      <c r="H450" s="5" t="n">
        <v>2</v>
      </c>
      <c r="I450" s="5" t="s">
        <v>97</v>
      </c>
      <c r="J450" s="5" t="s">
        <v>52</v>
      </c>
      <c r="K450" s="5" t="s">
        <v>182</v>
      </c>
      <c r="L450" s="5" t="n">
        <v>300</v>
      </c>
      <c r="M450" s="5" t="n">
        <v>600</v>
      </c>
      <c r="N450" s="6" t="n">
        <f aca="false">L450*0.6*H450</f>
        <v>360</v>
      </c>
      <c r="O450" s="6" t="n">
        <f aca="false">M450-N450</f>
        <v>240</v>
      </c>
      <c r="P450" s="7" t="n">
        <f aca="false">IF(M450=0,0,O450/M450)</f>
        <v>0.4</v>
      </c>
    </row>
    <row r="451" customFormat="false" ht="15" hidden="false" customHeight="false" outlineLevel="0" collapsed="false">
      <c r="A451" s="3" t="n">
        <v>1682</v>
      </c>
      <c r="B451" s="3" t="s">
        <v>1898</v>
      </c>
      <c r="C451" s="3" t="s">
        <v>240</v>
      </c>
      <c r="D451" s="3" t="s">
        <v>25</v>
      </c>
      <c r="E451" s="3" t="s">
        <v>3623</v>
      </c>
      <c r="F451" s="3" t="s">
        <v>2379</v>
      </c>
      <c r="G451" s="3" t="s">
        <v>3592</v>
      </c>
      <c r="H451" s="8" t="n">
        <v>2</v>
      </c>
      <c r="I451" s="8" t="s">
        <v>97</v>
      </c>
      <c r="J451" s="8" t="s">
        <v>78</v>
      </c>
      <c r="K451" s="8" t="s">
        <v>408</v>
      </c>
      <c r="L451" s="8" t="n">
        <v>800</v>
      </c>
      <c r="M451" s="8" t="n">
        <v>1600</v>
      </c>
      <c r="N451" s="6" t="n">
        <f aca="false">L451*0.6*H451</f>
        <v>960</v>
      </c>
      <c r="O451" s="6" t="n">
        <f aca="false">M451-N451</f>
        <v>640</v>
      </c>
      <c r="P451" s="7" t="n">
        <f aca="false">IF(M451=0,0,O451/M451)</f>
        <v>0.4</v>
      </c>
    </row>
    <row r="452" customFormat="false" ht="15" hidden="false" customHeight="false" outlineLevel="0" collapsed="false">
      <c r="A452" s="2" t="n">
        <v>1683</v>
      </c>
      <c r="B452" s="2" t="s">
        <v>1902</v>
      </c>
      <c r="C452" s="2" t="s">
        <v>1901</v>
      </c>
      <c r="D452" s="2" t="s">
        <v>49</v>
      </c>
      <c r="E452" s="2" t="s">
        <v>3806</v>
      </c>
      <c r="F452" s="2" t="s">
        <v>3608</v>
      </c>
      <c r="G452" s="2" t="s">
        <v>3604</v>
      </c>
      <c r="H452" s="5" t="n">
        <v>3</v>
      </c>
      <c r="I452" s="5" t="s">
        <v>18</v>
      </c>
      <c r="J452" s="5" t="s">
        <v>52</v>
      </c>
      <c r="K452" s="5" t="s">
        <v>54</v>
      </c>
      <c r="L452" s="5" t="n">
        <v>250</v>
      </c>
      <c r="M452" s="5" t="n">
        <v>750</v>
      </c>
      <c r="N452" s="6" t="n">
        <f aca="false">L452*0.6*H452</f>
        <v>450</v>
      </c>
      <c r="O452" s="6" t="n">
        <f aca="false">M452-N452</f>
        <v>300</v>
      </c>
      <c r="P452" s="7" t="n">
        <f aca="false">IF(M452=0,0,O452/M452)</f>
        <v>0.4</v>
      </c>
    </row>
    <row r="453" customFormat="false" ht="15" hidden="false" customHeight="false" outlineLevel="0" collapsed="false">
      <c r="A453" s="3" t="n">
        <v>1684</v>
      </c>
      <c r="B453" s="3" t="s">
        <v>1506</v>
      </c>
      <c r="C453" s="3" t="s">
        <v>1905</v>
      </c>
      <c r="D453" s="3" t="s">
        <v>16</v>
      </c>
      <c r="E453" s="3" t="s">
        <v>3871</v>
      </c>
      <c r="F453" s="3" t="s">
        <v>3613</v>
      </c>
      <c r="G453" s="3" t="s">
        <v>3604</v>
      </c>
      <c r="H453" s="8" t="n">
        <v>3</v>
      </c>
      <c r="I453" s="8" t="s">
        <v>27</v>
      </c>
      <c r="J453" s="8" t="s">
        <v>43</v>
      </c>
      <c r="K453" s="8" t="s">
        <v>67</v>
      </c>
      <c r="L453" s="8" t="n">
        <v>250</v>
      </c>
      <c r="M453" s="8" t="n">
        <v>750</v>
      </c>
      <c r="N453" s="6" t="n">
        <f aca="false">L453*0.6*H453</f>
        <v>450</v>
      </c>
      <c r="O453" s="6" t="n">
        <f aca="false">M453-N453</f>
        <v>300</v>
      </c>
      <c r="P453" s="7" t="n">
        <f aca="false">IF(M453=0,0,O453/M453)</f>
        <v>0.4</v>
      </c>
    </row>
    <row r="454" customFormat="false" ht="15" hidden="false" customHeight="false" outlineLevel="0" collapsed="false">
      <c r="A454" s="2" t="n">
        <v>1685</v>
      </c>
      <c r="B454" s="2" t="s">
        <v>400</v>
      </c>
      <c r="C454" s="2" t="s">
        <v>1909</v>
      </c>
      <c r="D454" s="2" t="s">
        <v>16</v>
      </c>
      <c r="E454" s="2" t="s">
        <v>3858</v>
      </c>
      <c r="F454" s="2" t="s">
        <v>3603</v>
      </c>
      <c r="G454" s="2" t="s">
        <v>3604</v>
      </c>
      <c r="H454" s="5" t="n">
        <v>1</v>
      </c>
      <c r="I454" s="5" t="s">
        <v>18</v>
      </c>
      <c r="J454" s="5" t="s">
        <v>121</v>
      </c>
      <c r="K454" s="5" t="s">
        <v>123</v>
      </c>
      <c r="L454" s="5" t="n">
        <v>250</v>
      </c>
      <c r="M454" s="5" t="n">
        <v>250</v>
      </c>
      <c r="N454" s="6" t="n">
        <f aca="false">L454*0.6*H454</f>
        <v>150</v>
      </c>
      <c r="O454" s="6" t="n">
        <f aca="false">M454-N454</f>
        <v>100</v>
      </c>
      <c r="P454" s="7" t="n">
        <f aca="false">IF(M454=0,0,O454/M454)</f>
        <v>0.4</v>
      </c>
    </row>
    <row r="455" customFormat="false" ht="15" hidden="false" customHeight="false" outlineLevel="0" collapsed="false">
      <c r="A455" s="3" t="n">
        <v>1686</v>
      </c>
      <c r="B455" s="3" t="s">
        <v>1912</v>
      </c>
      <c r="C455" s="3" t="s">
        <v>477</v>
      </c>
      <c r="D455" s="3" t="s">
        <v>108</v>
      </c>
      <c r="E455" s="3" t="s">
        <v>3605</v>
      </c>
      <c r="F455" s="3" t="s">
        <v>3606</v>
      </c>
      <c r="G455" s="3" t="s">
        <v>3600</v>
      </c>
      <c r="H455" s="8" t="n">
        <v>2</v>
      </c>
      <c r="I455" s="8" t="s">
        <v>18</v>
      </c>
      <c r="J455" s="8" t="s">
        <v>121</v>
      </c>
      <c r="K455" s="8" t="s">
        <v>123</v>
      </c>
      <c r="L455" s="8" t="n">
        <v>1200</v>
      </c>
      <c r="M455" s="8" t="n">
        <v>2400</v>
      </c>
      <c r="N455" s="6" t="n">
        <f aca="false">L455*0.6*H455</f>
        <v>1440</v>
      </c>
      <c r="O455" s="6" t="n">
        <f aca="false">M455-N455</f>
        <v>960</v>
      </c>
      <c r="P455" s="7" t="n">
        <f aca="false">IF(M455=0,0,O455/M455)</f>
        <v>0.4</v>
      </c>
    </row>
    <row r="456" customFormat="false" ht="15" hidden="false" customHeight="false" outlineLevel="0" collapsed="false">
      <c r="A456" s="2" t="n">
        <v>1687</v>
      </c>
      <c r="B456" s="2" t="s">
        <v>1302</v>
      </c>
      <c r="C456" s="2" t="s">
        <v>1915</v>
      </c>
      <c r="D456" s="2" t="s">
        <v>49</v>
      </c>
      <c r="E456" s="2" t="s">
        <v>3872</v>
      </c>
      <c r="F456" s="2" t="s">
        <v>3591</v>
      </c>
      <c r="G456" s="2" t="s">
        <v>3592</v>
      </c>
      <c r="H456" s="5" t="n">
        <v>1</v>
      </c>
      <c r="I456" s="5" t="s">
        <v>51</v>
      </c>
      <c r="J456" s="5" t="s">
        <v>52</v>
      </c>
      <c r="K456" s="5" t="s">
        <v>92</v>
      </c>
      <c r="L456" s="5" t="n">
        <v>250</v>
      </c>
      <c r="M456" s="5" t="n">
        <v>250</v>
      </c>
      <c r="N456" s="6" t="n">
        <f aca="false">L456*0.6*H456</f>
        <v>150</v>
      </c>
      <c r="O456" s="6" t="n">
        <f aca="false">M456-N456</f>
        <v>100</v>
      </c>
      <c r="P456" s="7" t="n">
        <f aca="false">IF(M456=0,0,O456/M456)</f>
        <v>0.4</v>
      </c>
    </row>
    <row r="457" customFormat="false" ht="15" hidden="false" customHeight="false" outlineLevel="0" collapsed="false">
      <c r="A457" s="3" t="n">
        <v>1688</v>
      </c>
      <c r="B457" s="3" t="s">
        <v>975</v>
      </c>
      <c r="C457" s="3" t="s">
        <v>1919</v>
      </c>
      <c r="D457" s="3" t="s">
        <v>49</v>
      </c>
      <c r="E457" s="3" t="s">
        <v>3741</v>
      </c>
      <c r="F457" s="3" t="s">
        <v>2379</v>
      </c>
      <c r="G457" s="3" t="s">
        <v>3592</v>
      </c>
      <c r="H457" s="8" t="n">
        <v>3</v>
      </c>
      <c r="I457" s="8" t="s">
        <v>18</v>
      </c>
      <c r="J457" s="8" t="s">
        <v>121</v>
      </c>
      <c r="K457" s="8" t="s">
        <v>317</v>
      </c>
      <c r="L457" s="8" t="n">
        <v>250</v>
      </c>
      <c r="M457" s="8" t="n">
        <v>750</v>
      </c>
      <c r="N457" s="6" t="n">
        <f aca="false">L457*0.6*H457</f>
        <v>450</v>
      </c>
      <c r="O457" s="6" t="n">
        <f aca="false">M457-N457</f>
        <v>300</v>
      </c>
      <c r="P457" s="7" t="n">
        <f aca="false">IF(M457=0,0,O457/M457)</f>
        <v>0.4</v>
      </c>
    </row>
    <row r="458" customFormat="false" ht="15" hidden="false" customHeight="false" outlineLevel="0" collapsed="false">
      <c r="A458" s="2" t="n">
        <v>1689</v>
      </c>
      <c r="B458" s="2" t="s">
        <v>1923</v>
      </c>
      <c r="C458" s="2" t="s">
        <v>1922</v>
      </c>
      <c r="D458" s="2" t="s">
        <v>25</v>
      </c>
      <c r="E458" s="2" t="s">
        <v>3752</v>
      </c>
      <c r="F458" s="2" t="s">
        <v>3606</v>
      </c>
      <c r="G458" s="2" t="s">
        <v>3600</v>
      </c>
      <c r="H458" s="5" t="n">
        <v>3</v>
      </c>
      <c r="I458" s="5" t="s">
        <v>18</v>
      </c>
      <c r="J458" s="5" t="s">
        <v>78</v>
      </c>
      <c r="K458" s="5" t="s">
        <v>80</v>
      </c>
      <c r="L458" s="5" t="n">
        <v>800</v>
      </c>
      <c r="M458" s="5" t="n">
        <v>2400</v>
      </c>
      <c r="N458" s="6" t="n">
        <f aca="false">L458*0.6*H458</f>
        <v>1440</v>
      </c>
      <c r="O458" s="6" t="n">
        <f aca="false">M458-N458</f>
        <v>960</v>
      </c>
      <c r="P458" s="7" t="n">
        <f aca="false">IF(M458=0,0,O458/M458)</f>
        <v>0.4</v>
      </c>
    </row>
    <row r="459" customFormat="false" ht="15" hidden="false" customHeight="false" outlineLevel="0" collapsed="false">
      <c r="A459" s="3" t="n">
        <v>1690</v>
      </c>
      <c r="B459" s="3" t="s">
        <v>1927</v>
      </c>
      <c r="C459" s="3" t="s">
        <v>1926</v>
      </c>
      <c r="D459" s="3" t="s">
        <v>34</v>
      </c>
      <c r="E459" s="3" t="s">
        <v>3873</v>
      </c>
      <c r="F459" s="3" t="s">
        <v>3594</v>
      </c>
      <c r="G459" s="3" t="s">
        <v>3595</v>
      </c>
      <c r="H459" s="8" t="n">
        <v>2</v>
      </c>
      <c r="I459" s="8" t="s">
        <v>18</v>
      </c>
      <c r="J459" s="8" t="s">
        <v>121</v>
      </c>
      <c r="K459" s="8" t="s">
        <v>123</v>
      </c>
      <c r="L459" s="8" t="n">
        <v>300</v>
      </c>
      <c r="M459" s="8" t="n">
        <v>600</v>
      </c>
      <c r="N459" s="6" t="n">
        <f aca="false">L459*0.6*H459</f>
        <v>360</v>
      </c>
      <c r="O459" s="6" t="n">
        <f aca="false">M459-N459</f>
        <v>240</v>
      </c>
      <c r="P459" s="7" t="n">
        <f aca="false">IF(M459=0,0,O459/M459)</f>
        <v>0.4</v>
      </c>
    </row>
    <row r="460" customFormat="false" ht="15" hidden="false" customHeight="false" outlineLevel="0" collapsed="false">
      <c r="A460" s="2" t="n">
        <v>1691</v>
      </c>
      <c r="B460" s="2" t="s">
        <v>1932</v>
      </c>
      <c r="C460" s="2" t="s">
        <v>1931</v>
      </c>
      <c r="D460" s="2" t="s">
        <v>34</v>
      </c>
      <c r="E460" s="2" t="s">
        <v>3843</v>
      </c>
      <c r="F460" s="2" t="s">
        <v>3603</v>
      </c>
      <c r="G460" s="2" t="s">
        <v>3604</v>
      </c>
      <c r="H460" s="5" t="n">
        <v>1</v>
      </c>
      <c r="I460" s="5" t="s">
        <v>51</v>
      </c>
      <c r="J460" s="5" t="s">
        <v>121</v>
      </c>
      <c r="K460" s="5" t="s">
        <v>317</v>
      </c>
      <c r="L460" s="5" t="n">
        <v>300</v>
      </c>
      <c r="M460" s="5" t="n">
        <v>300</v>
      </c>
      <c r="N460" s="6" t="n">
        <f aca="false">L460*0.6*H460</f>
        <v>180</v>
      </c>
      <c r="O460" s="6" t="n">
        <f aca="false">M460-N460</f>
        <v>120</v>
      </c>
      <c r="P460" s="7" t="n">
        <f aca="false">IF(M460=0,0,O460/M460)</f>
        <v>0.4</v>
      </c>
    </row>
    <row r="461" customFormat="false" ht="15" hidden="false" customHeight="false" outlineLevel="0" collapsed="false">
      <c r="A461" s="3" t="n">
        <v>1692</v>
      </c>
      <c r="B461" s="3" t="s">
        <v>1936</v>
      </c>
      <c r="C461" s="3" t="s">
        <v>1935</v>
      </c>
      <c r="D461" s="3" t="s">
        <v>147</v>
      </c>
      <c r="E461" s="3" t="s">
        <v>3823</v>
      </c>
      <c r="F461" s="3" t="s">
        <v>3594</v>
      </c>
      <c r="G461" s="3" t="s">
        <v>3595</v>
      </c>
      <c r="H461" s="8" t="n">
        <v>2</v>
      </c>
      <c r="I461" s="8" t="s">
        <v>51</v>
      </c>
      <c r="J461" s="8" t="s">
        <v>59</v>
      </c>
      <c r="K461" s="8" t="s">
        <v>292</v>
      </c>
      <c r="L461" s="8" t="n">
        <v>600</v>
      </c>
      <c r="M461" s="8" t="n">
        <v>1200</v>
      </c>
      <c r="N461" s="6" t="n">
        <f aca="false">L461*0.6*H461</f>
        <v>720</v>
      </c>
      <c r="O461" s="6" t="n">
        <f aca="false">M461-N461</f>
        <v>480</v>
      </c>
      <c r="P461" s="7" t="n">
        <f aca="false">IF(M461=0,0,O461/M461)</f>
        <v>0.4</v>
      </c>
    </row>
    <row r="462" customFormat="false" ht="15" hidden="false" customHeight="false" outlineLevel="0" collapsed="false">
      <c r="A462" s="2" t="n">
        <v>1693</v>
      </c>
      <c r="B462" s="2" t="s">
        <v>506</v>
      </c>
      <c r="C462" s="2" t="s">
        <v>1939</v>
      </c>
      <c r="D462" s="2" t="s">
        <v>108</v>
      </c>
      <c r="E462" s="2" t="s">
        <v>3755</v>
      </c>
      <c r="F462" s="2" t="s">
        <v>3599</v>
      </c>
      <c r="G462" s="2" t="s">
        <v>3600</v>
      </c>
      <c r="H462" s="5" t="n">
        <v>2</v>
      </c>
      <c r="I462" s="5" t="s">
        <v>51</v>
      </c>
      <c r="J462" s="5" t="s">
        <v>59</v>
      </c>
      <c r="K462" s="5" t="s">
        <v>292</v>
      </c>
      <c r="L462" s="5" t="n">
        <v>1200</v>
      </c>
      <c r="M462" s="5" t="n">
        <v>2400</v>
      </c>
      <c r="N462" s="6" t="n">
        <f aca="false">L462*0.6*H462</f>
        <v>1440</v>
      </c>
      <c r="O462" s="6" t="n">
        <f aca="false">M462-N462</f>
        <v>960</v>
      </c>
      <c r="P462" s="7" t="n">
        <f aca="false">IF(M462=0,0,O462/M462)</f>
        <v>0.4</v>
      </c>
    </row>
    <row r="463" customFormat="false" ht="15" hidden="false" customHeight="false" outlineLevel="0" collapsed="false">
      <c r="A463" s="3" t="n">
        <v>1694</v>
      </c>
      <c r="B463" s="3" t="s">
        <v>1100</v>
      </c>
      <c r="C463" s="3" t="s">
        <v>1843</v>
      </c>
      <c r="D463" s="3" t="s">
        <v>108</v>
      </c>
      <c r="E463" s="3" t="s">
        <v>3844</v>
      </c>
      <c r="F463" s="3" t="s">
        <v>3603</v>
      </c>
      <c r="G463" s="3" t="s">
        <v>3604</v>
      </c>
      <c r="H463" s="8" t="n">
        <v>1</v>
      </c>
      <c r="I463" s="8" t="s">
        <v>27</v>
      </c>
      <c r="J463" s="8" t="s">
        <v>78</v>
      </c>
      <c r="K463" s="8" t="s">
        <v>80</v>
      </c>
      <c r="L463" s="8" t="n">
        <v>1200</v>
      </c>
      <c r="M463" s="8" t="n">
        <v>1200</v>
      </c>
      <c r="N463" s="6" t="n">
        <f aca="false">L463*0.6*H463</f>
        <v>720</v>
      </c>
      <c r="O463" s="6" t="n">
        <f aca="false">M463-N463</f>
        <v>480</v>
      </c>
      <c r="P463" s="7" t="n">
        <f aca="false">IF(M463=0,0,O463/M463)</f>
        <v>0.4</v>
      </c>
    </row>
    <row r="464" customFormat="false" ht="15" hidden="false" customHeight="false" outlineLevel="0" collapsed="false">
      <c r="A464" s="2" t="n">
        <v>1695</v>
      </c>
      <c r="B464" s="2" t="s">
        <v>1944</v>
      </c>
      <c r="C464" s="2" t="s">
        <v>1231</v>
      </c>
      <c r="D464" s="2" t="s">
        <v>34</v>
      </c>
      <c r="E464" s="2" t="s">
        <v>3874</v>
      </c>
      <c r="F464" s="2" t="s">
        <v>3625</v>
      </c>
      <c r="G464" s="2" t="s">
        <v>3592</v>
      </c>
      <c r="H464" s="5" t="n">
        <v>1</v>
      </c>
      <c r="I464" s="5" t="s">
        <v>18</v>
      </c>
      <c r="J464" s="5" t="s">
        <v>19</v>
      </c>
      <c r="K464" s="5" t="s">
        <v>73</v>
      </c>
      <c r="L464" s="5" t="n">
        <v>300</v>
      </c>
      <c r="M464" s="5" t="n">
        <v>300</v>
      </c>
      <c r="N464" s="6" t="n">
        <f aca="false">L464*0.6*H464</f>
        <v>180</v>
      </c>
      <c r="O464" s="6" t="n">
        <f aca="false">M464-N464</f>
        <v>120</v>
      </c>
      <c r="P464" s="7" t="n">
        <f aca="false">IF(M464=0,0,O464/M464)</f>
        <v>0.4</v>
      </c>
    </row>
    <row r="465" customFormat="false" ht="15" hidden="false" customHeight="false" outlineLevel="0" collapsed="false">
      <c r="A465" s="3" t="n">
        <v>1696</v>
      </c>
      <c r="B465" s="3" t="s">
        <v>1949</v>
      </c>
      <c r="C465" s="3" t="s">
        <v>1948</v>
      </c>
      <c r="D465" s="3" t="s">
        <v>25</v>
      </c>
      <c r="E465" s="3" t="s">
        <v>3612</v>
      </c>
      <c r="F465" s="3" t="s">
        <v>3613</v>
      </c>
      <c r="G465" s="3" t="s">
        <v>3604</v>
      </c>
      <c r="H465" s="8" t="n">
        <v>2</v>
      </c>
      <c r="I465" s="8" t="s">
        <v>51</v>
      </c>
      <c r="J465" s="8" t="s">
        <v>59</v>
      </c>
      <c r="K465" s="8" t="s">
        <v>61</v>
      </c>
      <c r="L465" s="8" t="n">
        <v>800</v>
      </c>
      <c r="M465" s="8" t="n">
        <v>1600</v>
      </c>
      <c r="N465" s="6" t="n">
        <f aca="false">L465*0.6*H465</f>
        <v>960</v>
      </c>
      <c r="O465" s="6" t="n">
        <f aca="false">M465-N465</f>
        <v>640</v>
      </c>
      <c r="P465" s="7" t="n">
        <f aca="false">IF(M465=0,0,O465/M465)</f>
        <v>0.4</v>
      </c>
    </row>
    <row r="466" customFormat="false" ht="15" hidden="false" customHeight="false" outlineLevel="0" collapsed="false">
      <c r="A466" s="2" t="n">
        <v>1697</v>
      </c>
      <c r="B466" s="2" t="s">
        <v>1952</v>
      </c>
      <c r="C466" s="2" t="s">
        <v>1874</v>
      </c>
      <c r="D466" s="2" t="s">
        <v>49</v>
      </c>
      <c r="E466" s="2" t="s">
        <v>3729</v>
      </c>
      <c r="F466" s="2" t="s">
        <v>3608</v>
      </c>
      <c r="G466" s="2" t="s">
        <v>3604</v>
      </c>
      <c r="H466" s="5" t="n">
        <v>1</v>
      </c>
      <c r="I466" s="5" t="s">
        <v>51</v>
      </c>
      <c r="J466" s="5" t="s">
        <v>36</v>
      </c>
      <c r="K466" s="5" t="s">
        <v>170</v>
      </c>
      <c r="L466" s="5" t="n">
        <v>250</v>
      </c>
      <c r="M466" s="5" t="n">
        <v>250</v>
      </c>
      <c r="N466" s="6" t="n">
        <f aca="false">L466*0.6*H466</f>
        <v>150</v>
      </c>
      <c r="O466" s="6" t="n">
        <f aca="false">M466-N466</f>
        <v>100</v>
      </c>
      <c r="P466" s="7" t="n">
        <f aca="false">IF(M466=0,0,O466/M466)</f>
        <v>0.4</v>
      </c>
    </row>
    <row r="467" customFormat="false" ht="15" hidden="false" customHeight="false" outlineLevel="0" collapsed="false">
      <c r="A467" s="3" t="n">
        <v>1698</v>
      </c>
      <c r="B467" s="3" t="s">
        <v>1956</v>
      </c>
      <c r="C467" s="3" t="s">
        <v>1955</v>
      </c>
      <c r="D467" s="3" t="s">
        <v>49</v>
      </c>
      <c r="E467" s="3" t="s">
        <v>3602</v>
      </c>
      <c r="F467" s="3" t="s">
        <v>3603</v>
      </c>
      <c r="G467" s="3" t="s">
        <v>3604</v>
      </c>
      <c r="H467" s="8" t="n">
        <v>3</v>
      </c>
      <c r="I467" s="8" t="s">
        <v>51</v>
      </c>
      <c r="J467" s="8" t="s">
        <v>43</v>
      </c>
      <c r="K467" s="8" t="s">
        <v>67</v>
      </c>
      <c r="L467" s="8" t="n">
        <v>250</v>
      </c>
      <c r="M467" s="8" t="n">
        <v>750</v>
      </c>
      <c r="N467" s="6" t="n">
        <f aca="false">L467*0.6*H467</f>
        <v>450</v>
      </c>
      <c r="O467" s="6" t="n">
        <f aca="false">M467-N467</f>
        <v>300</v>
      </c>
      <c r="P467" s="7" t="n">
        <f aca="false">IF(M467=0,0,O467/M467)</f>
        <v>0.4</v>
      </c>
    </row>
    <row r="468" customFormat="false" ht="15" hidden="false" customHeight="false" outlineLevel="0" collapsed="false">
      <c r="A468" s="2" t="n">
        <v>1699</v>
      </c>
      <c r="B468" s="2" t="s">
        <v>1960</v>
      </c>
      <c r="C468" s="2" t="s">
        <v>1959</v>
      </c>
      <c r="D468" s="2" t="s">
        <v>34</v>
      </c>
      <c r="E468" s="2" t="s">
        <v>3751</v>
      </c>
      <c r="F468" s="2" t="s">
        <v>3613</v>
      </c>
      <c r="G468" s="2" t="s">
        <v>3604</v>
      </c>
      <c r="H468" s="5" t="n">
        <v>3</v>
      </c>
      <c r="I468" s="5" t="s">
        <v>18</v>
      </c>
      <c r="J468" s="5" t="s">
        <v>28</v>
      </c>
      <c r="K468" s="5" t="s">
        <v>30</v>
      </c>
      <c r="L468" s="5" t="n">
        <v>300</v>
      </c>
      <c r="M468" s="5" t="n">
        <v>900</v>
      </c>
      <c r="N468" s="6" t="n">
        <f aca="false">L468*0.6*H468</f>
        <v>540</v>
      </c>
      <c r="O468" s="6" t="n">
        <f aca="false">M468-N468</f>
        <v>360</v>
      </c>
      <c r="P468" s="7" t="n">
        <f aca="false">IF(M468=0,0,O468/M468)</f>
        <v>0.4</v>
      </c>
    </row>
    <row r="469" customFormat="false" ht="15" hidden="false" customHeight="false" outlineLevel="0" collapsed="false">
      <c r="A469" s="3" t="n">
        <v>1700</v>
      </c>
      <c r="B469" s="3" t="s">
        <v>743</v>
      </c>
      <c r="C469" s="3" t="s">
        <v>1363</v>
      </c>
      <c r="D469" s="3" t="s">
        <v>49</v>
      </c>
      <c r="E469" s="3" t="s">
        <v>3770</v>
      </c>
      <c r="F469" s="3" t="s">
        <v>3591</v>
      </c>
      <c r="G469" s="3" t="s">
        <v>3592</v>
      </c>
      <c r="H469" s="8" t="n">
        <v>3</v>
      </c>
      <c r="I469" s="8" t="s">
        <v>51</v>
      </c>
      <c r="J469" s="8" t="s">
        <v>59</v>
      </c>
      <c r="K469" s="8" t="s">
        <v>61</v>
      </c>
      <c r="L469" s="8" t="n">
        <v>250</v>
      </c>
      <c r="M469" s="8" t="n">
        <v>750</v>
      </c>
      <c r="N469" s="6" t="n">
        <f aca="false">L469*0.6*H469</f>
        <v>450</v>
      </c>
      <c r="O469" s="6" t="n">
        <f aca="false">M469-N469</f>
        <v>300</v>
      </c>
      <c r="P469" s="7" t="n">
        <f aca="false">IF(M469=0,0,O469/M469)</f>
        <v>0.4</v>
      </c>
    </row>
    <row r="470" customFormat="false" ht="15" hidden="false" customHeight="false" outlineLevel="0" collapsed="false">
      <c r="A470" s="2" t="n">
        <v>1701</v>
      </c>
      <c r="B470" s="2" t="s">
        <v>381</v>
      </c>
      <c r="C470" s="2" t="s">
        <v>1965</v>
      </c>
      <c r="D470" s="2" t="s">
        <v>49</v>
      </c>
      <c r="E470" s="2" t="s">
        <v>3805</v>
      </c>
      <c r="F470" s="2" t="s">
        <v>3594</v>
      </c>
      <c r="G470" s="2" t="s">
        <v>3595</v>
      </c>
      <c r="H470" s="5" t="n">
        <v>2</v>
      </c>
      <c r="I470" s="5" t="s">
        <v>27</v>
      </c>
      <c r="J470" s="5" t="s">
        <v>52</v>
      </c>
      <c r="K470" s="5" t="s">
        <v>54</v>
      </c>
      <c r="L470" s="5" t="n">
        <v>250</v>
      </c>
      <c r="M470" s="5" t="n">
        <v>500</v>
      </c>
      <c r="N470" s="6" t="n">
        <f aca="false">L470*0.6*H470</f>
        <v>300</v>
      </c>
      <c r="O470" s="6" t="n">
        <f aca="false">M470-N470</f>
        <v>200</v>
      </c>
      <c r="P470" s="7" t="n">
        <f aca="false">IF(M470=0,0,O470/M470)</f>
        <v>0.4</v>
      </c>
    </row>
    <row r="471" customFormat="false" ht="15" hidden="false" customHeight="false" outlineLevel="0" collapsed="false">
      <c r="A471" s="3" t="n">
        <v>1702</v>
      </c>
      <c r="B471" s="3" t="s">
        <v>1969</v>
      </c>
      <c r="C471" s="3" t="s">
        <v>1968</v>
      </c>
      <c r="D471" s="3" t="s">
        <v>25</v>
      </c>
      <c r="E471" s="3" t="s">
        <v>3849</v>
      </c>
      <c r="F471" s="3" t="s">
        <v>1756</v>
      </c>
      <c r="G471" s="3" t="s">
        <v>3595</v>
      </c>
      <c r="H471" s="8" t="n">
        <v>3</v>
      </c>
      <c r="I471" s="8" t="s">
        <v>18</v>
      </c>
      <c r="J471" s="8" t="s">
        <v>28</v>
      </c>
      <c r="K471" s="8" t="s">
        <v>30</v>
      </c>
      <c r="L471" s="8" t="n">
        <v>800</v>
      </c>
      <c r="M471" s="8" t="n">
        <v>2400</v>
      </c>
      <c r="N471" s="6" t="n">
        <f aca="false">L471*0.6*H471</f>
        <v>1440</v>
      </c>
      <c r="O471" s="6" t="n">
        <f aca="false">M471-N471</f>
        <v>960</v>
      </c>
      <c r="P471" s="7" t="n">
        <f aca="false">IF(M471=0,0,O471/M471)</f>
        <v>0.4</v>
      </c>
    </row>
    <row r="472" customFormat="false" ht="15" hidden="false" customHeight="false" outlineLevel="0" collapsed="false">
      <c r="A472" s="2" t="n">
        <v>1703</v>
      </c>
      <c r="B472" s="2" t="s">
        <v>1612</v>
      </c>
      <c r="C472" s="2" t="s">
        <v>1972</v>
      </c>
      <c r="D472" s="2" t="s">
        <v>34</v>
      </c>
      <c r="E472" s="2" t="s">
        <v>3832</v>
      </c>
      <c r="F472" s="2" t="s">
        <v>3599</v>
      </c>
      <c r="G472" s="2" t="s">
        <v>3600</v>
      </c>
      <c r="H472" s="5" t="n">
        <v>2</v>
      </c>
      <c r="I472" s="5" t="s">
        <v>51</v>
      </c>
      <c r="J472" s="5" t="s">
        <v>121</v>
      </c>
      <c r="K472" s="5" t="s">
        <v>123</v>
      </c>
      <c r="L472" s="5" t="n">
        <v>300</v>
      </c>
      <c r="M472" s="5" t="n">
        <v>600</v>
      </c>
      <c r="N472" s="6" t="n">
        <f aca="false">L472*0.6*H472</f>
        <v>360</v>
      </c>
      <c r="O472" s="6" t="n">
        <f aca="false">M472-N472</f>
        <v>240</v>
      </c>
      <c r="P472" s="7" t="n">
        <f aca="false">IF(M472=0,0,O472/M472)</f>
        <v>0.4</v>
      </c>
    </row>
    <row r="473" customFormat="false" ht="15" hidden="false" customHeight="false" outlineLevel="0" collapsed="false">
      <c r="A473" s="3" t="n">
        <v>1704</v>
      </c>
      <c r="B473" s="3" t="s">
        <v>1936</v>
      </c>
      <c r="C473" s="3" t="s">
        <v>1975</v>
      </c>
      <c r="D473" s="3" t="s">
        <v>49</v>
      </c>
      <c r="E473" s="3" t="s">
        <v>3875</v>
      </c>
      <c r="F473" s="3" t="s">
        <v>3613</v>
      </c>
      <c r="G473" s="3" t="s">
        <v>3604</v>
      </c>
      <c r="H473" s="8" t="n">
        <v>1</v>
      </c>
      <c r="I473" s="8" t="s">
        <v>97</v>
      </c>
      <c r="J473" s="8" t="s">
        <v>36</v>
      </c>
      <c r="K473" s="8" t="s">
        <v>170</v>
      </c>
      <c r="L473" s="8" t="n">
        <v>250</v>
      </c>
      <c r="M473" s="8" t="n">
        <v>250</v>
      </c>
      <c r="N473" s="6" t="n">
        <f aca="false">L473*0.6*H473</f>
        <v>150</v>
      </c>
      <c r="O473" s="6" t="n">
        <f aca="false">M473-N473</f>
        <v>100</v>
      </c>
      <c r="P473" s="7" t="n">
        <f aca="false">IF(M473=0,0,O473/M473)</f>
        <v>0.4</v>
      </c>
    </row>
    <row r="474" customFormat="false" ht="15" hidden="false" customHeight="false" outlineLevel="0" collapsed="false">
      <c r="A474" s="2" t="n">
        <v>1705</v>
      </c>
      <c r="B474" s="2" t="s">
        <v>618</v>
      </c>
      <c r="C474" s="2" t="s">
        <v>1979</v>
      </c>
      <c r="D474" s="2" t="s">
        <v>108</v>
      </c>
      <c r="E474" s="2" t="s">
        <v>3633</v>
      </c>
      <c r="F474" s="2" t="s">
        <v>3603</v>
      </c>
      <c r="G474" s="2" t="s">
        <v>3604</v>
      </c>
      <c r="H474" s="5" t="n">
        <v>2</v>
      </c>
      <c r="I474" s="5" t="s">
        <v>51</v>
      </c>
      <c r="J474" s="5" t="s">
        <v>36</v>
      </c>
      <c r="K474" s="5" t="s">
        <v>38</v>
      </c>
      <c r="L474" s="5" t="n">
        <v>1200</v>
      </c>
      <c r="M474" s="5" t="n">
        <v>2400</v>
      </c>
      <c r="N474" s="6" t="n">
        <f aca="false">L474*0.6*H474</f>
        <v>1440</v>
      </c>
      <c r="O474" s="6" t="n">
        <f aca="false">M474-N474</f>
        <v>960</v>
      </c>
      <c r="P474" s="7" t="n">
        <f aca="false">IF(M474=0,0,O474/M474)</f>
        <v>0.4</v>
      </c>
    </row>
    <row r="475" customFormat="false" ht="15" hidden="false" customHeight="false" outlineLevel="0" collapsed="false">
      <c r="A475" s="3" t="n">
        <v>1706</v>
      </c>
      <c r="B475" s="3" t="s">
        <v>1983</v>
      </c>
      <c r="C475" s="3" t="s">
        <v>1982</v>
      </c>
      <c r="D475" s="3" t="s">
        <v>34</v>
      </c>
      <c r="E475" s="3" t="s">
        <v>3694</v>
      </c>
      <c r="F475" s="3" t="s">
        <v>3603</v>
      </c>
      <c r="G475" s="3" t="s">
        <v>3604</v>
      </c>
      <c r="H475" s="8" t="n">
        <v>3</v>
      </c>
      <c r="I475" s="8" t="s">
        <v>51</v>
      </c>
      <c r="J475" s="8" t="s">
        <v>28</v>
      </c>
      <c r="K475" s="8" t="s">
        <v>30</v>
      </c>
      <c r="L475" s="8" t="n">
        <v>300</v>
      </c>
      <c r="M475" s="8" t="n">
        <v>900</v>
      </c>
      <c r="N475" s="6" t="n">
        <f aca="false">L475*0.6*H475</f>
        <v>540</v>
      </c>
      <c r="O475" s="6" t="n">
        <f aca="false">M475-N475</f>
        <v>360</v>
      </c>
      <c r="P475" s="7" t="n">
        <f aca="false">IF(M475=0,0,O475/M475)</f>
        <v>0.4</v>
      </c>
    </row>
    <row r="476" customFormat="false" ht="15" hidden="false" customHeight="false" outlineLevel="0" collapsed="false">
      <c r="A476" s="2" t="n">
        <v>1707</v>
      </c>
      <c r="B476" s="2" t="s">
        <v>1987</v>
      </c>
      <c r="C476" s="2" t="s">
        <v>1986</v>
      </c>
      <c r="D476" s="2" t="s">
        <v>16</v>
      </c>
      <c r="E476" s="2" t="s">
        <v>3811</v>
      </c>
      <c r="F476" s="2" t="s">
        <v>3594</v>
      </c>
      <c r="G476" s="2" t="s">
        <v>3595</v>
      </c>
      <c r="H476" s="5" t="n">
        <v>3</v>
      </c>
      <c r="I476" s="5" t="s">
        <v>18</v>
      </c>
      <c r="J476" s="5" t="s">
        <v>121</v>
      </c>
      <c r="K476" s="5" t="s">
        <v>123</v>
      </c>
      <c r="L476" s="5" t="n">
        <v>250</v>
      </c>
      <c r="M476" s="5" t="n">
        <v>750</v>
      </c>
      <c r="N476" s="6" t="n">
        <f aca="false">L476*0.6*H476</f>
        <v>450</v>
      </c>
      <c r="O476" s="6" t="n">
        <f aca="false">M476-N476</f>
        <v>300</v>
      </c>
      <c r="P476" s="7" t="n">
        <f aca="false">IF(M476=0,0,O476/M476)</f>
        <v>0.4</v>
      </c>
    </row>
    <row r="477" customFormat="false" ht="15" hidden="false" customHeight="false" outlineLevel="0" collapsed="false">
      <c r="A477" s="3" t="n">
        <v>1708</v>
      </c>
      <c r="B477" s="3" t="s">
        <v>544</v>
      </c>
      <c r="C477" s="3" t="s">
        <v>1788</v>
      </c>
      <c r="D477" s="3" t="s">
        <v>34</v>
      </c>
      <c r="E477" s="3" t="s">
        <v>3876</v>
      </c>
      <c r="F477" s="3" t="s">
        <v>3608</v>
      </c>
      <c r="G477" s="3" t="s">
        <v>3604</v>
      </c>
      <c r="H477" s="8" t="n">
        <v>1</v>
      </c>
      <c r="I477" s="8" t="s">
        <v>18</v>
      </c>
      <c r="J477" s="8" t="s">
        <v>36</v>
      </c>
      <c r="K477" s="8" t="s">
        <v>170</v>
      </c>
      <c r="L477" s="8" t="n">
        <v>300</v>
      </c>
      <c r="M477" s="8" t="n">
        <v>300</v>
      </c>
      <c r="N477" s="6" t="n">
        <f aca="false">L477*0.6*H477</f>
        <v>180</v>
      </c>
      <c r="O477" s="6" t="n">
        <f aca="false">M477-N477</f>
        <v>120</v>
      </c>
      <c r="P477" s="7" t="n">
        <f aca="false">IF(M477=0,0,O477/M477)</f>
        <v>0.4</v>
      </c>
    </row>
    <row r="478" customFormat="false" ht="15" hidden="false" customHeight="false" outlineLevel="0" collapsed="false">
      <c r="A478" s="2" t="n">
        <v>1709</v>
      </c>
      <c r="B478" s="2" t="s">
        <v>434</v>
      </c>
      <c r="C478" s="2" t="s">
        <v>1993</v>
      </c>
      <c r="D478" s="2" t="s">
        <v>16</v>
      </c>
      <c r="E478" s="2" t="s">
        <v>3668</v>
      </c>
      <c r="F478" s="2" t="s">
        <v>3610</v>
      </c>
      <c r="G478" s="2" t="s">
        <v>3600</v>
      </c>
      <c r="H478" s="5" t="n">
        <v>1</v>
      </c>
      <c r="I478" s="5" t="s">
        <v>18</v>
      </c>
      <c r="J478" s="5" t="s">
        <v>52</v>
      </c>
      <c r="K478" s="5" t="s">
        <v>92</v>
      </c>
      <c r="L478" s="5" t="n">
        <v>250</v>
      </c>
      <c r="M478" s="5" t="n">
        <v>250</v>
      </c>
      <c r="N478" s="6" t="n">
        <f aca="false">L478*0.6*H478</f>
        <v>150</v>
      </c>
      <c r="O478" s="6" t="n">
        <f aca="false">M478-N478</f>
        <v>100</v>
      </c>
      <c r="P478" s="7" t="n">
        <f aca="false">IF(M478=0,0,O478/M478)</f>
        <v>0.4</v>
      </c>
    </row>
    <row r="479" customFormat="false" ht="15" hidden="false" customHeight="false" outlineLevel="0" collapsed="false">
      <c r="A479" s="3" t="n">
        <v>1710</v>
      </c>
      <c r="B479" s="3" t="s">
        <v>1895</v>
      </c>
      <c r="C479" s="3" t="s">
        <v>982</v>
      </c>
      <c r="D479" s="3" t="s">
        <v>49</v>
      </c>
      <c r="E479" s="3" t="s">
        <v>3872</v>
      </c>
      <c r="F479" s="3" t="s">
        <v>3591</v>
      </c>
      <c r="G479" s="3" t="s">
        <v>3592</v>
      </c>
      <c r="H479" s="8" t="n">
        <v>2</v>
      </c>
      <c r="I479" s="8" t="s">
        <v>18</v>
      </c>
      <c r="J479" s="8" t="s">
        <v>43</v>
      </c>
      <c r="K479" s="8" t="s">
        <v>111</v>
      </c>
      <c r="L479" s="8" t="n">
        <v>250</v>
      </c>
      <c r="M479" s="8" t="n">
        <v>500</v>
      </c>
      <c r="N479" s="6" t="n">
        <f aca="false">L479*0.6*H479</f>
        <v>300</v>
      </c>
      <c r="O479" s="6" t="n">
        <f aca="false">M479-N479</f>
        <v>200</v>
      </c>
      <c r="P479" s="7" t="n">
        <f aca="false">IF(M479=0,0,O479/M479)</f>
        <v>0.4</v>
      </c>
    </row>
    <row r="480" customFormat="false" ht="15" hidden="false" customHeight="false" outlineLevel="0" collapsed="false">
      <c r="A480" s="2" t="n">
        <v>1711</v>
      </c>
      <c r="B480" s="2" t="s">
        <v>1998</v>
      </c>
      <c r="C480" s="2" t="s">
        <v>1417</v>
      </c>
      <c r="D480" s="2" t="s">
        <v>25</v>
      </c>
      <c r="E480" s="2" t="s">
        <v>3679</v>
      </c>
      <c r="F480" s="2" t="s">
        <v>3628</v>
      </c>
      <c r="G480" s="2" t="s">
        <v>3595</v>
      </c>
      <c r="H480" s="5" t="n">
        <v>2</v>
      </c>
      <c r="I480" s="5" t="s">
        <v>51</v>
      </c>
      <c r="J480" s="5" t="s">
        <v>52</v>
      </c>
      <c r="K480" s="5" t="s">
        <v>92</v>
      </c>
      <c r="L480" s="5" t="n">
        <v>800</v>
      </c>
      <c r="M480" s="5" t="n">
        <v>1600</v>
      </c>
      <c r="N480" s="6" t="n">
        <f aca="false">L480*0.6*H480</f>
        <v>960</v>
      </c>
      <c r="O480" s="6" t="n">
        <f aca="false">M480-N480</f>
        <v>640</v>
      </c>
      <c r="P480" s="7" t="n">
        <f aca="false">IF(M480=0,0,O480/M480)</f>
        <v>0.4</v>
      </c>
    </row>
    <row r="481" customFormat="false" ht="15" hidden="false" customHeight="false" outlineLevel="0" collapsed="false">
      <c r="A481" s="3" t="n">
        <v>1712</v>
      </c>
      <c r="B481" s="3" t="s">
        <v>1286</v>
      </c>
      <c r="C481" s="3" t="s">
        <v>1159</v>
      </c>
      <c r="D481" s="3" t="s">
        <v>49</v>
      </c>
      <c r="E481" s="3" t="s">
        <v>3836</v>
      </c>
      <c r="F481" s="3" t="s">
        <v>1756</v>
      </c>
      <c r="G481" s="3" t="s">
        <v>3595</v>
      </c>
      <c r="H481" s="8" t="n">
        <v>2</v>
      </c>
      <c r="I481" s="8" t="s">
        <v>18</v>
      </c>
      <c r="J481" s="8" t="s">
        <v>28</v>
      </c>
      <c r="K481" s="8" t="s">
        <v>30</v>
      </c>
      <c r="L481" s="8" t="n">
        <v>250</v>
      </c>
      <c r="M481" s="8" t="n">
        <v>500</v>
      </c>
      <c r="N481" s="6" t="n">
        <f aca="false">L481*0.6*H481</f>
        <v>300</v>
      </c>
      <c r="O481" s="6" t="n">
        <f aca="false">M481-N481</f>
        <v>200</v>
      </c>
      <c r="P481" s="7" t="n">
        <f aca="false">IF(M481=0,0,O481/M481)</f>
        <v>0.4</v>
      </c>
    </row>
    <row r="482" customFormat="false" ht="15" hidden="false" customHeight="false" outlineLevel="0" collapsed="false">
      <c r="A482" s="2" t="n">
        <v>1713</v>
      </c>
      <c r="B482" s="2" t="s">
        <v>2004</v>
      </c>
      <c r="C482" s="2" t="s">
        <v>2003</v>
      </c>
      <c r="D482" s="2" t="s">
        <v>147</v>
      </c>
      <c r="E482" s="2" t="s">
        <v>3636</v>
      </c>
      <c r="F482" s="2" t="s">
        <v>3610</v>
      </c>
      <c r="G482" s="2" t="s">
        <v>3600</v>
      </c>
      <c r="H482" s="5" t="n">
        <v>3</v>
      </c>
      <c r="I482" s="5" t="s">
        <v>51</v>
      </c>
      <c r="J482" s="5" t="s">
        <v>59</v>
      </c>
      <c r="K482" s="5" t="s">
        <v>61</v>
      </c>
      <c r="L482" s="5" t="n">
        <v>600</v>
      </c>
      <c r="M482" s="5" t="n">
        <v>1800</v>
      </c>
      <c r="N482" s="6" t="n">
        <f aca="false">L482*0.6*H482</f>
        <v>1080</v>
      </c>
      <c r="O482" s="6" t="n">
        <f aca="false">M482-N482</f>
        <v>720</v>
      </c>
      <c r="P482" s="7" t="n">
        <f aca="false">IF(M482=0,0,O482/M482)</f>
        <v>0.4</v>
      </c>
    </row>
    <row r="483" customFormat="false" ht="15" hidden="false" customHeight="false" outlineLevel="0" collapsed="false">
      <c r="A483" s="3" t="n">
        <v>1714</v>
      </c>
      <c r="B483" s="3" t="s">
        <v>1188</v>
      </c>
      <c r="C483" s="3" t="s">
        <v>2007</v>
      </c>
      <c r="D483" s="3" t="s">
        <v>49</v>
      </c>
      <c r="E483" s="3" t="s">
        <v>3730</v>
      </c>
      <c r="F483" s="3" t="s">
        <v>3594</v>
      </c>
      <c r="G483" s="3" t="s">
        <v>3595</v>
      </c>
      <c r="H483" s="8" t="n">
        <v>2</v>
      </c>
      <c r="I483" s="8" t="s">
        <v>51</v>
      </c>
      <c r="J483" s="8" t="s">
        <v>19</v>
      </c>
      <c r="K483" s="8" t="s">
        <v>176</v>
      </c>
      <c r="L483" s="8" t="n">
        <v>250</v>
      </c>
      <c r="M483" s="8" t="n">
        <v>500</v>
      </c>
      <c r="N483" s="6" t="n">
        <f aca="false">L483*0.6*H483</f>
        <v>300</v>
      </c>
      <c r="O483" s="6" t="n">
        <f aca="false">M483-N483</f>
        <v>200</v>
      </c>
      <c r="P483" s="7" t="n">
        <f aca="false">IF(M483=0,0,O483/M483)</f>
        <v>0.4</v>
      </c>
    </row>
    <row r="484" customFormat="false" ht="15" hidden="false" customHeight="false" outlineLevel="0" collapsed="false">
      <c r="A484" s="2" t="n">
        <v>1715</v>
      </c>
      <c r="B484" s="2" t="s">
        <v>2011</v>
      </c>
      <c r="C484" s="2" t="s">
        <v>2010</v>
      </c>
      <c r="D484" s="2" t="s">
        <v>34</v>
      </c>
      <c r="E484" s="2" t="s">
        <v>3858</v>
      </c>
      <c r="F484" s="2" t="s">
        <v>3603</v>
      </c>
      <c r="G484" s="2" t="s">
        <v>3604</v>
      </c>
      <c r="H484" s="5" t="n">
        <v>3</v>
      </c>
      <c r="I484" s="5" t="s">
        <v>51</v>
      </c>
      <c r="J484" s="5" t="s">
        <v>19</v>
      </c>
      <c r="K484" s="5" t="s">
        <v>73</v>
      </c>
      <c r="L484" s="5" t="n">
        <v>300</v>
      </c>
      <c r="M484" s="5" t="n">
        <v>900</v>
      </c>
      <c r="N484" s="6" t="n">
        <f aca="false">L484*0.6*H484</f>
        <v>540</v>
      </c>
      <c r="O484" s="6" t="n">
        <f aca="false">M484-N484</f>
        <v>360</v>
      </c>
      <c r="P484" s="7" t="n">
        <f aca="false">IF(M484=0,0,O484/M484)</f>
        <v>0.4</v>
      </c>
    </row>
    <row r="485" customFormat="false" ht="15" hidden="false" customHeight="false" outlineLevel="0" collapsed="false">
      <c r="A485" s="3" t="n">
        <v>1716</v>
      </c>
      <c r="B485" s="3" t="s">
        <v>680</v>
      </c>
      <c r="C485" s="3" t="s">
        <v>1089</v>
      </c>
      <c r="D485" s="3" t="s">
        <v>34</v>
      </c>
      <c r="E485" s="3" t="s">
        <v>3877</v>
      </c>
      <c r="F485" s="3" t="s">
        <v>3606</v>
      </c>
      <c r="G485" s="3" t="s">
        <v>3600</v>
      </c>
      <c r="H485" s="8" t="n">
        <v>2</v>
      </c>
      <c r="I485" s="8" t="s">
        <v>51</v>
      </c>
      <c r="J485" s="8" t="s">
        <v>52</v>
      </c>
      <c r="K485" s="8" t="s">
        <v>182</v>
      </c>
      <c r="L485" s="8" t="n">
        <v>300</v>
      </c>
      <c r="M485" s="8" t="n">
        <v>600</v>
      </c>
      <c r="N485" s="6" t="n">
        <f aca="false">L485*0.6*H485</f>
        <v>360</v>
      </c>
      <c r="O485" s="6" t="n">
        <f aca="false">M485-N485</f>
        <v>240</v>
      </c>
      <c r="P485" s="7" t="n">
        <f aca="false">IF(M485=0,0,O485/M485)</f>
        <v>0.4</v>
      </c>
    </row>
    <row r="486" customFormat="false" ht="15" hidden="false" customHeight="false" outlineLevel="0" collapsed="false">
      <c r="A486" s="2" t="n">
        <v>1717</v>
      </c>
      <c r="B486" s="2" t="s">
        <v>1703</v>
      </c>
      <c r="C486" s="2" t="s">
        <v>2017</v>
      </c>
      <c r="D486" s="2" t="s">
        <v>147</v>
      </c>
      <c r="E486" s="2" t="s">
        <v>3878</v>
      </c>
      <c r="F486" s="2" t="s">
        <v>3599</v>
      </c>
      <c r="G486" s="2" t="s">
        <v>3600</v>
      </c>
      <c r="H486" s="5" t="n">
        <v>1</v>
      </c>
      <c r="I486" s="5" t="s">
        <v>51</v>
      </c>
      <c r="J486" s="5" t="s">
        <v>121</v>
      </c>
      <c r="K486" s="5" t="s">
        <v>317</v>
      </c>
      <c r="L486" s="5" t="n">
        <v>600</v>
      </c>
      <c r="M486" s="5" t="n">
        <v>600</v>
      </c>
      <c r="N486" s="6" t="n">
        <f aca="false">L486*0.6*H486</f>
        <v>360</v>
      </c>
      <c r="O486" s="6" t="n">
        <f aca="false">M486-N486</f>
        <v>240</v>
      </c>
      <c r="P486" s="7" t="n">
        <f aca="false">IF(M486=0,0,O486/M486)</f>
        <v>0.4</v>
      </c>
    </row>
    <row r="487" customFormat="false" ht="15" hidden="false" customHeight="false" outlineLevel="0" collapsed="false">
      <c r="A487" s="3" t="n">
        <v>1718</v>
      </c>
      <c r="B487" s="3" t="s">
        <v>701</v>
      </c>
      <c r="C487" s="3" t="s">
        <v>1882</v>
      </c>
      <c r="D487" s="3" t="s">
        <v>16</v>
      </c>
      <c r="E487" s="3" t="s">
        <v>3661</v>
      </c>
      <c r="F487" s="3" t="s">
        <v>3599</v>
      </c>
      <c r="G487" s="3" t="s">
        <v>3600</v>
      </c>
      <c r="H487" s="8" t="n">
        <v>2</v>
      </c>
      <c r="I487" s="8" t="s">
        <v>51</v>
      </c>
      <c r="J487" s="8" t="s">
        <v>19</v>
      </c>
      <c r="K487" s="8" t="s">
        <v>73</v>
      </c>
      <c r="L487" s="8" t="n">
        <v>250</v>
      </c>
      <c r="M487" s="8" t="n">
        <v>500</v>
      </c>
      <c r="N487" s="6" t="n">
        <f aca="false">L487*0.6*H487</f>
        <v>300</v>
      </c>
      <c r="O487" s="6" t="n">
        <f aca="false">M487-N487</f>
        <v>200</v>
      </c>
      <c r="P487" s="7" t="n">
        <f aca="false">IF(M487=0,0,O487/M487)</f>
        <v>0.4</v>
      </c>
    </row>
    <row r="488" customFormat="false" ht="15" hidden="false" customHeight="false" outlineLevel="0" collapsed="false">
      <c r="A488" s="2" t="n">
        <v>1719</v>
      </c>
      <c r="B488" s="2" t="s">
        <v>1221</v>
      </c>
      <c r="C488" s="2" t="s">
        <v>2023</v>
      </c>
      <c r="D488" s="2" t="s">
        <v>16</v>
      </c>
      <c r="E488" s="2" t="s">
        <v>3879</v>
      </c>
      <c r="F488" s="2" t="s">
        <v>3606</v>
      </c>
      <c r="G488" s="2" t="s">
        <v>3600</v>
      </c>
      <c r="H488" s="5" t="n">
        <v>2</v>
      </c>
      <c r="I488" s="5" t="s">
        <v>51</v>
      </c>
      <c r="J488" s="5" t="s">
        <v>28</v>
      </c>
      <c r="K488" s="5" t="s">
        <v>30</v>
      </c>
      <c r="L488" s="5" t="n">
        <v>250</v>
      </c>
      <c r="M488" s="5" t="n">
        <v>500</v>
      </c>
      <c r="N488" s="6" t="n">
        <f aca="false">L488*0.6*H488</f>
        <v>300</v>
      </c>
      <c r="O488" s="6" t="n">
        <f aca="false">M488-N488</f>
        <v>200</v>
      </c>
      <c r="P488" s="7" t="n">
        <f aca="false">IF(M488=0,0,O488/M488)</f>
        <v>0.4</v>
      </c>
    </row>
    <row r="489" customFormat="false" ht="15" hidden="false" customHeight="false" outlineLevel="0" collapsed="false">
      <c r="A489" s="3" t="n">
        <v>1720</v>
      </c>
      <c r="B489" s="3" t="s">
        <v>2027</v>
      </c>
      <c r="C489" s="3" t="s">
        <v>914</v>
      </c>
      <c r="D489" s="3" t="s">
        <v>34</v>
      </c>
      <c r="E489" s="3" t="s">
        <v>3880</v>
      </c>
      <c r="F489" s="3" t="s">
        <v>3606</v>
      </c>
      <c r="G489" s="3" t="s">
        <v>3600</v>
      </c>
      <c r="H489" s="8" t="n">
        <v>1</v>
      </c>
      <c r="I489" s="8" t="s">
        <v>18</v>
      </c>
      <c r="J489" s="8" t="s">
        <v>36</v>
      </c>
      <c r="K489" s="8" t="s">
        <v>192</v>
      </c>
      <c r="L489" s="8" t="n">
        <v>300</v>
      </c>
      <c r="M489" s="8" t="n">
        <v>300</v>
      </c>
      <c r="N489" s="6" t="n">
        <f aca="false">L489*0.6*H489</f>
        <v>180</v>
      </c>
      <c r="O489" s="6" t="n">
        <f aca="false">M489-N489</f>
        <v>120</v>
      </c>
      <c r="P489" s="7" t="n">
        <f aca="false">IF(M489=0,0,O489/M489)</f>
        <v>0.4</v>
      </c>
    </row>
    <row r="490" customFormat="false" ht="15" hidden="false" customHeight="false" outlineLevel="0" collapsed="false">
      <c r="A490" s="2" t="n">
        <v>1721</v>
      </c>
      <c r="B490" s="2" t="s">
        <v>789</v>
      </c>
      <c r="C490" s="2" t="s">
        <v>827</v>
      </c>
      <c r="D490" s="2" t="s">
        <v>49</v>
      </c>
      <c r="E490" s="2" t="s">
        <v>3881</v>
      </c>
      <c r="F490" s="2" t="s">
        <v>3594</v>
      </c>
      <c r="G490" s="2" t="s">
        <v>3595</v>
      </c>
      <c r="H490" s="5" t="n">
        <v>3</v>
      </c>
      <c r="I490" s="5" t="s">
        <v>18</v>
      </c>
      <c r="J490" s="5" t="s">
        <v>19</v>
      </c>
      <c r="K490" s="5" t="s">
        <v>21</v>
      </c>
      <c r="L490" s="5" t="n">
        <v>250</v>
      </c>
      <c r="M490" s="5" t="n">
        <v>750</v>
      </c>
      <c r="N490" s="6" t="n">
        <f aca="false">L490*0.6*H490</f>
        <v>450</v>
      </c>
      <c r="O490" s="6" t="n">
        <f aca="false">M490-N490</f>
        <v>300</v>
      </c>
      <c r="P490" s="7" t="n">
        <f aca="false">IF(M490=0,0,O490/M490)</f>
        <v>0.4</v>
      </c>
    </row>
    <row r="491" customFormat="false" ht="15" hidden="false" customHeight="false" outlineLevel="0" collapsed="false">
      <c r="A491" s="3" t="n">
        <v>1722</v>
      </c>
      <c r="B491" s="3" t="s">
        <v>102</v>
      </c>
      <c r="C491" s="3" t="s">
        <v>2034</v>
      </c>
      <c r="D491" s="3" t="s">
        <v>108</v>
      </c>
      <c r="E491" s="3" t="s">
        <v>3882</v>
      </c>
      <c r="F491" s="3" t="s">
        <v>3628</v>
      </c>
      <c r="G491" s="3" t="s">
        <v>3595</v>
      </c>
      <c r="H491" s="8" t="n">
        <v>1</v>
      </c>
      <c r="I491" s="8" t="s">
        <v>51</v>
      </c>
      <c r="J491" s="8" t="s">
        <v>121</v>
      </c>
      <c r="K491" s="8" t="s">
        <v>317</v>
      </c>
      <c r="L491" s="8" t="n">
        <v>1200</v>
      </c>
      <c r="M491" s="8" t="n">
        <v>1200</v>
      </c>
      <c r="N491" s="6" t="n">
        <f aca="false">L491*0.6*H491</f>
        <v>720</v>
      </c>
      <c r="O491" s="6" t="n">
        <f aca="false">M491-N491</f>
        <v>480</v>
      </c>
      <c r="P491" s="7" t="n">
        <f aca="false">IF(M491=0,0,O491/M491)</f>
        <v>0.4</v>
      </c>
    </row>
    <row r="492" customFormat="false" ht="15" hidden="false" customHeight="false" outlineLevel="0" collapsed="false">
      <c r="A492" s="2" t="n">
        <v>1723</v>
      </c>
      <c r="B492" s="2" t="s">
        <v>2039</v>
      </c>
      <c r="C492" s="2" t="s">
        <v>2038</v>
      </c>
      <c r="D492" s="2" t="s">
        <v>34</v>
      </c>
      <c r="E492" s="2" t="s">
        <v>3881</v>
      </c>
      <c r="F492" s="2" t="s">
        <v>3594</v>
      </c>
      <c r="G492" s="2" t="s">
        <v>3595</v>
      </c>
      <c r="H492" s="5" t="n">
        <v>3</v>
      </c>
      <c r="I492" s="5" t="s">
        <v>18</v>
      </c>
      <c r="J492" s="5" t="s">
        <v>19</v>
      </c>
      <c r="K492" s="5" t="s">
        <v>176</v>
      </c>
      <c r="L492" s="5" t="n">
        <v>300</v>
      </c>
      <c r="M492" s="5" t="n">
        <v>900</v>
      </c>
      <c r="N492" s="6" t="n">
        <f aca="false">L492*0.6*H492</f>
        <v>540</v>
      </c>
      <c r="O492" s="6" t="n">
        <f aca="false">M492-N492</f>
        <v>360</v>
      </c>
      <c r="P492" s="7" t="n">
        <f aca="false">IF(M492=0,0,O492/M492)</f>
        <v>0.4</v>
      </c>
    </row>
    <row r="493" customFormat="false" ht="15" hidden="false" customHeight="false" outlineLevel="0" collapsed="false">
      <c r="A493" s="3" t="n">
        <v>1724</v>
      </c>
      <c r="B493" s="3" t="s">
        <v>2042</v>
      </c>
      <c r="C493" s="3" t="s">
        <v>823</v>
      </c>
      <c r="D493" s="3" t="s">
        <v>25</v>
      </c>
      <c r="E493" s="3" t="s">
        <v>3883</v>
      </c>
      <c r="F493" s="3" t="s">
        <v>3606</v>
      </c>
      <c r="G493" s="3" t="s">
        <v>3600</v>
      </c>
      <c r="H493" s="8" t="n">
        <v>1</v>
      </c>
      <c r="I493" s="8" t="s">
        <v>97</v>
      </c>
      <c r="J493" s="8" t="s">
        <v>59</v>
      </c>
      <c r="K493" s="8" t="s">
        <v>292</v>
      </c>
      <c r="L493" s="8" t="n">
        <v>800</v>
      </c>
      <c r="M493" s="8" t="n">
        <v>800</v>
      </c>
      <c r="N493" s="6" t="n">
        <f aca="false">L493*0.6*H493</f>
        <v>480</v>
      </c>
      <c r="O493" s="6" t="n">
        <f aca="false">M493-N493</f>
        <v>320</v>
      </c>
      <c r="P493" s="7" t="n">
        <f aca="false">IF(M493=0,0,O493/M493)</f>
        <v>0.4</v>
      </c>
    </row>
    <row r="494" customFormat="false" ht="15" hidden="false" customHeight="false" outlineLevel="0" collapsed="false">
      <c r="A494" s="2" t="n">
        <v>1725</v>
      </c>
      <c r="B494" s="2" t="s">
        <v>2046</v>
      </c>
      <c r="C494" s="2" t="s">
        <v>691</v>
      </c>
      <c r="D494" s="2" t="s">
        <v>49</v>
      </c>
      <c r="E494" s="2" t="s">
        <v>3659</v>
      </c>
      <c r="F494" s="2" t="s">
        <v>3608</v>
      </c>
      <c r="G494" s="2" t="s">
        <v>3604</v>
      </c>
      <c r="H494" s="5" t="n">
        <v>2</v>
      </c>
      <c r="I494" s="5" t="s">
        <v>97</v>
      </c>
      <c r="J494" s="5" t="s">
        <v>19</v>
      </c>
      <c r="K494" s="5" t="s">
        <v>21</v>
      </c>
      <c r="L494" s="5" t="n">
        <v>250</v>
      </c>
      <c r="M494" s="5" t="n">
        <v>500</v>
      </c>
      <c r="N494" s="6" t="n">
        <f aca="false">L494*0.6*H494</f>
        <v>300</v>
      </c>
      <c r="O494" s="6" t="n">
        <f aca="false">M494-N494</f>
        <v>200</v>
      </c>
      <c r="P494" s="7" t="n">
        <f aca="false">IF(M494=0,0,O494/M494)</f>
        <v>0.4</v>
      </c>
    </row>
    <row r="495" customFormat="false" ht="15" hidden="false" customHeight="false" outlineLevel="0" collapsed="false">
      <c r="A495" s="3" t="n">
        <v>1726</v>
      </c>
      <c r="B495" s="3" t="s">
        <v>2050</v>
      </c>
      <c r="C495" s="3" t="s">
        <v>2049</v>
      </c>
      <c r="D495" s="3" t="s">
        <v>25</v>
      </c>
      <c r="E495" s="3" t="s">
        <v>3884</v>
      </c>
      <c r="F495" s="3" t="s">
        <v>3628</v>
      </c>
      <c r="G495" s="3" t="s">
        <v>3595</v>
      </c>
      <c r="H495" s="8" t="n">
        <v>3</v>
      </c>
      <c r="I495" s="8" t="s">
        <v>97</v>
      </c>
      <c r="J495" s="8" t="s">
        <v>121</v>
      </c>
      <c r="K495" s="8" t="s">
        <v>317</v>
      </c>
      <c r="L495" s="8" t="n">
        <v>800</v>
      </c>
      <c r="M495" s="8" t="n">
        <v>2400</v>
      </c>
      <c r="N495" s="6" t="n">
        <f aca="false">L495*0.6*H495</f>
        <v>1440</v>
      </c>
      <c r="O495" s="6" t="n">
        <f aca="false">M495-N495</f>
        <v>960</v>
      </c>
      <c r="P495" s="7" t="n">
        <f aca="false">IF(M495=0,0,O495/M495)</f>
        <v>0.4</v>
      </c>
    </row>
    <row r="496" customFormat="false" ht="15" hidden="false" customHeight="false" outlineLevel="0" collapsed="false">
      <c r="A496" s="2" t="n">
        <v>1727</v>
      </c>
      <c r="B496" s="2" t="s">
        <v>2055</v>
      </c>
      <c r="C496" s="2" t="s">
        <v>2054</v>
      </c>
      <c r="D496" s="2" t="s">
        <v>147</v>
      </c>
      <c r="E496" s="2" t="s">
        <v>3661</v>
      </c>
      <c r="F496" s="2" t="s">
        <v>3599</v>
      </c>
      <c r="G496" s="2" t="s">
        <v>3600</v>
      </c>
      <c r="H496" s="5" t="n">
        <v>2</v>
      </c>
      <c r="I496" s="5" t="s">
        <v>51</v>
      </c>
      <c r="J496" s="5" t="s">
        <v>43</v>
      </c>
      <c r="K496" s="5" t="s">
        <v>67</v>
      </c>
      <c r="L496" s="5" t="n">
        <v>600</v>
      </c>
      <c r="M496" s="5" t="n">
        <v>1200</v>
      </c>
      <c r="N496" s="6" t="n">
        <f aca="false">L496*0.6*H496</f>
        <v>720</v>
      </c>
      <c r="O496" s="6" t="n">
        <f aca="false">M496-N496</f>
        <v>480</v>
      </c>
      <c r="P496" s="7" t="n">
        <f aca="false">IF(M496=0,0,O496/M496)</f>
        <v>0.4</v>
      </c>
    </row>
    <row r="497" customFormat="false" ht="15" hidden="false" customHeight="false" outlineLevel="0" collapsed="false">
      <c r="A497" s="3" t="n">
        <v>1728</v>
      </c>
      <c r="B497" s="3" t="s">
        <v>2059</v>
      </c>
      <c r="C497" s="3" t="s">
        <v>2058</v>
      </c>
      <c r="D497" s="3" t="s">
        <v>147</v>
      </c>
      <c r="E497" s="3" t="s">
        <v>3803</v>
      </c>
      <c r="F497" s="3" t="s">
        <v>3606</v>
      </c>
      <c r="G497" s="3" t="s">
        <v>3600</v>
      </c>
      <c r="H497" s="8" t="n">
        <v>2</v>
      </c>
      <c r="I497" s="8" t="s">
        <v>18</v>
      </c>
      <c r="J497" s="8" t="s">
        <v>43</v>
      </c>
      <c r="K497" s="8" t="s">
        <v>45</v>
      </c>
      <c r="L497" s="8" t="n">
        <v>600</v>
      </c>
      <c r="M497" s="8" t="n">
        <v>1200</v>
      </c>
      <c r="N497" s="6" t="n">
        <f aca="false">L497*0.6*H497</f>
        <v>720</v>
      </c>
      <c r="O497" s="6" t="n">
        <f aca="false">M497-N497</f>
        <v>480</v>
      </c>
      <c r="P497" s="7" t="n">
        <f aca="false">IF(M497=0,0,O497/M497)</f>
        <v>0.4</v>
      </c>
    </row>
    <row r="498" customFormat="false" ht="15" hidden="false" customHeight="false" outlineLevel="0" collapsed="false">
      <c r="A498" s="2" t="n">
        <v>1729</v>
      </c>
      <c r="B498" s="2" t="s">
        <v>1885</v>
      </c>
      <c r="C498" s="2" t="s">
        <v>1020</v>
      </c>
      <c r="D498" s="2" t="s">
        <v>108</v>
      </c>
      <c r="E498" s="2" t="s">
        <v>3691</v>
      </c>
      <c r="F498" s="2" t="s">
        <v>3628</v>
      </c>
      <c r="G498" s="2" t="s">
        <v>3595</v>
      </c>
      <c r="H498" s="5" t="n">
        <v>2</v>
      </c>
      <c r="I498" s="5" t="s">
        <v>51</v>
      </c>
      <c r="J498" s="5" t="s">
        <v>28</v>
      </c>
      <c r="K498" s="5" t="s">
        <v>30</v>
      </c>
      <c r="L498" s="5" t="n">
        <v>1200</v>
      </c>
      <c r="M498" s="5" t="n">
        <v>2400</v>
      </c>
      <c r="N498" s="6" t="n">
        <f aca="false">L498*0.6*H498</f>
        <v>1440</v>
      </c>
      <c r="O498" s="6" t="n">
        <f aca="false">M498-N498</f>
        <v>960</v>
      </c>
      <c r="P498" s="7" t="n">
        <f aca="false">IF(M498=0,0,O498/M498)</f>
        <v>0.4</v>
      </c>
    </row>
    <row r="499" customFormat="false" ht="15" hidden="false" customHeight="false" outlineLevel="0" collapsed="false">
      <c r="A499" s="3" t="n">
        <v>1730</v>
      </c>
      <c r="B499" s="3" t="s">
        <v>2064</v>
      </c>
      <c r="C499" s="3" t="s">
        <v>519</v>
      </c>
      <c r="D499" s="3" t="s">
        <v>108</v>
      </c>
      <c r="E499" s="3" t="s">
        <v>3793</v>
      </c>
      <c r="F499" s="3" t="s">
        <v>3625</v>
      </c>
      <c r="G499" s="3" t="s">
        <v>3592</v>
      </c>
      <c r="H499" s="8" t="n">
        <v>2</v>
      </c>
      <c r="I499" s="8" t="s">
        <v>51</v>
      </c>
      <c r="J499" s="8" t="s">
        <v>43</v>
      </c>
      <c r="K499" s="8" t="s">
        <v>111</v>
      </c>
      <c r="L499" s="8" t="n">
        <v>1200</v>
      </c>
      <c r="M499" s="8" t="n">
        <v>2400</v>
      </c>
      <c r="N499" s="6" t="n">
        <f aca="false">L499*0.6*H499</f>
        <v>1440</v>
      </c>
      <c r="O499" s="6" t="n">
        <f aca="false">M499-N499</f>
        <v>960</v>
      </c>
      <c r="P499" s="7" t="n">
        <f aca="false">IF(M499=0,0,O499/M499)</f>
        <v>0.4</v>
      </c>
    </row>
    <row r="500" customFormat="false" ht="15" hidden="false" customHeight="false" outlineLevel="0" collapsed="false">
      <c r="A500" s="2" t="n">
        <v>1731</v>
      </c>
      <c r="B500" s="2" t="s">
        <v>2067</v>
      </c>
      <c r="C500" s="2" t="s">
        <v>1691</v>
      </c>
      <c r="D500" s="2" t="s">
        <v>108</v>
      </c>
      <c r="E500" s="2" t="s">
        <v>3875</v>
      </c>
      <c r="F500" s="2" t="s">
        <v>3613</v>
      </c>
      <c r="G500" s="2" t="s">
        <v>3604</v>
      </c>
      <c r="H500" s="5" t="n">
        <v>1</v>
      </c>
      <c r="I500" s="5" t="s">
        <v>18</v>
      </c>
      <c r="J500" s="5" t="s">
        <v>78</v>
      </c>
      <c r="K500" s="5" t="s">
        <v>80</v>
      </c>
      <c r="L500" s="5" t="n">
        <v>1200</v>
      </c>
      <c r="M500" s="5" t="n">
        <v>1200</v>
      </c>
      <c r="N500" s="6" t="n">
        <f aca="false">L500*0.6*H500</f>
        <v>720</v>
      </c>
      <c r="O500" s="6" t="n">
        <f aca="false">M500-N500</f>
        <v>480</v>
      </c>
      <c r="P500" s="7" t="n">
        <f aca="false">IF(M500=0,0,O500/M500)</f>
        <v>0.4</v>
      </c>
    </row>
    <row r="501" customFormat="false" ht="15" hidden="false" customHeight="false" outlineLevel="0" collapsed="false">
      <c r="A501" s="3" t="n">
        <v>1732</v>
      </c>
      <c r="B501" s="3" t="s">
        <v>2070</v>
      </c>
      <c r="C501" s="3" t="s">
        <v>873</v>
      </c>
      <c r="D501" s="3" t="s">
        <v>25</v>
      </c>
      <c r="E501" s="3" t="s">
        <v>3813</v>
      </c>
      <c r="F501" s="3" t="s">
        <v>3606</v>
      </c>
      <c r="G501" s="3" t="s">
        <v>3600</v>
      </c>
      <c r="H501" s="8" t="n">
        <v>3</v>
      </c>
      <c r="I501" s="8" t="s">
        <v>97</v>
      </c>
      <c r="J501" s="8" t="s">
        <v>19</v>
      </c>
      <c r="K501" s="8" t="s">
        <v>176</v>
      </c>
      <c r="L501" s="8" t="n">
        <v>800</v>
      </c>
      <c r="M501" s="8" t="n">
        <v>2400</v>
      </c>
      <c r="N501" s="6" t="n">
        <f aca="false">L501*0.6*H501</f>
        <v>1440</v>
      </c>
      <c r="O501" s="6" t="n">
        <f aca="false">M501-N501</f>
        <v>960</v>
      </c>
      <c r="P501" s="7" t="n">
        <f aca="false">IF(M501=0,0,O501/M501)</f>
        <v>0.4</v>
      </c>
    </row>
    <row r="502" customFormat="false" ht="15" hidden="false" customHeight="false" outlineLevel="0" collapsed="false">
      <c r="A502" s="2" t="n">
        <v>1733</v>
      </c>
      <c r="B502" s="2" t="s">
        <v>106</v>
      </c>
      <c r="C502" s="2" t="s">
        <v>2073</v>
      </c>
      <c r="D502" s="2" t="s">
        <v>147</v>
      </c>
      <c r="E502" s="2" t="s">
        <v>3653</v>
      </c>
      <c r="F502" s="2" t="s">
        <v>3603</v>
      </c>
      <c r="G502" s="2" t="s">
        <v>3604</v>
      </c>
      <c r="H502" s="5" t="n">
        <v>3</v>
      </c>
      <c r="I502" s="5" t="s">
        <v>18</v>
      </c>
      <c r="J502" s="5" t="s">
        <v>19</v>
      </c>
      <c r="K502" s="5" t="s">
        <v>73</v>
      </c>
      <c r="L502" s="5" t="n">
        <v>600</v>
      </c>
      <c r="M502" s="5" t="n">
        <v>1800</v>
      </c>
      <c r="N502" s="6" t="n">
        <f aca="false">L502*0.6*H502</f>
        <v>1080</v>
      </c>
      <c r="O502" s="6" t="n">
        <f aca="false">M502-N502</f>
        <v>720</v>
      </c>
      <c r="P502" s="7" t="n">
        <f aca="false">IF(M502=0,0,O502/M502)</f>
        <v>0.4</v>
      </c>
    </row>
    <row r="503" customFormat="false" ht="15" hidden="false" customHeight="false" outlineLevel="0" collapsed="false">
      <c r="A503" s="3" t="n">
        <v>1734</v>
      </c>
      <c r="B503" s="3" t="s">
        <v>2077</v>
      </c>
      <c r="C503" s="3" t="s">
        <v>2076</v>
      </c>
      <c r="D503" s="3" t="s">
        <v>25</v>
      </c>
      <c r="E503" s="3" t="s">
        <v>3639</v>
      </c>
      <c r="F503" s="3" t="s">
        <v>3610</v>
      </c>
      <c r="G503" s="3" t="s">
        <v>3600</v>
      </c>
      <c r="H503" s="8" t="n">
        <v>3</v>
      </c>
      <c r="I503" s="8" t="s">
        <v>27</v>
      </c>
      <c r="J503" s="8" t="s">
        <v>43</v>
      </c>
      <c r="K503" s="8" t="s">
        <v>111</v>
      </c>
      <c r="L503" s="8" t="n">
        <v>800</v>
      </c>
      <c r="M503" s="8" t="n">
        <v>2400</v>
      </c>
      <c r="N503" s="6" t="n">
        <f aca="false">L503*0.6*H503</f>
        <v>1440</v>
      </c>
      <c r="O503" s="6" t="n">
        <f aca="false">M503-N503</f>
        <v>960</v>
      </c>
      <c r="P503" s="7" t="n">
        <f aca="false">IF(M503=0,0,O503/M503)</f>
        <v>0.4</v>
      </c>
    </row>
    <row r="504" customFormat="false" ht="15" hidden="false" customHeight="false" outlineLevel="0" collapsed="false">
      <c r="A504" s="2" t="n">
        <v>1735</v>
      </c>
      <c r="B504" s="2" t="s">
        <v>955</v>
      </c>
      <c r="C504" s="2" t="s">
        <v>643</v>
      </c>
      <c r="D504" s="2" t="s">
        <v>34</v>
      </c>
      <c r="E504" s="2" t="s">
        <v>3885</v>
      </c>
      <c r="F504" s="2" t="s">
        <v>3628</v>
      </c>
      <c r="G504" s="2" t="s">
        <v>3595</v>
      </c>
      <c r="H504" s="5" t="n">
        <v>1</v>
      </c>
      <c r="I504" s="5" t="s">
        <v>51</v>
      </c>
      <c r="J504" s="5" t="s">
        <v>36</v>
      </c>
      <c r="K504" s="5" t="s">
        <v>170</v>
      </c>
      <c r="L504" s="5" t="n">
        <v>300</v>
      </c>
      <c r="M504" s="5" t="n">
        <v>300</v>
      </c>
      <c r="N504" s="6" t="n">
        <f aca="false">L504*0.6*H504</f>
        <v>180</v>
      </c>
      <c r="O504" s="6" t="n">
        <f aca="false">M504-N504</f>
        <v>120</v>
      </c>
      <c r="P504" s="7" t="n">
        <f aca="false">IF(M504=0,0,O504/M504)</f>
        <v>0.4</v>
      </c>
    </row>
    <row r="505" customFormat="false" ht="15" hidden="false" customHeight="false" outlineLevel="0" collapsed="false">
      <c r="A505" s="3" t="n">
        <v>1736</v>
      </c>
      <c r="B505" s="3" t="s">
        <v>2083</v>
      </c>
      <c r="C505" s="3" t="s">
        <v>414</v>
      </c>
      <c r="D505" s="3" t="s">
        <v>34</v>
      </c>
      <c r="E505" s="3" t="s">
        <v>3620</v>
      </c>
      <c r="F505" s="3" t="s">
        <v>2379</v>
      </c>
      <c r="G505" s="3" t="s">
        <v>3592</v>
      </c>
      <c r="H505" s="8" t="n">
        <v>3</v>
      </c>
      <c r="I505" s="8" t="s">
        <v>97</v>
      </c>
      <c r="J505" s="8" t="s">
        <v>36</v>
      </c>
      <c r="K505" s="8" t="s">
        <v>170</v>
      </c>
      <c r="L505" s="8" t="n">
        <v>300</v>
      </c>
      <c r="M505" s="8" t="n">
        <v>900</v>
      </c>
      <c r="N505" s="6" t="n">
        <f aca="false">L505*0.6*H505</f>
        <v>540</v>
      </c>
      <c r="O505" s="6" t="n">
        <f aca="false">M505-N505</f>
        <v>360</v>
      </c>
      <c r="P505" s="7" t="n">
        <f aca="false">IF(M505=0,0,O505/M505)</f>
        <v>0.4</v>
      </c>
    </row>
    <row r="506" customFormat="false" ht="15" hidden="false" customHeight="false" outlineLevel="0" collapsed="false">
      <c r="A506" s="2" t="n">
        <v>1737</v>
      </c>
      <c r="B506" s="2" t="s">
        <v>2086</v>
      </c>
      <c r="C506" s="2" t="s">
        <v>348</v>
      </c>
      <c r="D506" s="2" t="s">
        <v>34</v>
      </c>
      <c r="E506" s="2" t="s">
        <v>3886</v>
      </c>
      <c r="F506" s="2" t="s">
        <v>3610</v>
      </c>
      <c r="G506" s="2" t="s">
        <v>3600</v>
      </c>
      <c r="H506" s="5" t="n">
        <v>3</v>
      </c>
      <c r="I506" s="5" t="s">
        <v>18</v>
      </c>
      <c r="J506" s="5" t="s">
        <v>59</v>
      </c>
      <c r="K506" s="5" t="s">
        <v>292</v>
      </c>
      <c r="L506" s="5" t="n">
        <v>300</v>
      </c>
      <c r="M506" s="5" t="n">
        <v>900</v>
      </c>
      <c r="N506" s="6" t="n">
        <f aca="false">L506*0.6*H506</f>
        <v>540</v>
      </c>
      <c r="O506" s="6" t="n">
        <f aca="false">M506-N506</f>
        <v>360</v>
      </c>
      <c r="P506" s="7" t="n">
        <f aca="false">IF(M506=0,0,O506/M506)</f>
        <v>0.4</v>
      </c>
    </row>
    <row r="507" customFormat="false" ht="15" hidden="false" customHeight="false" outlineLevel="0" collapsed="false">
      <c r="A507" s="3" t="n">
        <v>1738</v>
      </c>
      <c r="B507" s="3" t="s">
        <v>1090</v>
      </c>
      <c r="C507" s="3" t="s">
        <v>2090</v>
      </c>
      <c r="D507" s="3" t="s">
        <v>16</v>
      </c>
      <c r="E507" s="3" t="s">
        <v>3623</v>
      </c>
      <c r="F507" s="3" t="s">
        <v>2379</v>
      </c>
      <c r="G507" s="3" t="s">
        <v>3592</v>
      </c>
      <c r="H507" s="8" t="n">
        <v>3</v>
      </c>
      <c r="I507" s="8" t="s">
        <v>51</v>
      </c>
      <c r="J507" s="8" t="s">
        <v>52</v>
      </c>
      <c r="K507" s="8" t="s">
        <v>182</v>
      </c>
      <c r="L507" s="8" t="n">
        <v>250</v>
      </c>
      <c r="M507" s="8" t="n">
        <v>750</v>
      </c>
      <c r="N507" s="6" t="n">
        <f aca="false">L507*0.6*H507</f>
        <v>450</v>
      </c>
      <c r="O507" s="6" t="n">
        <f aca="false">M507-N507</f>
        <v>300</v>
      </c>
      <c r="P507" s="7" t="n">
        <f aca="false">IF(M507=0,0,O507/M507)</f>
        <v>0.4</v>
      </c>
    </row>
    <row r="508" customFormat="false" ht="15" hidden="false" customHeight="false" outlineLevel="0" collapsed="false">
      <c r="A508" s="2" t="n">
        <v>1739</v>
      </c>
      <c r="B508" s="2" t="s">
        <v>1741</v>
      </c>
      <c r="C508" s="2" t="s">
        <v>2093</v>
      </c>
      <c r="D508" s="2" t="s">
        <v>16</v>
      </c>
      <c r="E508" s="2" t="s">
        <v>3651</v>
      </c>
      <c r="F508" s="2" t="s">
        <v>1756</v>
      </c>
      <c r="G508" s="2" t="s">
        <v>3595</v>
      </c>
      <c r="H508" s="5" t="n">
        <v>3</v>
      </c>
      <c r="I508" s="5" t="s">
        <v>51</v>
      </c>
      <c r="J508" s="5" t="s">
        <v>19</v>
      </c>
      <c r="K508" s="5" t="s">
        <v>176</v>
      </c>
      <c r="L508" s="5" t="n">
        <v>250</v>
      </c>
      <c r="M508" s="5" t="n">
        <v>750</v>
      </c>
      <c r="N508" s="6" t="n">
        <f aca="false">L508*0.6*H508</f>
        <v>450</v>
      </c>
      <c r="O508" s="6" t="n">
        <f aca="false">M508-N508</f>
        <v>300</v>
      </c>
      <c r="P508" s="7" t="n">
        <f aca="false">IF(M508=0,0,O508/M508)</f>
        <v>0.4</v>
      </c>
    </row>
    <row r="509" customFormat="false" ht="15" hidden="false" customHeight="false" outlineLevel="0" collapsed="false">
      <c r="A509" s="3" t="n">
        <v>1740</v>
      </c>
      <c r="B509" s="3" t="s">
        <v>2096</v>
      </c>
      <c r="C509" s="3" t="s">
        <v>2010</v>
      </c>
      <c r="D509" s="3" t="s">
        <v>34</v>
      </c>
      <c r="E509" s="3" t="s">
        <v>3887</v>
      </c>
      <c r="F509" s="3" t="s">
        <v>3628</v>
      </c>
      <c r="G509" s="3" t="s">
        <v>3595</v>
      </c>
      <c r="H509" s="8" t="n">
        <v>3</v>
      </c>
      <c r="I509" s="8" t="s">
        <v>27</v>
      </c>
      <c r="J509" s="8" t="s">
        <v>19</v>
      </c>
      <c r="K509" s="8" t="s">
        <v>21</v>
      </c>
      <c r="L509" s="8" t="n">
        <v>300</v>
      </c>
      <c r="M509" s="8" t="n">
        <v>900</v>
      </c>
      <c r="N509" s="6" t="n">
        <f aca="false">L509*0.6*H509</f>
        <v>540</v>
      </c>
      <c r="O509" s="6" t="n">
        <f aca="false">M509-N509</f>
        <v>360</v>
      </c>
      <c r="P509" s="7" t="n">
        <f aca="false">IF(M509=0,0,O509/M509)</f>
        <v>0.4</v>
      </c>
    </row>
    <row r="510" customFormat="false" ht="15" hidden="false" customHeight="false" outlineLevel="0" collapsed="false">
      <c r="A510" s="2" t="n">
        <v>1741</v>
      </c>
      <c r="B510" s="2" t="s">
        <v>935</v>
      </c>
      <c r="C510" s="2" t="s">
        <v>1806</v>
      </c>
      <c r="D510" s="2" t="s">
        <v>49</v>
      </c>
      <c r="E510" s="2" t="s">
        <v>3761</v>
      </c>
      <c r="F510" s="2" t="s">
        <v>3594</v>
      </c>
      <c r="G510" s="2" t="s">
        <v>3595</v>
      </c>
      <c r="H510" s="5" t="n">
        <v>3</v>
      </c>
      <c r="I510" s="5" t="s">
        <v>18</v>
      </c>
      <c r="J510" s="5" t="s">
        <v>28</v>
      </c>
      <c r="K510" s="5" t="s">
        <v>30</v>
      </c>
      <c r="L510" s="5" t="n">
        <v>250</v>
      </c>
      <c r="M510" s="5" t="n">
        <v>750</v>
      </c>
      <c r="N510" s="6" t="n">
        <f aca="false">L510*0.6*H510</f>
        <v>450</v>
      </c>
      <c r="O510" s="6" t="n">
        <f aca="false">M510-N510</f>
        <v>300</v>
      </c>
      <c r="P510" s="7" t="n">
        <f aca="false">IF(M510=0,0,O510/M510)</f>
        <v>0.4</v>
      </c>
    </row>
    <row r="511" customFormat="false" ht="15" hidden="false" customHeight="false" outlineLevel="0" collapsed="false">
      <c r="A511" s="3" t="n">
        <v>1742</v>
      </c>
      <c r="B511" s="3" t="s">
        <v>2102</v>
      </c>
      <c r="C511" s="3" t="s">
        <v>157</v>
      </c>
      <c r="D511" s="3" t="s">
        <v>147</v>
      </c>
      <c r="E511" s="3" t="s">
        <v>3680</v>
      </c>
      <c r="F511" s="3" t="s">
        <v>3610</v>
      </c>
      <c r="G511" s="3" t="s">
        <v>3600</v>
      </c>
      <c r="H511" s="8" t="n">
        <v>2</v>
      </c>
      <c r="I511" s="8" t="s">
        <v>51</v>
      </c>
      <c r="J511" s="8" t="s">
        <v>28</v>
      </c>
      <c r="K511" s="8" t="s">
        <v>30</v>
      </c>
      <c r="L511" s="8" t="n">
        <v>600</v>
      </c>
      <c r="M511" s="8" t="n">
        <v>1200</v>
      </c>
      <c r="N511" s="6" t="n">
        <f aca="false">L511*0.6*H511</f>
        <v>720</v>
      </c>
      <c r="O511" s="6" t="n">
        <f aca="false">M511-N511</f>
        <v>480</v>
      </c>
      <c r="P511" s="7" t="n">
        <f aca="false">IF(M511=0,0,O511/M511)</f>
        <v>0.4</v>
      </c>
    </row>
    <row r="512" customFormat="false" ht="15" hidden="false" customHeight="false" outlineLevel="0" collapsed="false">
      <c r="A512" s="2" t="n">
        <v>1743</v>
      </c>
      <c r="B512" s="2" t="s">
        <v>2105</v>
      </c>
      <c r="C512" s="2" t="s">
        <v>414</v>
      </c>
      <c r="D512" s="2" t="s">
        <v>16</v>
      </c>
      <c r="E512" s="2" t="s">
        <v>3888</v>
      </c>
      <c r="F512" s="2" t="s">
        <v>3613</v>
      </c>
      <c r="G512" s="2" t="s">
        <v>3604</v>
      </c>
      <c r="H512" s="5" t="n">
        <v>2</v>
      </c>
      <c r="I512" s="5" t="s">
        <v>51</v>
      </c>
      <c r="J512" s="5" t="s">
        <v>59</v>
      </c>
      <c r="K512" s="5" t="s">
        <v>61</v>
      </c>
      <c r="L512" s="5" t="n">
        <v>250</v>
      </c>
      <c r="M512" s="5" t="n">
        <v>500</v>
      </c>
      <c r="N512" s="6" t="n">
        <f aca="false">L512*0.6*H512</f>
        <v>300</v>
      </c>
      <c r="O512" s="6" t="n">
        <f aca="false">M512-N512</f>
        <v>200</v>
      </c>
      <c r="P512" s="7" t="n">
        <f aca="false">IF(M512=0,0,O512/M512)</f>
        <v>0.4</v>
      </c>
    </row>
    <row r="513" customFormat="false" ht="15" hidden="false" customHeight="false" outlineLevel="0" collapsed="false">
      <c r="A513" s="3" t="n">
        <v>1744</v>
      </c>
      <c r="B513" s="3" t="s">
        <v>2110</v>
      </c>
      <c r="C513" s="3" t="s">
        <v>2109</v>
      </c>
      <c r="D513" s="3" t="s">
        <v>16</v>
      </c>
      <c r="E513" s="3" t="s">
        <v>3889</v>
      </c>
      <c r="F513" s="3" t="s">
        <v>2379</v>
      </c>
      <c r="G513" s="3" t="s">
        <v>3592</v>
      </c>
      <c r="H513" s="8" t="n">
        <v>2</v>
      </c>
      <c r="I513" s="8" t="s">
        <v>18</v>
      </c>
      <c r="J513" s="8" t="s">
        <v>28</v>
      </c>
      <c r="K513" s="8" t="s">
        <v>30</v>
      </c>
      <c r="L513" s="8" t="n">
        <v>250</v>
      </c>
      <c r="M513" s="8" t="n">
        <v>500</v>
      </c>
      <c r="N513" s="6" t="n">
        <f aca="false">L513*0.6*H513</f>
        <v>300</v>
      </c>
      <c r="O513" s="6" t="n">
        <f aca="false">M513-N513</f>
        <v>200</v>
      </c>
      <c r="P513" s="7" t="n">
        <f aca="false">IF(M513=0,0,O513/M513)</f>
        <v>0.4</v>
      </c>
    </row>
    <row r="514" customFormat="false" ht="15" hidden="false" customHeight="false" outlineLevel="0" collapsed="false">
      <c r="A514" s="2" t="n">
        <v>1745</v>
      </c>
      <c r="B514" s="2" t="s">
        <v>2115</v>
      </c>
      <c r="C514" s="2" t="s">
        <v>2114</v>
      </c>
      <c r="D514" s="2" t="s">
        <v>34</v>
      </c>
      <c r="E514" s="2" t="s">
        <v>3831</v>
      </c>
      <c r="F514" s="2" t="s">
        <v>3603</v>
      </c>
      <c r="G514" s="2" t="s">
        <v>3604</v>
      </c>
      <c r="H514" s="5" t="n">
        <v>3</v>
      </c>
      <c r="I514" s="5" t="s">
        <v>51</v>
      </c>
      <c r="J514" s="5" t="s">
        <v>19</v>
      </c>
      <c r="K514" s="5" t="s">
        <v>176</v>
      </c>
      <c r="L514" s="5" t="n">
        <v>300</v>
      </c>
      <c r="M514" s="5" t="n">
        <v>900</v>
      </c>
      <c r="N514" s="6" t="n">
        <f aca="false">L514*0.6*H514</f>
        <v>540</v>
      </c>
      <c r="O514" s="6" t="n">
        <f aca="false">M514-N514</f>
        <v>360</v>
      </c>
      <c r="P514" s="7" t="n">
        <f aca="false">IF(M514=0,0,O514/M514)</f>
        <v>0.4</v>
      </c>
    </row>
    <row r="515" customFormat="false" ht="15" hidden="false" customHeight="false" outlineLevel="0" collapsed="false">
      <c r="A515" s="3" t="n">
        <v>1746</v>
      </c>
      <c r="B515" s="3" t="s">
        <v>2118</v>
      </c>
      <c r="C515" s="3" t="s">
        <v>414</v>
      </c>
      <c r="D515" s="3" t="s">
        <v>34</v>
      </c>
      <c r="E515" s="3" t="s">
        <v>3890</v>
      </c>
      <c r="F515" s="3" t="s">
        <v>3606</v>
      </c>
      <c r="G515" s="3" t="s">
        <v>3600</v>
      </c>
      <c r="H515" s="8" t="n">
        <v>2</v>
      </c>
      <c r="I515" s="8" t="s">
        <v>18</v>
      </c>
      <c r="J515" s="8" t="s">
        <v>36</v>
      </c>
      <c r="K515" s="8" t="s">
        <v>38</v>
      </c>
      <c r="L515" s="8" t="n">
        <v>300</v>
      </c>
      <c r="M515" s="8" t="n">
        <v>600</v>
      </c>
      <c r="N515" s="6" t="n">
        <f aca="false">L515*0.6*H515</f>
        <v>360</v>
      </c>
      <c r="O515" s="6" t="n">
        <f aca="false">M515-N515</f>
        <v>240</v>
      </c>
      <c r="P515" s="7" t="n">
        <f aca="false">IF(M515=0,0,O515/M515)</f>
        <v>0.4</v>
      </c>
    </row>
    <row r="516" customFormat="false" ht="15" hidden="false" customHeight="false" outlineLevel="0" collapsed="false">
      <c r="A516" s="2" t="n">
        <v>1747</v>
      </c>
      <c r="B516" s="2" t="s">
        <v>724</v>
      </c>
      <c r="C516" s="2" t="s">
        <v>2122</v>
      </c>
      <c r="D516" s="2" t="s">
        <v>16</v>
      </c>
      <c r="E516" s="2" t="s">
        <v>3813</v>
      </c>
      <c r="F516" s="2" t="s">
        <v>3606</v>
      </c>
      <c r="G516" s="2" t="s">
        <v>3600</v>
      </c>
      <c r="H516" s="5" t="n">
        <v>3</v>
      </c>
      <c r="I516" s="5" t="s">
        <v>51</v>
      </c>
      <c r="J516" s="5" t="s">
        <v>121</v>
      </c>
      <c r="K516" s="5" t="s">
        <v>123</v>
      </c>
      <c r="L516" s="5" t="n">
        <v>250</v>
      </c>
      <c r="M516" s="5" t="n">
        <v>750</v>
      </c>
      <c r="N516" s="6" t="n">
        <f aca="false">L516*0.6*H516</f>
        <v>450</v>
      </c>
      <c r="O516" s="6" t="n">
        <f aca="false">M516-N516</f>
        <v>300</v>
      </c>
      <c r="P516" s="7" t="n">
        <f aca="false">IF(M516=0,0,O516/M516)</f>
        <v>0.4</v>
      </c>
    </row>
    <row r="517" customFormat="false" ht="15" hidden="false" customHeight="false" outlineLevel="0" collapsed="false">
      <c r="A517" s="3" t="n">
        <v>1748</v>
      </c>
      <c r="B517" s="3" t="s">
        <v>515</v>
      </c>
      <c r="C517" s="3" t="s">
        <v>1327</v>
      </c>
      <c r="D517" s="3" t="s">
        <v>16</v>
      </c>
      <c r="E517" s="3" t="s">
        <v>3666</v>
      </c>
      <c r="F517" s="3" t="s">
        <v>3603</v>
      </c>
      <c r="G517" s="3" t="s">
        <v>3604</v>
      </c>
      <c r="H517" s="8" t="n">
        <v>2</v>
      </c>
      <c r="I517" s="8" t="s">
        <v>27</v>
      </c>
      <c r="J517" s="8" t="s">
        <v>59</v>
      </c>
      <c r="K517" s="8" t="s">
        <v>292</v>
      </c>
      <c r="L517" s="8" t="n">
        <v>250</v>
      </c>
      <c r="M517" s="8" t="n">
        <v>500</v>
      </c>
      <c r="N517" s="6" t="n">
        <f aca="false">L517*0.6*H517</f>
        <v>300</v>
      </c>
      <c r="O517" s="6" t="n">
        <f aca="false">M517-N517</f>
        <v>200</v>
      </c>
      <c r="P517" s="7" t="n">
        <f aca="false">IF(M517=0,0,O517/M517)</f>
        <v>0.4</v>
      </c>
    </row>
    <row r="518" customFormat="false" ht="15" hidden="false" customHeight="false" outlineLevel="0" collapsed="false">
      <c r="A518" s="2" t="n">
        <v>1749</v>
      </c>
      <c r="B518" s="2" t="s">
        <v>1558</v>
      </c>
      <c r="C518" s="2" t="s">
        <v>2127</v>
      </c>
      <c r="D518" s="2" t="s">
        <v>147</v>
      </c>
      <c r="E518" s="2" t="s">
        <v>3593</v>
      </c>
      <c r="F518" s="2" t="s">
        <v>3594</v>
      </c>
      <c r="G518" s="2" t="s">
        <v>3595</v>
      </c>
      <c r="H518" s="5" t="n">
        <v>1</v>
      </c>
      <c r="I518" s="5" t="s">
        <v>51</v>
      </c>
      <c r="J518" s="5" t="s">
        <v>52</v>
      </c>
      <c r="K518" s="5" t="s">
        <v>92</v>
      </c>
      <c r="L518" s="5" t="n">
        <v>600</v>
      </c>
      <c r="M518" s="5" t="n">
        <v>600</v>
      </c>
      <c r="N518" s="6" t="n">
        <f aca="false">L518*0.6*H518</f>
        <v>360</v>
      </c>
      <c r="O518" s="6" t="n">
        <f aca="false">M518-N518</f>
        <v>240</v>
      </c>
      <c r="P518" s="7" t="n">
        <f aca="false">IF(M518=0,0,O518/M518)</f>
        <v>0.4</v>
      </c>
    </row>
    <row r="519" customFormat="false" ht="15" hidden="false" customHeight="false" outlineLevel="0" collapsed="false">
      <c r="A519" s="3" t="n">
        <v>1750</v>
      </c>
      <c r="B519" s="3" t="s">
        <v>2130</v>
      </c>
      <c r="C519" s="3" t="s">
        <v>269</v>
      </c>
      <c r="D519" s="3" t="s">
        <v>49</v>
      </c>
      <c r="E519" s="3" t="s">
        <v>3679</v>
      </c>
      <c r="F519" s="3" t="s">
        <v>3628</v>
      </c>
      <c r="G519" s="3" t="s">
        <v>3595</v>
      </c>
      <c r="H519" s="8" t="n">
        <v>1</v>
      </c>
      <c r="I519" s="8" t="s">
        <v>18</v>
      </c>
      <c r="J519" s="8" t="s">
        <v>36</v>
      </c>
      <c r="K519" s="8" t="s">
        <v>192</v>
      </c>
      <c r="L519" s="8" t="n">
        <v>250</v>
      </c>
      <c r="M519" s="8" t="n">
        <v>250</v>
      </c>
      <c r="N519" s="6" t="n">
        <f aca="false">L519*0.6*H519</f>
        <v>150</v>
      </c>
      <c r="O519" s="6" t="n">
        <f aca="false">M519-N519</f>
        <v>100</v>
      </c>
      <c r="P519" s="7" t="n">
        <f aca="false">IF(M519=0,0,O519/M519)</f>
        <v>0.4</v>
      </c>
    </row>
    <row r="520" customFormat="false" ht="15" hidden="false" customHeight="false" outlineLevel="0" collapsed="false">
      <c r="A520" s="2" t="n">
        <v>1751</v>
      </c>
      <c r="B520" s="2" t="s">
        <v>911</v>
      </c>
      <c r="C520" s="2" t="s">
        <v>1239</v>
      </c>
      <c r="D520" s="2" t="s">
        <v>25</v>
      </c>
      <c r="E520" s="2" t="s">
        <v>3817</v>
      </c>
      <c r="F520" s="2" t="s">
        <v>3628</v>
      </c>
      <c r="G520" s="2" t="s">
        <v>3595</v>
      </c>
      <c r="H520" s="5" t="n">
        <v>2</v>
      </c>
      <c r="I520" s="5" t="s">
        <v>51</v>
      </c>
      <c r="J520" s="5" t="s">
        <v>121</v>
      </c>
      <c r="K520" s="5" t="s">
        <v>123</v>
      </c>
      <c r="L520" s="5" t="n">
        <v>800</v>
      </c>
      <c r="M520" s="5" t="n">
        <v>1600</v>
      </c>
      <c r="N520" s="6" t="n">
        <f aca="false">L520*0.6*H520</f>
        <v>960</v>
      </c>
      <c r="O520" s="6" t="n">
        <f aca="false">M520-N520</f>
        <v>640</v>
      </c>
      <c r="P520" s="7" t="n">
        <f aca="false">IF(M520=0,0,O520/M520)</f>
        <v>0.4</v>
      </c>
    </row>
    <row r="521" customFormat="false" ht="15" hidden="false" customHeight="false" outlineLevel="0" collapsed="false">
      <c r="A521" s="3" t="n">
        <v>1752</v>
      </c>
      <c r="B521" s="3" t="s">
        <v>2135</v>
      </c>
      <c r="C521" s="3" t="s">
        <v>1843</v>
      </c>
      <c r="D521" s="3" t="s">
        <v>108</v>
      </c>
      <c r="E521" s="3" t="s">
        <v>3787</v>
      </c>
      <c r="F521" s="3" t="s">
        <v>3591</v>
      </c>
      <c r="G521" s="3" t="s">
        <v>3592</v>
      </c>
      <c r="H521" s="8" t="n">
        <v>2</v>
      </c>
      <c r="I521" s="8" t="s">
        <v>51</v>
      </c>
      <c r="J521" s="8" t="s">
        <v>121</v>
      </c>
      <c r="K521" s="8" t="s">
        <v>123</v>
      </c>
      <c r="L521" s="8" t="n">
        <v>1200</v>
      </c>
      <c r="M521" s="8" t="n">
        <v>2400</v>
      </c>
      <c r="N521" s="6" t="n">
        <f aca="false">L521*0.6*H521</f>
        <v>1440</v>
      </c>
      <c r="O521" s="6" t="n">
        <f aca="false">M521-N521</f>
        <v>960</v>
      </c>
      <c r="P521" s="7" t="n">
        <f aca="false">IF(M521=0,0,O521/M521)</f>
        <v>0.4</v>
      </c>
    </row>
    <row r="522" customFormat="false" ht="15" hidden="false" customHeight="false" outlineLevel="0" collapsed="false">
      <c r="A522" s="2" t="n">
        <v>1753</v>
      </c>
      <c r="B522" s="2" t="s">
        <v>152</v>
      </c>
      <c r="C522" s="2" t="s">
        <v>2138</v>
      </c>
      <c r="D522" s="2" t="s">
        <v>108</v>
      </c>
      <c r="E522" s="2" t="s">
        <v>3769</v>
      </c>
      <c r="F522" s="2" t="s">
        <v>3606</v>
      </c>
      <c r="G522" s="2" t="s">
        <v>3600</v>
      </c>
      <c r="H522" s="5" t="n">
        <v>1</v>
      </c>
      <c r="I522" s="5" t="s">
        <v>51</v>
      </c>
      <c r="J522" s="5" t="s">
        <v>36</v>
      </c>
      <c r="K522" s="5" t="s">
        <v>192</v>
      </c>
      <c r="L522" s="5" t="n">
        <v>1200</v>
      </c>
      <c r="M522" s="5" t="n">
        <v>1200</v>
      </c>
      <c r="N522" s="6" t="n">
        <f aca="false">L522*0.6*H522</f>
        <v>720</v>
      </c>
      <c r="O522" s="6" t="n">
        <f aca="false">M522-N522</f>
        <v>480</v>
      </c>
      <c r="P522" s="7" t="n">
        <f aca="false">IF(M522=0,0,O522/M522)</f>
        <v>0.4</v>
      </c>
    </row>
    <row r="523" customFormat="false" ht="15" hidden="false" customHeight="false" outlineLevel="0" collapsed="false">
      <c r="A523" s="3" t="n">
        <v>1754</v>
      </c>
      <c r="B523" s="3" t="s">
        <v>2141</v>
      </c>
      <c r="C523" s="3" t="s">
        <v>1401</v>
      </c>
      <c r="D523" s="3" t="s">
        <v>25</v>
      </c>
      <c r="E523" s="3" t="s">
        <v>3833</v>
      </c>
      <c r="F523" s="3" t="s">
        <v>3628</v>
      </c>
      <c r="G523" s="3" t="s">
        <v>3595</v>
      </c>
      <c r="H523" s="8" t="n">
        <v>1</v>
      </c>
      <c r="I523" s="8" t="s">
        <v>27</v>
      </c>
      <c r="J523" s="8" t="s">
        <v>78</v>
      </c>
      <c r="K523" s="8" t="s">
        <v>80</v>
      </c>
      <c r="L523" s="8" t="n">
        <v>800</v>
      </c>
      <c r="M523" s="8" t="n">
        <v>800</v>
      </c>
      <c r="N523" s="6" t="n">
        <f aca="false">L523*0.6*H523</f>
        <v>480</v>
      </c>
      <c r="O523" s="6" t="n">
        <f aca="false">M523-N523</f>
        <v>320</v>
      </c>
      <c r="P523" s="7" t="n">
        <f aca="false">IF(M523=0,0,O523/M523)</f>
        <v>0.4</v>
      </c>
    </row>
    <row r="524" customFormat="false" ht="15" hidden="false" customHeight="false" outlineLevel="0" collapsed="false">
      <c r="A524" s="2" t="n">
        <v>1755</v>
      </c>
      <c r="B524" s="2" t="s">
        <v>2144</v>
      </c>
      <c r="C524" s="2" t="s">
        <v>627</v>
      </c>
      <c r="D524" s="2" t="s">
        <v>108</v>
      </c>
      <c r="E524" s="2" t="s">
        <v>3732</v>
      </c>
      <c r="F524" s="2" t="s">
        <v>3610</v>
      </c>
      <c r="G524" s="2" t="s">
        <v>3600</v>
      </c>
      <c r="H524" s="5" t="n">
        <v>3</v>
      </c>
      <c r="I524" s="5" t="s">
        <v>51</v>
      </c>
      <c r="J524" s="5" t="s">
        <v>19</v>
      </c>
      <c r="K524" s="5" t="s">
        <v>21</v>
      </c>
      <c r="L524" s="5" t="n">
        <v>1200</v>
      </c>
      <c r="M524" s="5" t="n">
        <v>3600</v>
      </c>
      <c r="N524" s="6" t="n">
        <f aca="false">L524*0.6*H524</f>
        <v>2160</v>
      </c>
      <c r="O524" s="6" t="n">
        <f aca="false">M524-N524</f>
        <v>1440</v>
      </c>
      <c r="P524" s="7" t="n">
        <f aca="false">IF(M524=0,0,O524/M524)</f>
        <v>0.4</v>
      </c>
    </row>
    <row r="525" customFormat="false" ht="15" hidden="false" customHeight="false" outlineLevel="0" collapsed="false">
      <c r="A525" s="3" t="n">
        <v>1756</v>
      </c>
      <c r="B525" s="3" t="s">
        <v>2147</v>
      </c>
      <c r="C525" s="3" t="s">
        <v>1231</v>
      </c>
      <c r="D525" s="3" t="s">
        <v>25</v>
      </c>
      <c r="E525" s="3" t="s">
        <v>3699</v>
      </c>
      <c r="F525" s="3" t="s">
        <v>3591</v>
      </c>
      <c r="G525" s="3" t="s">
        <v>3592</v>
      </c>
      <c r="H525" s="8" t="n">
        <v>2</v>
      </c>
      <c r="I525" s="8" t="s">
        <v>27</v>
      </c>
      <c r="J525" s="8" t="s">
        <v>78</v>
      </c>
      <c r="K525" s="8" t="s">
        <v>86</v>
      </c>
      <c r="L525" s="8" t="n">
        <v>800</v>
      </c>
      <c r="M525" s="8" t="n">
        <v>1600</v>
      </c>
      <c r="N525" s="6" t="n">
        <f aca="false">L525*0.6*H525</f>
        <v>960</v>
      </c>
      <c r="O525" s="6" t="n">
        <f aca="false">M525-N525</f>
        <v>640</v>
      </c>
      <c r="P525" s="7" t="n">
        <f aca="false">IF(M525=0,0,O525/M525)</f>
        <v>0.4</v>
      </c>
    </row>
    <row r="526" customFormat="false" ht="15" hidden="false" customHeight="false" outlineLevel="0" collapsed="false">
      <c r="A526" s="2" t="n">
        <v>1757</v>
      </c>
      <c r="B526" s="2" t="s">
        <v>1969</v>
      </c>
      <c r="C526" s="2" t="s">
        <v>2150</v>
      </c>
      <c r="D526" s="2" t="s">
        <v>34</v>
      </c>
      <c r="E526" s="2" t="s">
        <v>3779</v>
      </c>
      <c r="F526" s="2" t="s">
        <v>3599</v>
      </c>
      <c r="G526" s="2" t="s">
        <v>3600</v>
      </c>
      <c r="H526" s="5" t="n">
        <v>2</v>
      </c>
      <c r="I526" s="5" t="s">
        <v>18</v>
      </c>
      <c r="J526" s="5" t="s">
        <v>19</v>
      </c>
      <c r="K526" s="5" t="s">
        <v>21</v>
      </c>
      <c r="L526" s="5" t="n">
        <v>300</v>
      </c>
      <c r="M526" s="5" t="n">
        <v>600</v>
      </c>
      <c r="N526" s="6" t="n">
        <f aca="false">L526*0.6*H526</f>
        <v>360</v>
      </c>
      <c r="O526" s="6" t="n">
        <f aca="false">M526-N526</f>
        <v>240</v>
      </c>
      <c r="P526" s="7" t="n">
        <f aca="false">IF(M526=0,0,O526/M526)</f>
        <v>0.4</v>
      </c>
    </row>
    <row r="527" customFormat="false" ht="15" hidden="false" customHeight="false" outlineLevel="0" collapsed="false">
      <c r="A527" s="3" t="n">
        <v>1758</v>
      </c>
      <c r="B527" s="3" t="s">
        <v>2154</v>
      </c>
      <c r="C527" s="3" t="s">
        <v>2153</v>
      </c>
      <c r="D527" s="3" t="s">
        <v>25</v>
      </c>
      <c r="E527" s="3" t="s">
        <v>3819</v>
      </c>
      <c r="F527" s="3" t="s">
        <v>1756</v>
      </c>
      <c r="G527" s="3" t="s">
        <v>3595</v>
      </c>
      <c r="H527" s="8" t="n">
        <v>2</v>
      </c>
      <c r="I527" s="8" t="s">
        <v>51</v>
      </c>
      <c r="J527" s="8" t="s">
        <v>19</v>
      </c>
      <c r="K527" s="8" t="s">
        <v>176</v>
      </c>
      <c r="L527" s="8" t="n">
        <v>800</v>
      </c>
      <c r="M527" s="8" t="n">
        <v>1600</v>
      </c>
      <c r="N527" s="6" t="n">
        <f aca="false">L527*0.6*H527</f>
        <v>960</v>
      </c>
      <c r="O527" s="6" t="n">
        <f aca="false">M527-N527</f>
        <v>640</v>
      </c>
      <c r="P527" s="7" t="n">
        <f aca="false">IF(M527=0,0,O527/M527)</f>
        <v>0.4</v>
      </c>
    </row>
    <row r="528" customFormat="false" ht="15" hidden="false" customHeight="false" outlineLevel="0" collapsed="false">
      <c r="A528" s="2" t="n">
        <v>1759</v>
      </c>
      <c r="B528" s="2" t="s">
        <v>1212</v>
      </c>
      <c r="C528" s="2" t="s">
        <v>2157</v>
      </c>
      <c r="D528" s="2" t="s">
        <v>49</v>
      </c>
      <c r="E528" s="2" t="s">
        <v>3657</v>
      </c>
      <c r="F528" s="2" t="s">
        <v>1756</v>
      </c>
      <c r="G528" s="2" t="s">
        <v>3595</v>
      </c>
      <c r="H528" s="5" t="n">
        <v>3</v>
      </c>
      <c r="I528" s="5" t="s">
        <v>97</v>
      </c>
      <c r="J528" s="5" t="s">
        <v>52</v>
      </c>
      <c r="K528" s="5" t="s">
        <v>182</v>
      </c>
      <c r="L528" s="5" t="n">
        <v>250</v>
      </c>
      <c r="M528" s="5" t="n">
        <v>750</v>
      </c>
      <c r="N528" s="6" t="n">
        <f aca="false">L528*0.6*H528</f>
        <v>450</v>
      </c>
      <c r="O528" s="6" t="n">
        <f aca="false">M528-N528</f>
        <v>300</v>
      </c>
      <c r="P528" s="7" t="n">
        <f aca="false">IF(M528=0,0,O528/M528)</f>
        <v>0.4</v>
      </c>
    </row>
    <row r="529" customFormat="false" ht="15" hidden="false" customHeight="false" outlineLevel="0" collapsed="false">
      <c r="A529" s="3" t="n">
        <v>1760</v>
      </c>
      <c r="B529" s="3" t="s">
        <v>806</v>
      </c>
      <c r="C529" s="3" t="s">
        <v>2160</v>
      </c>
      <c r="D529" s="3" t="s">
        <v>49</v>
      </c>
      <c r="E529" s="3" t="s">
        <v>3891</v>
      </c>
      <c r="F529" s="3" t="s">
        <v>3606</v>
      </c>
      <c r="G529" s="3" t="s">
        <v>3600</v>
      </c>
      <c r="H529" s="8" t="n">
        <v>2</v>
      </c>
      <c r="I529" s="8" t="s">
        <v>97</v>
      </c>
      <c r="J529" s="8" t="s">
        <v>121</v>
      </c>
      <c r="K529" s="8" t="s">
        <v>317</v>
      </c>
      <c r="L529" s="8" t="n">
        <v>250</v>
      </c>
      <c r="M529" s="8" t="n">
        <v>500</v>
      </c>
      <c r="N529" s="6" t="n">
        <f aca="false">L529*0.6*H529</f>
        <v>300</v>
      </c>
      <c r="O529" s="6" t="n">
        <f aca="false">M529-N529</f>
        <v>200</v>
      </c>
      <c r="P529" s="7" t="n">
        <f aca="false">IF(M529=0,0,O529/M529)</f>
        <v>0.4</v>
      </c>
    </row>
    <row r="530" customFormat="false" ht="15" hidden="false" customHeight="false" outlineLevel="0" collapsed="false">
      <c r="A530" s="2" t="n">
        <v>1761</v>
      </c>
      <c r="B530" s="2" t="s">
        <v>1870</v>
      </c>
      <c r="C530" s="2" t="s">
        <v>700</v>
      </c>
      <c r="D530" s="2" t="s">
        <v>16</v>
      </c>
      <c r="E530" s="2" t="s">
        <v>3640</v>
      </c>
      <c r="F530" s="2" t="s">
        <v>3613</v>
      </c>
      <c r="G530" s="2" t="s">
        <v>3604</v>
      </c>
      <c r="H530" s="5" t="n">
        <v>3</v>
      </c>
      <c r="I530" s="5" t="s">
        <v>18</v>
      </c>
      <c r="J530" s="5" t="s">
        <v>43</v>
      </c>
      <c r="K530" s="5" t="s">
        <v>67</v>
      </c>
      <c r="L530" s="5" t="n">
        <v>250</v>
      </c>
      <c r="M530" s="5" t="n">
        <v>750</v>
      </c>
      <c r="N530" s="6" t="n">
        <f aca="false">L530*0.6*H530</f>
        <v>450</v>
      </c>
      <c r="O530" s="6" t="n">
        <f aca="false">M530-N530</f>
        <v>300</v>
      </c>
      <c r="P530" s="7" t="n">
        <f aca="false">IF(M530=0,0,O530/M530)</f>
        <v>0.4</v>
      </c>
    </row>
    <row r="531" customFormat="false" ht="15" hidden="false" customHeight="false" outlineLevel="0" collapsed="false">
      <c r="A531" s="3" t="n">
        <v>1762</v>
      </c>
      <c r="B531" s="3" t="s">
        <v>2166</v>
      </c>
      <c r="C531" s="3" t="s">
        <v>357</v>
      </c>
      <c r="D531" s="3" t="s">
        <v>108</v>
      </c>
      <c r="E531" s="3" t="s">
        <v>3892</v>
      </c>
      <c r="F531" s="3" t="s">
        <v>3613</v>
      </c>
      <c r="G531" s="3" t="s">
        <v>3604</v>
      </c>
      <c r="H531" s="8" t="n">
        <v>3</v>
      </c>
      <c r="I531" s="8" t="s">
        <v>18</v>
      </c>
      <c r="J531" s="8" t="s">
        <v>52</v>
      </c>
      <c r="K531" s="8" t="s">
        <v>54</v>
      </c>
      <c r="L531" s="8" t="n">
        <v>1200</v>
      </c>
      <c r="M531" s="8" t="n">
        <v>3600</v>
      </c>
      <c r="N531" s="6" t="n">
        <f aca="false">L531*0.6*H531</f>
        <v>2160</v>
      </c>
      <c r="O531" s="6" t="n">
        <f aca="false">M531-N531</f>
        <v>1440</v>
      </c>
      <c r="P531" s="7" t="n">
        <f aca="false">IF(M531=0,0,O531/M531)</f>
        <v>0.4</v>
      </c>
    </row>
    <row r="532" customFormat="false" ht="15" hidden="false" customHeight="false" outlineLevel="0" collapsed="false">
      <c r="A532" s="2" t="n">
        <v>1763</v>
      </c>
      <c r="B532" s="2" t="s">
        <v>1895</v>
      </c>
      <c r="C532" s="2" t="s">
        <v>1417</v>
      </c>
      <c r="D532" s="2" t="s">
        <v>108</v>
      </c>
      <c r="E532" s="2" t="s">
        <v>3733</v>
      </c>
      <c r="F532" s="2" t="s">
        <v>3610</v>
      </c>
      <c r="G532" s="2" t="s">
        <v>3600</v>
      </c>
      <c r="H532" s="5" t="n">
        <v>3</v>
      </c>
      <c r="I532" s="5" t="s">
        <v>51</v>
      </c>
      <c r="J532" s="5" t="s">
        <v>78</v>
      </c>
      <c r="K532" s="5" t="s">
        <v>408</v>
      </c>
      <c r="L532" s="5" t="n">
        <v>1200</v>
      </c>
      <c r="M532" s="5" t="n">
        <v>3600</v>
      </c>
      <c r="N532" s="6" t="n">
        <f aca="false">L532*0.6*H532</f>
        <v>2160</v>
      </c>
      <c r="O532" s="6" t="n">
        <f aca="false">M532-N532</f>
        <v>1440</v>
      </c>
      <c r="P532" s="7" t="n">
        <f aca="false">IF(M532=0,0,O532/M532)</f>
        <v>0.4</v>
      </c>
    </row>
    <row r="533" customFormat="false" ht="15" hidden="false" customHeight="false" outlineLevel="0" collapsed="false">
      <c r="A533" s="3" t="n">
        <v>1764</v>
      </c>
      <c r="B533" s="3" t="s">
        <v>1860</v>
      </c>
      <c r="C533" s="3" t="s">
        <v>1721</v>
      </c>
      <c r="D533" s="3" t="s">
        <v>34</v>
      </c>
      <c r="E533" s="3" t="s">
        <v>3753</v>
      </c>
      <c r="F533" s="3" t="s">
        <v>3625</v>
      </c>
      <c r="G533" s="3" t="s">
        <v>3592</v>
      </c>
      <c r="H533" s="8" t="n">
        <v>1</v>
      </c>
      <c r="I533" s="8" t="s">
        <v>51</v>
      </c>
      <c r="J533" s="8" t="s">
        <v>52</v>
      </c>
      <c r="K533" s="8" t="s">
        <v>182</v>
      </c>
      <c r="L533" s="8" t="n">
        <v>300</v>
      </c>
      <c r="M533" s="8" t="n">
        <v>300</v>
      </c>
      <c r="N533" s="6" t="n">
        <f aca="false">L533*0.6*H533</f>
        <v>180</v>
      </c>
      <c r="O533" s="6" t="n">
        <f aca="false">M533-N533</f>
        <v>120</v>
      </c>
      <c r="P533" s="7" t="n">
        <f aca="false">IF(M533=0,0,O533/M533)</f>
        <v>0.4</v>
      </c>
    </row>
    <row r="534" customFormat="false" ht="15" hidden="false" customHeight="false" outlineLevel="0" collapsed="false">
      <c r="A534" s="2" t="n">
        <v>1765</v>
      </c>
      <c r="B534" s="2" t="s">
        <v>439</v>
      </c>
      <c r="C534" s="2" t="s">
        <v>2174</v>
      </c>
      <c r="D534" s="2" t="s">
        <v>34</v>
      </c>
      <c r="E534" s="2" t="s">
        <v>3865</v>
      </c>
      <c r="F534" s="2" t="s">
        <v>1756</v>
      </c>
      <c r="G534" s="2" t="s">
        <v>3595</v>
      </c>
      <c r="H534" s="5" t="n">
        <v>1</v>
      </c>
      <c r="I534" s="5" t="s">
        <v>51</v>
      </c>
      <c r="J534" s="5" t="s">
        <v>52</v>
      </c>
      <c r="K534" s="5" t="s">
        <v>92</v>
      </c>
      <c r="L534" s="5" t="n">
        <v>300</v>
      </c>
      <c r="M534" s="5" t="n">
        <v>300</v>
      </c>
      <c r="N534" s="6" t="n">
        <f aca="false">L534*0.6*H534</f>
        <v>180</v>
      </c>
      <c r="O534" s="6" t="n">
        <f aca="false">M534-N534</f>
        <v>120</v>
      </c>
      <c r="P534" s="7" t="n">
        <f aca="false">IF(M534=0,0,O534/M534)</f>
        <v>0.4</v>
      </c>
    </row>
    <row r="535" customFormat="false" ht="15" hidden="false" customHeight="false" outlineLevel="0" collapsed="false">
      <c r="A535" s="3" t="n">
        <v>1766</v>
      </c>
      <c r="B535" s="3" t="s">
        <v>2178</v>
      </c>
      <c r="C535" s="3" t="s">
        <v>2177</v>
      </c>
      <c r="D535" s="3" t="s">
        <v>16</v>
      </c>
      <c r="E535" s="3" t="s">
        <v>3893</v>
      </c>
      <c r="F535" s="3" t="s">
        <v>3613</v>
      </c>
      <c r="G535" s="3" t="s">
        <v>3604</v>
      </c>
      <c r="H535" s="8" t="n">
        <v>3</v>
      </c>
      <c r="I535" s="8" t="s">
        <v>51</v>
      </c>
      <c r="J535" s="8" t="s">
        <v>28</v>
      </c>
      <c r="K535" s="8" t="s">
        <v>30</v>
      </c>
      <c r="L535" s="8" t="n">
        <v>250</v>
      </c>
      <c r="M535" s="8" t="n">
        <v>750</v>
      </c>
      <c r="N535" s="6" t="n">
        <f aca="false">L535*0.6*H535</f>
        <v>450</v>
      </c>
      <c r="O535" s="6" t="n">
        <f aca="false">M535-N535</f>
        <v>300</v>
      </c>
      <c r="P535" s="7" t="n">
        <f aca="false">IF(M535=0,0,O535/M535)</f>
        <v>0.4</v>
      </c>
    </row>
    <row r="536" customFormat="false" ht="15" hidden="false" customHeight="false" outlineLevel="0" collapsed="false">
      <c r="A536" s="2" t="n">
        <v>1767</v>
      </c>
      <c r="B536" s="2" t="s">
        <v>2182</v>
      </c>
      <c r="C536" s="2" t="s">
        <v>1135</v>
      </c>
      <c r="D536" s="2" t="s">
        <v>108</v>
      </c>
      <c r="E536" s="2" t="s">
        <v>3654</v>
      </c>
      <c r="F536" s="2" t="s">
        <v>3608</v>
      </c>
      <c r="G536" s="2" t="s">
        <v>3604</v>
      </c>
      <c r="H536" s="5" t="n">
        <v>2</v>
      </c>
      <c r="I536" s="5" t="s">
        <v>51</v>
      </c>
      <c r="J536" s="5" t="s">
        <v>121</v>
      </c>
      <c r="K536" s="5" t="s">
        <v>123</v>
      </c>
      <c r="L536" s="5" t="n">
        <v>1200</v>
      </c>
      <c r="M536" s="5" t="n">
        <v>2400</v>
      </c>
      <c r="N536" s="6" t="n">
        <f aca="false">L536*0.6*H536</f>
        <v>1440</v>
      </c>
      <c r="O536" s="6" t="n">
        <f aca="false">M536-N536</f>
        <v>960</v>
      </c>
      <c r="P536" s="7" t="n">
        <f aca="false">IF(M536=0,0,O536/M536)</f>
        <v>0.4</v>
      </c>
    </row>
    <row r="537" customFormat="false" ht="15" hidden="false" customHeight="false" outlineLevel="0" collapsed="false">
      <c r="A537" s="3" t="n">
        <v>1768</v>
      </c>
      <c r="B537" s="3" t="s">
        <v>2004</v>
      </c>
      <c r="C537" s="3" t="s">
        <v>539</v>
      </c>
      <c r="D537" s="3" t="s">
        <v>108</v>
      </c>
      <c r="E537" s="3" t="s">
        <v>3864</v>
      </c>
      <c r="F537" s="3" t="s">
        <v>3608</v>
      </c>
      <c r="G537" s="3" t="s">
        <v>3604</v>
      </c>
      <c r="H537" s="8" t="n">
        <v>2</v>
      </c>
      <c r="I537" s="8" t="s">
        <v>18</v>
      </c>
      <c r="J537" s="8" t="s">
        <v>19</v>
      </c>
      <c r="K537" s="8" t="s">
        <v>73</v>
      </c>
      <c r="L537" s="8" t="n">
        <v>1200</v>
      </c>
      <c r="M537" s="8" t="n">
        <v>2400</v>
      </c>
      <c r="N537" s="6" t="n">
        <f aca="false">L537*0.6*H537</f>
        <v>1440</v>
      </c>
      <c r="O537" s="6" t="n">
        <f aca="false">M537-N537</f>
        <v>960</v>
      </c>
      <c r="P537" s="7" t="n">
        <f aca="false">IF(M537=0,0,O537/M537)</f>
        <v>0.4</v>
      </c>
    </row>
    <row r="538" customFormat="false" ht="15" hidden="false" customHeight="false" outlineLevel="0" collapsed="false">
      <c r="A538" s="2" t="n">
        <v>1769</v>
      </c>
      <c r="B538" s="2" t="s">
        <v>2188</v>
      </c>
      <c r="C538" s="2" t="s">
        <v>2187</v>
      </c>
      <c r="D538" s="2" t="s">
        <v>147</v>
      </c>
      <c r="E538" s="2" t="s">
        <v>3714</v>
      </c>
      <c r="F538" s="2" t="s">
        <v>3603</v>
      </c>
      <c r="G538" s="2" t="s">
        <v>3604</v>
      </c>
      <c r="H538" s="5" t="n">
        <v>3</v>
      </c>
      <c r="I538" s="5" t="s">
        <v>18</v>
      </c>
      <c r="J538" s="5" t="s">
        <v>121</v>
      </c>
      <c r="K538" s="5" t="s">
        <v>317</v>
      </c>
      <c r="L538" s="5" t="n">
        <v>600</v>
      </c>
      <c r="M538" s="5" t="n">
        <v>1800</v>
      </c>
      <c r="N538" s="6" t="n">
        <f aca="false">L538*0.6*H538</f>
        <v>1080</v>
      </c>
      <c r="O538" s="6" t="n">
        <f aca="false">M538-N538</f>
        <v>720</v>
      </c>
      <c r="P538" s="7" t="n">
        <f aca="false">IF(M538=0,0,O538/M538)</f>
        <v>0.4</v>
      </c>
    </row>
    <row r="539" customFormat="false" ht="15" hidden="false" customHeight="false" outlineLevel="0" collapsed="false">
      <c r="A539" s="3" t="n">
        <v>1770</v>
      </c>
      <c r="B539" s="3" t="s">
        <v>2192</v>
      </c>
      <c r="C539" s="3" t="s">
        <v>2191</v>
      </c>
      <c r="D539" s="3" t="s">
        <v>147</v>
      </c>
      <c r="E539" s="3" t="s">
        <v>3878</v>
      </c>
      <c r="F539" s="3" t="s">
        <v>3599</v>
      </c>
      <c r="G539" s="3" t="s">
        <v>3600</v>
      </c>
      <c r="H539" s="8" t="n">
        <v>2</v>
      </c>
      <c r="I539" s="8" t="s">
        <v>51</v>
      </c>
      <c r="J539" s="8" t="s">
        <v>28</v>
      </c>
      <c r="K539" s="8" t="s">
        <v>30</v>
      </c>
      <c r="L539" s="8" t="n">
        <v>600</v>
      </c>
      <c r="M539" s="8" t="n">
        <v>1200</v>
      </c>
      <c r="N539" s="6" t="n">
        <f aca="false">L539*0.6*H539</f>
        <v>720</v>
      </c>
      <c r="O539" s="6" t="n">
        <f aca="false">M539-N539</f>
        <v>480</v>
      </c>
      <c r="P539" s="7" t="n">
        <f aca="false">IF(M539=0,0,O539/M539)</f>
        <v>0.4</v>
      </c>
    </row>
    <row r="540" customFormat="false" ht="15" hidden="false" customHeight="false" outlineLevel="0" collapsed="false">
      <c r="A540" s="2" t="n">
        <v>1771</v>
      </c>
      <c r="B540" s="2" t="s">
        <v>2195</v>
      </c>
      <c r="C540" s="2" t="s">
        <v>1243</v>
      </c>
      <c r="D540" s="2" t="s">
        <v>25</v>
      </c>
      <c r="E540" s="2" t="s">
        <v>3640</v>
      </c>
      <c r="F540" s="2" t="s">
        <v>3613</v>
      </c>
      <c r="G540" s="2" t="s">
        <v>3604</v>
      </c>
      <c r="H540" s="5" t="n">
        <v>1</v>
      </c>
      <c r="I540" s="5" t="s">
        <v>51</v>
      </c>
      <c r="J540" s="5" t="s">
        <v>43</v>
      </c>
      <c r="K540" s="5" t="s">
        <v>67</v>
      </c>
      <c r="L540" s="5" t="n">
        <v>800</v>
      </c>
      <c r="M540" s="5" t="n">
        <v>800</v>
      </c>
      <c r="N540" s="6" t="n">
        <f aca="false">L540*0.6*H540</f>
        <v>480</v>
      </c>
      <c r="O540" s="6" t="n">
        <f aca="false">M540-N540</f>
        <v>320</v>
      </c>
      <c r="P540" s="7" t="n">
        <f aca="false">IF(M540=0,0,O540/M540)</f>
        <v>0.4</v>
      </c>
    </row>
    <row r="541" customFormat="false" ht="15" hidden="false" customHeight="false" outlineLevel="0" collapsed="false">
      <c r="A541" s="3" t="n">
        <v>1772</v>
      </c>
      <c r="B541" s="3" t="s">
        <v>240</v>
      </c>
      <c r="C541" s="3" t="s">
        <v>161</v>
      </c>
      <c r="D541" s="3" t="s">
        <v>16</v>
      </c>
      <c r="E541" s="3" t="s">
        <v>3597</v>
      </c>
      <c r="F541" s="3" t="s">
        <v>2379</v>
      </c>
      <c r="G541" s="3" t="s">
        <v>3592</v>
      </c>
      <c r="H541" s="8" t="n">
        <v>2</v>
      </c>
      <c r="I541" s="8" t="s">
        <v>51</v>
      </c>
      <c r="J541" s="8" t="s">
        <v>121</v>
      </c>
      <c r="K541" s="8" t="s">
        <v>123</v>
      </c>
      <c r="L541" s="8" t="n">
        <v>250</v>
      </c>
      <c r="M541" s="8" t="n">
        <v>500</v>
      </c>
      <c r="N541" s="6" t="n">
        <f aca="false">L541*0.6*H541</f>
        <v>300</v>
      </c>
      <c r="O541" s="6" t="n">
        <f aca="false">M541-N541</f>
        <v>200</v>
      </c>
      <c r="P541" s="7" t="n">
        <f aca="false">IF(M541=0,0,O541/M541)</f>
        <v>0.4</v>
      </c>
    </row>
    <row r="542" customFormat="false" ht="15" hidden="false" customHeight="false" outlineLevel="0" collapsed="false">
      <c r="A542" s="2" t="n">
        <v>1773</v>
      </c>
      <c r="B542" s="2" t="s">
        <v>1699</v>
      </c>
      <c r="C542" s="2" t="s">
        <v>1081</v>
      </c>
      <c r="D542" s="2" t="s">
        <v>34</v>
      </c>
      <c r="E542" s="2" t="s">
        <v>3808</v>
      </c>
      <c r="F542" s="2" t="s">
        <v>3608</v>
      </c>
      <c r="G542" s="2" t="s">
        <v>3604</v>
      </c>
      <c r="H542" s="5" t="n">
        <v>2</v>
      </c>
      <c r="I542" s="5" t="s">
        <v>97</v>
      </c>
      <c r="J542" s="5" t="s">
        <v>36</v>
      </c>
      <c r="K542" s="5" t="s">
        <v>170</v>
      </c>
      <c r="L542" s="5" t="n">
        <v>300</v>
      </c>
      <c r="M542" s="5" t="n">
        <v>600</v>
      </c>
      <c r="N542" s="6" t="n">
        <f aca="false">L542*0.6*H542</f>
        <v>360</v>
      </c>
      <c r="O542" s="6" t="n">
        <f aca="false">M542-N542</f>
        <v>240</v>
      </c>
      <c r="P542" s="7" t="n">
        <f aca="false">IF(M542=0,0,O542/M542)</f>
        <v>0.4</v>
      </c>
    </row>
    <row r="543" customFormat="false" ht="15" hidden="false" customHeight="false" outlineLevel="0" collapsed="false">
      <c r="A543" s="3" t="n">
        <v>1774</v>
      </c>
      <c r="B543" s="3" t="s">
        <v>2188</v>
      </c>
      <c r="C543" s="3" t="s">
        <v>1748</v>
      </c>
      <c r="D543" s="3" t="s">
        <v>49</v>
      </c>
      <c r="E543" s="3" t="s">
        <v>3894</v>
      </c>
      <c r="F543" s="3" t="s">
        <v>3603</v>
      </c>
      <c r="G543" s="3" t="s">
        <v>3604</v>
      </c>
      <c r="H543" s="8" t="n">
        <v>3</v>
      </c>
      <c r="I543" s="8" t="s">
        <v>51</v>
      </c>
      <c r="J543" s="8" t="s">
        <v>78</v>
      </c>
      <c r="K543" s="8" t="s">
        <v>80</v>
      </c>
      <c r="L543" s="8" t="n">
        <v>250</v>
      </c>
      <c r="M543" s="8" t="n">
        <v>750</v>
      </c>
      <c r="N543" s="6" t="n">
        <f aca="false">L543*0.6*H543</f>
        <v>450</v>
      </c>
      <c r="O543" s="6" t="n">
        <f aca="false">M543-N543</f>
        <v>300</v>
      </c>
      <c r="P543" s="7" t="n">
        <f aca="false">IF(M543=0,0,O543/M543)</f>
        <v>0.4</v>
      </c>
    </row>
    <row r="544" customFormat="false" ht="15" hidden="false" customHeight="false" outlineLevel="0" collapsed="false">
      <c r="A544" s="2" t="n">
        <v>1775</v>
      </c>
      <c r="B544" s="2" t="s">
        <v>2205</v>
      </c>
      <c r="C544" s="2" t="s">
        <v>1728</v>
      </c>
      <c r="D544" s="2" t="s">
        <v>108</v>
      </c>
      <c r="E544" s="2" t="s">
        <v>3873</v>
      </c>
      <c r="F544" s="2" t="s">
        <v>3594</v>
      </c>
      <c r="G544" s="2" t="s">
        <v>3595</v>
      </c>
      <c r="H544" s="5" t="n">
        <v>3</v>
      </c>
      <c r="I544" s="5" t="s">
        <v>18</v>
      </c>
      <c r="J544" s="5" t="s">
        <v>28</v>
      </c>
      <c r="K544" s="5" t="s">
        <v>30</v>
      </c>
      <c r="L544" s="5" t="n">
        <v>1200</v>
      </c>
      <c r="M544" s="5" t="n">
        <v>3600</v>
      </c>
      <c r="N544" s="6" t="n">
        <f aca="false">L544*0.6*H544</f>
        <v>2160</v>
      </c>
      <c r="O544" s="6" t="n">
        <f aca="false">M544-N544</f>
        <v>1440</v>
      </c>
      <c r="P544" s="7" t="n">
        <f aca="false">IF(M544=0,0,O544/M544)</f>
        <v>0.4</v>
      </c>
    </row>
    <row r="545" customFormat="false" ht="15" hidden="false" customHeight="false" outlineLevel="0" collapsed="false">
      <c r="A545" s="3" t="n">
        <v>1776</v>
      </c>
      <c r="B545" s="3" t="s">
        <v>2209</v>
      </c>
      <c r="C545" s="3" t="s">
        <v>2208</v>
      </c>
      <c r="D545" s="3" t="s">
        <v>25</v>
      </c>
      <c r="E545" s="3" t="s">
        <v>3658</v>
      </c>
      <c r="F545" s="3" t="s">
        <v>3606</v>
      </c>
      <c r="G545" s="3" t="s">
        <v>3600</v>
      </c>
      <c r="H545" s="8" t="n">
        <v>3</v>
      </c>
      <c r="I545" s="8" t="s">
        <v>27</v>
      </c>
      <c r="J545" s="8" t="s">
        <v>28</v>
      </c>
      <c r="K545" s="8" t="s">
        <v>30</v>
      </c>
      <c r="L545" s="8" t="n">
        <v>800</v>
      </c>
      <c r="M545" s="8" t="n">
        <v>2400</v>
      </c>
      <c r="N545" s="6" t="n">
        <f aca="false">L545*0.6*H545</f>
        <v>1440</v>
      </c>
      <c r="O545" s="6" t="n">
        <f aca="false">M545-N545</f>
        <v>960</v>
      </c>
      <c r="P545" s="7" t="n">
        <f aca="false">IF(M545=0,0,O545/M545)</f>
        <v>0.4</v>
      </c>
    </row>
    <row r="546" customFormat="false" ht="15" hidden="false" customHeight="false" outlineLevel="0" collapsed="false">
      <c r="A546" s="2" t="n">
        <v>1777</v>
      </c>
      <c r="B546" s="2" t="s">
        <v>928</v>
      </c>
      <c r="C546" s="2" t="s">
        <v>1396</v>
      </c>
      <c r="D546" s="2" t="s">
        <v>147</v>
      </c>
      <c r="E546" s="2" t="s">
        <v>3895</v>
      </c>
      <c r="F546" s="2" t="s">
        <v>2379</v>
      </c>
      <c r="G546" s="2" t="s">
        <v>3592</v>
      </c>
      <c r="H546" s="5" t="n">
        <v>1</v>
      </c>
      <c r="I546" s="5" t="s">
        <v>27</v>
      </c>
      <c r="J546" s="5" t="s">
        <v>36</v>
      </c>
      <c r="K546" s="5" t="s">
        <v>170</v>
      </c>
      <c r="L546" s="5" t="n">
        <v>600</v>
      </c>
      <c r="M546" s="5" t="n">
        <v>600</v>
      </c>
      <c r="N546" s="6" t="n">
        <f aca="false">L546*0.6*H546</f>
        <v>360</v>
      </c>
      <c r="O546" s="6" t="n">
        <f aca="false">M546-N546</f>
        <v>240</v>
      </c>
      <c r="P546" s="7" t="n">
        <f aca="false">IF(M546=0,0,O546/M546)</f>
        <v>0.4</v>
      </c>
    </row>
    <row r="547" customFormat="false" ht="15" hidden="false" customHeight="false" outlineLevel="0" collapsed="false">
      <c r="A547" s="3" t="n">
        <v>1778</v>
      </c>
      <c r="B547" s="3" t="s">
        <v>2216</v>
      </c>
      <c r="C547" s="3" t="s">
        <v>2215</v>
      </c>
      <c r="D547" s="3" t="s">
        <v>25</v>
      </c>
      <c r="E547" s="3" t="s">
        <v>3722</v>
      </c>
      <c r="F547" s="3" t="s">
        <v>3613</v>
      </c>
      <c r="G547" s="3" t="s">
        <v>3604</v>
      </c>
      <c r="H547" s="8" t="n">
        <v>3</v>
      </c>
      <c r="I547" s="8" t="s">
        <v>18</v>
      </c>
      <c r="J547" s="8" t="s">
        <v>52</v>
      </c>
      <c r="K547" s="8" t="s">
        <v>182</v>
      </c>
      <c r="L547" s="8" t="n">
        <v>800</v>
      </c>
      <c r="M547" s="8" t="n">
        <v>2400</v>
      </c>
      <c r="N547" s="6" t="n">
        <f aca="false">L547*0.6*H547</f>
        <v>1440</v>
      </c>
      <c r="O547" s="6" t="n">
        <f aca="false">M547-N547</f>
        <v>960</v>
      </c>
      <c r="P547" s="7" t="n">
        <f aca="false">IF(M547=0,0,O547/M547)</f>
        <v>0.4</v>
      </c>
    </row>
    <row r="548" customFormat="false" ht="15" hidden="false" customHeight="false" outlineLevel="0" collapsed="false">
      <c r="A548" s="2" t="n">
        <v>1779</v>
      </c>
      <c r="B548" s="2" t="s">
        <v>2220</v>
      </c>
      <c r="C548" s="2" t="s">
        <v>2219</v>
      </c>
      <c r="D548" s="2" t="s">
        <v>108</v>
      </c>
      <c r="E548" s="2" t="s">
        <v>3596</v>
      </c>
      <c r="F548" s="2" t="s">
        <v>3594</v>
      </c>
      <c r="G548" s="2" t="s">
        <v>3595</v>
      </c>
      <c r="H548" s="5" t="n">
        <v>2</v>
      </c>
      <c r="I548" s="5" t="s">
        <v>18</v>
      </c>
      <c r="J548" s="5" t="s">
        <v>28</v>
      </c>
      <c r="K548" s="5" t="s">
        <v>30</v>
      </c>
      <c r="L548" s="5" t="n">
        <v>1200</v>
      </c>
      <c r="M548" s="5" t="n">
        <v>2400</v>
      </c>
      <c r="N548" s="6" t="n">
        <f aca="false">L548*0.6*H548</f>
        <v>1440</v>
      </c>
      <c r="O548" s="6" t="n">
        <f aca="false">M548-N548</f>
        <v>960</v>
      </c>
      <c r="P548" s="7" t="n">
        <f aca="false">IF(M548=0,0,O548/M548)</f>
        <v>0.4</v>
      </c>
    </row>
    <row r="549" customFormat="false" ht="15" hidden="false" customHeight="false" outlineLevel="0" collapsed="false">
      <c r="A549" s="3" t="n">
        <v>1780</v>
      </c>
      <c r="B549" s="3" t="s">
        <v>2224</v>
      </c>
      <c r="C549" s="3" t="s">
        <v>2223</v>
      </c>
      <c r="D549" s="3" t="s">
        <v>16</v>
      </c>
      <c r="E549" s="3" t="s">
        <v>3652</v>
      </c>
      <c r="F549" s="3" t="s">
        <v>3608</v>
      </c>
      <c r="G549" s="3" t="s">
        <v>3604</v>
      </c>
      <c r="H549" s="8" t="n">
        <v>2</v>
      </c>
      <c r="I549" s="8" t="s">
        <v>51</v>
      </c>
      <c r="J549" s="8" t="s">
        <v>121</v>
      </c>
      <c r="K549" s="8" t="s">
        <v>317</v>
      </c>
      <c r="L549" s="8" t="n">
        <v>250</v>
      </c>
      <c r="M549" s="8" t="n">
        <v>500</v>
      </c>
      <c r="N549" s="6" t="n">
        <f aca="false">L549*0.6*H549</f>
        <v>300</v>
      </c>
      <c r="O549" s="6" t="n">
        <f aca="false">M549-N549</f>
        <v>200</v>
      </c>
      <c r="P549" s="7" t="n">
        <f aca="false">IF(M549=0,0,O549/M549)</f>
        <v>0.4</v>
      </c>
    </row>
    <row r="550" customFormat="false" ht="15" hidden="false" customHeight="false" outlineLevel="0" collapsed="false">
      <c r="A550" s="2" t="n">
        <v>1781</v>
      </c>
      <c r="B550" s="2" t="s">
        <v>2227</v>
      </c>
      <c r="C550" s="2" t="s">
        <v>840</v>
      </c>
      <c r="D550" s="2" t="s">
        <v>34</v>
      </c>
      <c r="E550" s="2" t="s">
        <v>3670</v>
      </c>
      <c r="F550" s="2" t="s">
        <v>3603</v>
      </c>
      <c r="G550" s="2" t="s">
        <v>3604</v>
      </c>
      <c r="H550" s="5" t="n">
        <v>1</v>
      </c>
      <c r="I550" s="5" t="s">
        <v>97</v>
      </c>
      <c r="J550" s="5" t="s">
        <v>36</v>
      </c>
      <c r="K550" s="5" t="s">
        <v>192</v>
      </c>
      <c r="L550" s="5" t="n">
        <v>300</v>
      </c>
      <c r="M550" s="5" t="n">
        <v>300</v>
      </c>
      <c r="N550" s="6" t="n">
        <f aca="false">L550*0.6*H550</f>
        <v>180</v>
      </c>
      <c r="O550" s="6" t="n">
        <f aca="false">M550-N550</f>
        <v>120</v>
      </c>
      <c r="P550" s="7" t="n">
        <f aca="false">IF(M550=0,0,O550/M550)</f>
        <v>0.4</v>
      </c>
    </row>
    <row r="551" customFormat="false" ht="15" hidden="false" customHeight="false" outlineLevel="0" collapsed="false">
      <c r="A551" s="3" t="n">
        <v>1782</v>
      </c>
      <c r="B551" s="3" t="s">
        <v>657</v>
      </c>
      <c r="C551" s="3" t="s">
        <v>566</v>
      </c>
      <c r="D551" s="3" t="s">
        <v>49</v>
      </c>
      <c r="E551" s="3" t="s">
        <v>3859</v>
      </c>
      <c r="F551" s="3" t="s">
        <v>3603</v>
      </c>
      <c r="G551" s="3" t="s">
        <v>3604</v>
      </c>
      <c r="H551" s="8" t="n">
        <v>2</v>
      </c>
      <c r="I551" s="8" t="s">
        <v>51</v>
      </c>
      <c r="J551" s="8" t="s">
        <v>59</v>
      </c>
      <c r="K551" s="8" t="s">
        <v>61</v>
      </c>
      <c r="L551" s="8" t="n">
        <v>250</v>
      </c>
      <c r="M551" s="8" t="n">
        <v>500</v>
      </c>
      <c r="N551" s="6" t="n">
        <f aca="false">L551*0.6*H551</f>
        <v>300</v>
      </c>
      <c r="O551" s="6" t="n">
        <f aca="false">M551-N551</f>
        <v>200</v>
      </c>
      <c r="P551" s="7" t="n">
        <f aca="false">IF(M551=0,0,O551/M551)</f>
        <v>0.4</v>
      </c>
    </row>
    <row r="552" customFormat="false" ht="15" hidden="false" customHeight="false" outlineLevel="0" collapsed="false">
      <c r="A552" s="2" t="n">
        <v>1783</v>
      </c>
      <c r="B552" s="2" t="s">
        <v>2232</v>
      </c>
      <c r="C552" s="2" t="s">
        <v>535</v>
      </c>
      <c r="D552" s="2" t="s">
        <v>34</v>
      </c>
      <c r="E552" s="2" t="s">
        <v>3703</v>
      </c>
      <c r="F552" s="2" t="s">
        <v>3594</v>
      </c>
      <c r="G552" s="2" t="s">
        <v>3595</v>
      </c>
      <c r="H552" s="5" t="n">
        <v>3</v>
      </c>
      <c r="I552" s="5" t="s">
        <v>51</v>
      </c>
      <c r="J552" s="5" t="s">
        <v>52</v>
      </c>
      <c r="K552" s="5" t="s">
        <v>92</v>
      </c>
      <c r="L552" s="5" t="n">
        <v>300</v>
      </c>
      <c r="M552" s="5" t="n">
        <v>900</v>
      </c>
      <c r="N552" s="6" t="n">
        <f aca="false">L552*0.6*H552</f>
        <v>540</v>
      </c>
      <c r="O552" s="6" t="n">
        <f aca="false">M552-N552</f>
        <v>360</v>
      </c>
      <c r="P552" s="7" t="n">
        <f aca="false">IF(M552=0,0,O552/M552)</f>
        <v>0.4</v>
      </c>
    </row>
    <row r="553" customFormat="false" ht="15" hidden="false" customHeight="false" outlineLevel="0" collapsed="false">
      <c r="A553" s="3" t="n">
        <v>1784</v>
      </c>
      <c r="B553" s="3" t="s">
        <v>1192</v>
      </c>
      <c r="C553" s="3" t="s">
        <v>2235</v>
      </c>
      <c r="D553" s="3" t="s">
        <v>49</v>
      </c>
      <c r="E553" s="3" t="s">
        <v>3705</v>
      </c>
      <c r="F553" s="3" t="s">
        <v>3594</v>
      </c>
      <c r="G553" s="3" t="s">
        <v>3595</v>
      </c>
      <c r="H553" s="8" t="n">
        <v>2</v>
      </c>
      <c r="I553" s="8" t="s">
        <v>51</v>
      </c>
      <c r="J553" s="8" t="s">
        <v>59</v>
      </c>
      <c r="K553" s="8" t="s">
        <v>292</v>
      </c>
      <c r="L553" s="8" t="n">
        <v>250</v>
      </c>
      <c r="M553" s="8" t="n">
        <v>500</v>
      </c>
      <c r="N553" s="6" t="n">
        <f aca="false">L553*0.6*H553</f>
        <v>300</v>
      </c>
      <c r="O553" s="6" t="n">
        <f aca="false">M553-N553</f>
        <v>200</v>
      </c>
      <c r="P553" s="7" t="n">
        <f aca="false">IF(M553=0,0,O553/M553)</f>
        <v>0.4</v>
      </c>
    </row>
    <row r="554" customFormat="false" ht="15" hidden="false" customHeight="false" outlineLevel="0" collapsed="false">
      <c r="A554" s="2" t="n">
        <v>1785</v>
      </c>
      <c r="B554" s="2" t="s">
        <v>1046</v>
      </c>
      <c r="C554" s="2" t="s">
        <v>613</v>
      </c>
      <c r="D554" s="2" t="s">
        <v>147</v>
      </c>
      <c r="E554" s="2" t="s">
        <v>3896</v>
      </c>
      <c r="F554" s="2" t="s">
        <v>3625</v>
      </c>
      <c r="G554" s="2" t="s">
        <v>3592</v>
      </c>
      <c r="H554" s="5" t="n">
        <v>1</v>
      </c>
      <c r="I554" s="5" t="s">
        <v>97</v>
      </c>
      <c r="J554" s="5" t="s">
        <v>36</v>
      </c>
      <c r="K554" s="5" t="s">
        <v>38</v>
      </c>
      <c r="L554" s="5" t="n">
        <v>600</v>
      </c>
      <c r="M554" s="5" t="n">
        <v>600</v>
      </c>
      <c r="N554" s="6" t="n">
        <f aca="false">L554*0.6*H554</f>
        <v>360</v>
      </c>
      <c r="O554" s="6" t="n">
        <f aca="false">M554-N554</f>
        <v>240</v>
      </c>
      <c r="P554" s="7" t="n">
        <f aca="false">IF(M554=0,0,O554/M554)</f>
        <v>0.4</v>
      </c>
    </row>
    <row r="555" customFormat="false" ht="15" hidden="false" customHeight="false" outlineLevel="0" collapsed="false">
      <c r="A555" s="3" t="n">
        <v>1786</v>
      </c>
      <c r="B555" s="3" t="s">
        <v>2242</v>
      </c>
      <c r="C555" s="3" t="s">
        <v>2241</v>
      </c>
      <c r="D555" s="3" t="s">
        <v>25</v>
      </c>
      <c r="E555" s="3" t="s">
        <v>3780</v>
      </c>
      <c r="F555" s="3" t="s">
        <v>3628</v>
      </c>
      <c r="G555" s="3" t="s">
        <v>3595</v>
      </c>
      <c r="H555" s="8" t="n">
        <v>3</v>
      </c>
      <c r="I555" s="8" t="s">
        <v>51</v>
      </c>
      <c r="J555" s="8" t="s">
        <v>78</v>
      </c>
      <c r="K555" s="8" t="s">
        <v>86</v>
      </c>
      <c r="L555" s="8" t="n">
        <v>800</v>
      </c>
      <c r="M555" s="8" t="n">
        <v>2400</v>
      </c>
      <c r="N555" s="6" t="n">
        <f aca="false">L555*0.6*H555</f>
        <v>1440</v>
      </c>
      <c r="O555" s="6" t="n">
        <f aca="false">M555-N555</f>
        <v>960</v>
      </c>
      <c r="P555" s="7" t="n">
        <f aca="false">IF(M555=0,0,O555/M555)</f>
        <v>0.4</v>
      </c>
    </row>
    <row r="556" customFormat="false" ht="15" hidden="false" customHeight="false" outlineLevel="0" collapsed="false">
      <c r="A556" s="2" t="n">
        <v>1787</v>
      </c>
      <c r="B556" s="2" t="s">
        <v>2245</v>
      </c>
      <c r="C556" s="2" t="s">
        <v>1159</v>
      </c>
      <c r="D556" s="2" t="s">
        <v>34</v>
      </c>
      <c r="E556" s="2" t="s">
        <v>3876</v>
      </c>
      <c r="F556" s="2" t="s">
        <v>3608</v>
      </c>
      <c r="G556" s="2" t="s">
        <v>3604</v>
      </c>
      <c r="H556" s="5" t="n">
        <v>1</v>
      </c>
      <c r="I556" s="5" t="s">
        <v>18</v>
      </c>
      <c r="J556" s="5" t="s">
        <v>36</v>
      </c>
      <c r="K556" s="5" t="s">
        <v>38</v>
      </c>
      <c r="L556" s="5" t="n">
        <v>300</v>
      </c>
      <c r="M556" s="5" t="n">
        <v>300</v>
      </c>
      <c r="N556" s="6" t="n">
        <f aca="false">L556*0.6*H556</f>
        <v>180</v>
      </c>
      <c r="O556" s="6" t="n">
        <f aca="false">M556-N556</f>
        <v>120</v>
      </c>
      <c r="P556" s="7" t="n">
        <f aca="false">IF(M556=0,0,O556/M556)</f>
        <v>0.4</v>
      </c>
    </row>
    <row r="557" customFormat="false" ht="15" hidden="false" customHeight="false" outlineLevel="0" collapsed="false">
      <c r="A557" s="3" t="n">
        <v>1788</v>
      </c>
      <c r="B557" s="3" t="s">
        <v>2249</v>
      </c>
      <c r="C557" s="3" t="s">
        <v>2248</v>
      </c>
      <c r="D557" s="3" t="s">
        <v>108</v>
      </c>
      <c r="E557" s="3" t="s">
        <v>3781</v>
      </c>
      <c r="F557" s="3" t="s">
        <v>3610</v>
      </c>
      <c r="G557" s="3" t="s">
        <v>3600</v>
      </c>
      <c r="H557" s="8" t="n">
        <v>2</v>
      </c>
      <c r="I557" s="8" t="s">
        <v>18</v>
      </c>
      <c r="J557" s="8" t="s">
        <v>19</v>
      </c>
      <c r="K557" s="8" t="s">
        <v>176</v>
      </c>
      <c r="L557" s="8" t="n">
        <v>1200</v>
      </c>
      <c r="M557" s="8" t="n">
        <v>2400</v>
      </c>
      <c r="N557" s="6" t="n">
        <f aca="false">L557*0.6*H557</f>
        <v>1440</v>
      </c>
      <c r="O557" s="6" t="n">
        <f aca="false">M557-N557</f>
        <v>960</v>
      </c>
      <c r="P557" s="7" t="n">
        <f aca="false">IF(M557=0,0,O557/M557)</f>
        <v>0.4</v>
      </c>
    </row>
    <row r="558" customFormat="false" ht="15" hidden="false" customHeight="false" outlineLevel="0" collapsed="false">
      <c r="A558" s="2" t="n">
        <v>1789</v>
      </c>
      <c r="B558" s="2" t="s">
        <v>2253</v>
      </c>
      <c r="C558" s="2" t="s">
        <v>2252</v>
      </c>
      <c r="D558" s="2" t="s">
        <v>49</v>
      </c>
      <c r="E558" s="2" t="s">
        <v>3867</v>
      </c>
      <c r="F558" s="2" t="s">
        <v>3608</v>
      </c>
      <c r="G558" s="2" t="s">
        <v>3604</v>
      </c>
      <c r="H558" s="5" t="n">
        <v>1</v>
      </c>
      <c r="I558" s="5" t="s">
        <v>18</v>
      </c>
      <c r="J558" s="5" t="s">
        <v>59</v>
      </c>
      <c r="K558" s="5" t="s">
        <v>61</v>
      </c>
      <c r="L558" s="5" t="n">
        <v>250</v>
      </c>
      <c r="M558" s="5" t="n">
        <v>250</v>
      </c>
      <c r="N558" s="6" t="n">
        <f aca="false">L558*0.6*H558</f>
        <v>150</v>
      </c>
      <c r="O558" s="6" t="n">
        <f aca="false">M558-N558</f>
        <v>100</v>
      </c>
      <c r="P558" s="7" t="n">
        <f aca="false">IF(M558=0,0,O558/M558)</f>
        <v>0.4</v>
      </c>
    </row>
    <row r="559" customFormat="false" ht="15" hidden="false" customHeight="false" outlineLevel="0" collapsed="false">
      <c r="A559" s="3" t="n">
        <v>1790</v>
      </c>
      <c r="B559" s="3" t="s">
        <v>2256</v>
      </c>
      <c r="C559" s="3" t="s">
        <v>1634</v>
      </c>
      <c r="D559" s="3" t="s">
        <v>34</v>
      </c>
      <c r="E559" s="3" t="s">
        <v>3788</v>
      </c>
      <c r="F559" s="3" t="s">
        <v>3591</v>
      </c>
      <c r="G559" s="3" t="s">
        <v>3592</v>
      </c>
      <c r="H559" s="8" t="n">
        <v>3</v>
      </c>
      <c r="I559" s="8" t="s">
        <v>51</v>
      </c>
      <c r="J559" s="8" t="s">
        <v>43</v>
      </c>
      <c r="K559" s="8" t="s">
        <v>45</v>
      </c>
      <c r="L559" s="8" t="n">
        <v>300</v>
      </c>
      <c r="M559" s="8" t="n">
        <v>900</v>
      </c>
      <c r="N559" s="6" t="n">
        <f aca="false">L559*0.6*H559</f>
        <v>540</v>
      </c>
      <c r="O559" s="6" t="n">
        <f aca="false">M559-N559</f>
        <v>360</v>
      </c>
      <c r="P559" s="7" t="n">
        <f aca="false">IF(M559=0,0,O559/M559)</f>
        <v>0.4</v>
      </c>
    </row>
    <row r="560" customFormat="false" ht="15" hidden="false" customHeight="false" outlineLevel="0" collapsed="false">
      <c r="A560" s="2" t="n">
        <v>1791</v>
      </c>
      <c r="B560" s="2" t="s">
        <v>983</v>
      </c>
      <c r="C560" s="2" t="s">
        <v>2259</v>
      </c>
      <c r="D560" s="2" t="s">
        <v>49</v>
      </c>
      <c r="E560" s="2" t="s">
        <v>3702</v>
      </c>
      <c r="F560" s="2" t="s">
        <v>3610</v>
      </c>
      <c r="G560" s="2" t="s">
        <v>3600</v>
      </c>
      <c r="H560" s="5" t="n">
        <v>3</v>
      </c>
      <c r="I560" s="5" t="s">
        <v>51</v>
      </c>
      <c r="J560" s="5" t="s">
        <v>121</v>
      </c>
      <c r="K560" s="5" t="s">
        <v>123</v>
      </c>
      <c r="L560" s="5" t="n">
        <v>250</v>
      </c>
      <c r="M560" s="5" t="n">
        <v>750</v>
      </c>
      <c r="N560" s="6" t="n">
        <f aca="false">L560*0.6*H560</f>
        <v>450</v>
      </c>
      <c r="O560" s="6" t="n">
        <f aca="false">M560-N560</f>
        <v>300</v>
      </c>
      <c r="P560" s="7" t="n">
        <f aca="false">IF(M560=0,0,O560/M560)</f>
        <v>0.4</v>
      </c>
    </row>
    <row r="561" customFormat="false" ht="15" hidden="false" customHeight="false" outlineLevel="0" collapsed="false">
      <c r="A561" s="3" t="n">
        <v>1792</v>
      </c>
      <c r="B561" s="3" t="s">
        <v>2263</v>
      </c>
      <c r="C561" s="3" t="s">
        <v>2262</v>
      </c>
      <c r="D561" s="3" t="s">
        <v>34</v>
      </c>
      <c r="E561" s="3" t="s">
        <v>3897</v>
      </c>
      <c r="F561" s="3" t="s">
        <v>3613</v>
      </c>
      <c r="G561" s="3" t="s">
        <v>3604</v>
      </c>
      <c r="H561" s="8" t="n">
        <v>1</v>
      </c>
      <c r="I561" s="8" t="s">
        <v>18</v>
      </c>
      <c r="J561" s="8" t="s">
        <v>28</v>
      </c>
      <c r="K561" s="8" t="s">
        <v>30</v>
      </c>
      <c r="L561" s="8" t="n">
        <v>300</v>
      </c>
      <c r="M561" s="8" t="n">
        <v>300</v>
      </c>
      <c r="N561" s="6" t="n">
        <f aca="false">L561*0.6*H561</f>
        <v>180</v>
      </c>
      <c r="O561" s="6" t="n">
        <f aca="false">M561-N561</f>
        <v>120</v>
      </c>
      <c r="P561" s="7" t="n">
        <f aca="false">IF(M561=0,0,O561/M561)</f>
        <v>0.4</v>
      </c>
    </row>
    <row r="562" customFormat="false" ht="15" hidden="false" customHeight="false" outlineLevel="0" collapsed="false">
      <c r="A562" s="2" t="n">
        <v>1793</v>
      </c>
      <c r="B562" s="2" t="s">
        <v>500</v>
      </c>
      <c r="C562" s="2" t="s">
        <v>2267</v>
      </c>
      <c r="D562" s="2" t="s">
        <v>147</v>
      </c>
      <c r="E562" s="2" t="s">
        <v>3898</v>
      </c>
      <c r="F562" s="2" t="s">
        <v>3594</v>
      </c>
      <c r="G562" s="2" t="s">
        <v>3595</v>
      </c>
      <c r="H562" s="5" t="n">
        <v>3</v>
      </c>
      <c r="I562" s="5" t="s">
        <v>51</v>
      </c>
      <c r="J562" s="5" t="s">
        <v>52</v>
      </c>
      <c r="K562" s="5" t="s">
        <v>182</v>
      </c>
      <c r="L562" s="5" t="n">
        <v>600</v>
      </c>
      <c r="M562" s="5" t="n">
        <v>1800</v>
      </c>
      <c r="N562" s="6" t="n">
        <f aca="false">L562*0.6*H562</f>
        <v>1080</v>
      </c>
      <c r="O562" s="6" t="n">
        <f aca="false">M562-N562</f>
        <v>720</v>
      </c>
      <c r="P562" s="7" t="n">
        <f aca="false">IF(M562=0,0,O562/M562)</f>
        <v>0.4</v>
      </c>
    </row>
    <row r="563" customFormat="false" ht="15" hidden="false" customHeight="false" outlineLevel="0" collapsed="false">
      <c r="A563" s="3" t="n">
        <v>1794</v>
      </c>
      <c r="B563" s="3" t="s">
        <v>1071</v>
      </c>
      <c r="C563" s="3" t="s">
        <v>2271</v>
      </c>
      <c r="D563" s="3" t="s">
        <v>16</v>
      </c>
      <c r="E563" s="3" t="s">
        <v>3818</v>
      </c>
      <c r="F563" s="3" t="s">
        <v>3625</v>
      </c>
      <c r="G563" s="3" t="s">
        <v>3592</v>
      </c>
      <c r="H563" s="8" t="n">
        <v>3</v>
      </c>
      <c r="I563" s="8" t="s">
        <v>18</v>
      </c>
      <c r="J563" s="8" t="s">
        <v>43</v>
      </c>
      <c r="K563" s="8" t="s">
        <v>45</v>
      </c>
      <c r="L563" s="8" t="n">
        <v>250</v>
      </c>
      <c r="M563" s="8" t="n">
        <v>750</v>
      </c>
      <c r="N563" s="6" t="n">
        <f aca="false">L563*0.6*H563</f>
        <v>450</v>
      </c>
      <c r="O563" s="6" t="n">
        <f aca="false">M563-N563</f>
        <v>300</v>
      </c>
      <c r="P563" s="7" t="n">
        <f aca="false">IF(M563=0,0,O563/M563)</f>
        <v>0.4</v>
      </c>
    </row>
    <row r="564" customFormat="false" ht="15" hidden="false" customHeight="false" outlineLevel="0" collapsed="false">
      <c r="A564" s="2" t="n">
        <v>1795</v>
      </c>
      <c r="B564" s="2" t="s">
        <v>2275</v>
      </c>
      <c r="C564" s="2" t="s">
        <v>2274</v>
      </c>
      <c r="D564" s="2" t="s">
        <v>147</v>
      </c>
      <c r="E564" s="2" t="s">
        <v>3899</v>
      </c>
      <c r="F564" s="2" t="s">
        <v>3591</v>
      </c>
      <c r="G564" s="2" t="s">
        <v>3592</v>
      </c>
      <c r="H564" s="5" t="n">
        <v>1</v>
      </c>
      <c r="I564" s="5" t="s">
        <v>18</v>
      </c>
      <c r="J564" s="5" t="s">
        <v>36</v>
      </c>
      <c r="K564" s="5" t="s">
        <v>192</v>
      </c>
      <c r="L564" s="5" t="n">
        <v>600</v>
      </c>
      <c r="M564" s="5" t="n">
        <v>600</v>
      </c>
      <c r="N564" s="6" t="n">
        <f aca="false">L564*0.6*H564</f>
        <v>360</v>
      </c>
      <c r="O564" s="6" t="n">
        <f aca="false">M564-N564</f>
        <v>240</v>
      </c>
      <c r="P564" s="7" t="n">
        <f aca="false">IF(M564=0,0,O564/M564)</f>
        <v>0.4</v>
      </c>
    </row>
    <row r="565" customFormat="false" ht="15" hidden="false" customHeight="false" outlineLevel="0" collapsed="false">
      <c r="A565" s="3" t="n">
        <v>1796</v>
      </c>
      <c r="B565" s="3" t="s">
        <v>2279</v>
      </c>
      <c r="C565" s="3" t="s">
        <v>1769</v>
      </c>
      <c r="D565" s="3" t="s">
        <v>108</v>
      </c>
      <c r="E565" s="3" t="s">
        <v>3652</v>
      </c>
      <c r="F565" s="3" t="s">
        <v>3608</v>
      </c>
      <c r="G565" s="3" t="s">
        <v>3604</v>
      </c>
      <c r="H565" s="8" t="n">
        <v>3</v>
      </c>
      <c r="I565" s="8" t="s">
        <v>18</v>
      </c>
      <c r="J565" s="8" t="s">
        <v>59</v>
      </c>
      <c r="K565" s="8" t="s">
        <v>61</v>
      </c>
      <c r="L565" s="8" t="n">
        <v>1200</v>
      </c>
      <c r="M565" s="8" t="n">
        <v>3600</v>
      </c>
      <c r="N565" s="6" t="n">
        <f aca="false">L565*0.6*H565</f>
        <v>2160</v>
      </c>
      <c r="O565" s="6" t="n">
        <f aca="false">M565-N565</f>
        <v>1440</v>
      </c>
      <c r="P565" s="7" t="n">
        <f aca="false">IF(M565=0,0,O565/M565)</f>
        <v>0.4</v>
      </c>
    </row>
    <row r="566" customFormat="false" ht="15" hidden="false" customHeight="false" outlineLevel="0" collapsed="false">
      <c r="A566" s="2" t="n">
        <v>1797</v>
      </c>
      <c r="B566" s="2" t="s">
        <v>478</v>
      </c>
      <c r="C566" s="2" t="s">
        <v>2282</v>
      </c>
      <c r="D566" s="2" t="s">
        <v>25</v>
      </c>
      <c r="E566" s="2" t="s">
        <v>3800</v>
      </c>
      <c r="F566" s="2" t="s">
        <v>3599</v>
      </c>
      <c r="G566" s="2" t="s">
        <v>3600</v>
      </c>
      <c r="H566" s="5" t="n">
        <v>2</v>
      </c>
      <c r="I566" s="5" t="s">
        <v>97</v>
      </c>
      <c r="J566" s="5" t="s">
        <v>43</v>
      </c>
      <c r="K566" s="5" t="s">
        <v>111</v>
      </c>
      <c r="L566" s="5" t="n">
        <v>800</v>
      </c>
      <c r="M566" s="5" t="n">
        <v>1600</v>
      </c>
      <c r="N566" s="6" t="n">
        <f aca="false">L566*0.6*H566</f>
        <v>960</v>
      </c>
      <c r="O566" s="6" t="n">
        <f aca="false">M566-N566</f>
        <v>640</v>
      </c>
      <c r="P566" s="7" t="n">
        <f aca="false">IF(M566=0,0,O566/M566)</f>
        <v>0.4</v>
      </c>
    </row>
    <row r="567" customFormat="false" ht="15" hidden="false" customHeight="false" outlineLevel="0" collapsed="false">
      <c r="A567" s="3" t="n">
        <v>1798</v>
      </c>
      <c r="B567" s="3" t="s">
        <v>2285</v>
      </c>
      <c r="C567" s="3" t="s">
        <v>279</v>
      </c>
      <c r="D567" s="3" t="s">
        <v>25</v>
      </c>
      <c r="E567" s="3" t="s">
        <v>3882</v>
      </c>
      <c r="F567" s="3" t="s">
        <v>3628</v>
      </c>
      <c r="G567" s="3" t="s">
        <v>3595</v>
      </c>
      <c r="H567" s="8" t="n">
        <v>1</v>
      </c>
      <c r="I567" s="8" t="s">
        <v>18</v>
      </c>
      <c r="J567" s="8" t="s">
        <v>19</v>
      </c>
      <c r="K567" s="8" t="s">
        <v>21</v>
      </c>
      <c r="L567" s="8" t="n">
        <v>800</v>
      </c>
      <c r="M567" s="8" t="n">
        <v>800</v>
      </c>
      <c r="N567" s="6" t="n">
        <f aca="false">L567*0.6*H567</f>
        <v>480</v>
      </c>
      <c r="O567" s="6" t="n">
        <f aca="false">M567-N567</f>
        <v>320</v>
      </c>
      <c r="P567" s="7" t="n">
        <f aca="false">IF(M567=0,0,O567/M567)</f>
        <v>0.4</v>
      </c>
    </row>
    <row r="568" customFormat="false" ht="15" hidden="false" customHeight="false" outlineLevel="0" collapsed="false">
      <c r="A568" s="2" t="n">
        <v>1799</v>
      </c>
      <c r="B568" s="2" t="s">
        <v>1386</v>
      </c>
      <c r="C568" s="2" t="s">
        <v>399</v>
      </c>
      <c r="D568" s="2" t="s">
        <v>49</v>
      </c>
      <c r="E568" s="2" t="s">
        <v>3876</v>
      </c>
      <c r="F568" s="2" t="s">
        <v>3608</v>
      </c>
      <c r="G568" s="2" t="s">
        <v>3604</v>
      </c>
      <c r="H568" s="5" t="n">
        <v>1</v>
      </c>
      <c r="I568" s="5" t="s">
        <v>51</v>
      </c>
      <c r="J568" s="5" t="s">
        <v>43</v>
      </c>
      <c r="K568" s="5" t="s">
        <v>111</v>
      </c>
      <c r="L568" s="5" t="n">
        <v>250</v>
      </c>
      <c r="M568" s="5" t="n">
        <v>250</v>
      </c>
      <c r="N568" s="6" t="n">
        <f aca="false">L568*0.6*H568</f>
        <v>150</v>
      </c>
      <c r="O568" s="6" t="n">
        <f aca="false">M568-N568</f>
        <v>100</v>
      </c>
      <c r="P568" s="7" t="n">
        <f aca="false">IF(M568=0,0,O568/M568)</f>
        <v>0.4</v>
      </c>
    </row>
    <row r="569" customFormat="false" ht="15" hidden="false" customHeight="false" outlineLevel="0" collapsed="false">
      <c r="A569" s="3" t="n">
        <v>1800</v>
      </c>
      <c r="B569" s="3" t="s">
        <v>305</v>
      </c>
      <c r="C569" s="3" t="s">
        <v>945</v>
      </c>
      <c r="D569" s="3" t="s">
        <v>108</v>
      </c>
      <c r="E569" s="3" t="s">
        <v>3671</v>
      </c>
      <c r="F569" s="3" t="s">
        <v>3594</v>
      </c>
      <c r="G569" s="3" t="s">
        <v>3595</v>
      </c>
      <c r="H569" s="8" t="n">
        <v>2</v>
      </c>
      <c r="I569" s="8" t="s">
        <v>18</v>
      </c>
      <c r="J569" s="8" t="s">
        <v>28</v>
      </c>
      <c r="K569" s="8" t="s">
        <v>30</v>
      </c>
      <c r="L569" s="8" t="n">
        <v>1200</v>
      </c>
      <c r="M569" s="8" t="n">
        <v>2400</v>
      </c>
      <c r="N569" s="6" t="n">
        <f aca="false">L569*0.6*H569</f>
        <v>1440</v>
      </c>
      <c r="O569" s="6" t="n">
        <f aca="false">M569-N569</f>
        <v>960</v>
      </c>
      <c r="P569" s="7" t="n">
        <f aca="false">IF(M569=0,0,O569/M569)</f>
        <v>0.4</v>
      </c>
    </row>
    <row r="570" customFormat="false" ht="15" hidden="false" customHeight="false" outlineLevel="0" collapsed="false">
      <c r="A570" s="2" t="n">
        <v>1801</v>
      </c>
      <c r="B570" s="2" t="s">
        <v>1224</v>
      </c>
      <c r="C570" s="2" t="s">
        <v>2292</v>
      </c>
      <c r="D570" s="2" t="s">
        <v>34</v>
      </c>
      <c r="E570" s="2" t="s">
        <v>3750</v>
      </c>
      <c r="F570" s="2" t="s">
        <v>3628</v>
      </c>
      <c r="G570" s="2" t="s">
        <v>3595</v>
      </c>
      <c r="H570" s="5" t="n">
        <v>3</v>
      </c>
      <c r="I570" s="5" t="s">
        <v>18</v>
      </c>
      <c r="J570" s="5" t="s">
        <v>43</v>
      </c>
      <c r="K570" s="5" t="s">
        <v>67</v>
      </c>
      <c r="L570" s="5" t="n">
        <v>300</v>
      </c>
      <c r="M570" s="5" t="n">
        <v>900</v>
      </c>
      <c r="N570" s="6" t="n">
        <f aca="false">L570*0.6*H570</f>
        <v>540</v>
      </c>
      <c r="O570" s="6" t="n">
        <f aca="false">M570-N570</f>
        <v>360</v>
      </c>
      <c r="P570" s="7" t="n">
        <f aca="false">IF(M570=0,0,O570/M570)</f>
        <v>0.4</v>
      </c>
    </row>
    <row r="571" customFormat="false" ht="15" hidden="false" customHeight="false" outlineLevel="0" collapsed="false">
      <c r="A571" s="3" t="n">
        <v>1802</v>
      </c>
      <c r="B571" s="3" t="s">
        <v>1090</v>
      </c>
      <c r="C571" s="3" t="s">
        <v>1542</v>
      </c>
      <c r="D571" s="3" t="s">
        <v>49</v>
      </c>
      <c r="E571" s="3" t="s">
        <v>3725</v>
      </c>
      <c r="F571" s="3" t="s">
        <v>3628</v>
      </c>
      <c r="G571" s="3" t="s">
        <v>3595</v>
      </c>
      <c r="H571" s="8" t="n">
        <v>2</v>
      </c>
      <c r="I571" s="8" t="s">
        <v>18</v>
      </c>
      <c r="J571" s="8" t="s">
        <v>121</v>
      </c>
      <c r="K571" s="8" t="s">
        <v>317</v>
      </c>
      <c r="L571" s="8" t="n">
        <v>250</v>
      </c>
      <c r="M571" s="8" t="n">
        <v>500</v>
      </c>
      <c r="N571" s="6" t="n">
        <f aca="false">L571*0.6*H571</f>
        <v>300</v>
      </c>
      <c r="O571" s="6" t="n">
        <f aca="false">M571-N571</f>
        <v>200</v>
      </c>
      <c r="P571" s="7" t="n">
        <f aca="false">IF(M571=0,0,O571/M571)</f>
        <v>0.4</v>
      </c>
    </row>
    <row r="572" customFormat="false" ht="15" hidden="false" customHeight="false" outlineLevel="0" collapsed="false">
      <c r="A572" s="2" t="n">
        <v>1803</v>
      </c>
      <c r="B572" s="2" t="s">
        <v>2298</v>
      </c>
      <c r="C572" s="2" t="s">
        <v>2297</v>
      </c>
      <c r="D572" s="2" t="s">
        <v>108</v>
      </c>
      <c r="E572" s="2" t="s">
        <v>3822</v>
      </c>
      <c r="F572" s="2" t="s">
        <v>3603</v>
      </c>
      <c r="G572" s="2" t="s">
        <v>3604</v>
      </c>
      <c r="H572" s="5" t="n">
        <v>3</v>
      </c>
      <c r="I572" s="5" t="s">
        <v>51</v>
      </c>
      <c r="J572" s="5" t="s">
        <v>36</v>
      </c>
      <c r="K572" s="5" t="s">
        <v>170</v>
      </c>
      <c r="L572" s="5" t="n">
        <v>1200</v>
      </c>
      <c r="M572" s="5" t="n">
        <v>3600</v>
      </c>
      <c r="N572" s="6" t="n">
        <f aca="false">L572*0.6*H572</f>
        <v>2160</v>
      </c>
      <c r="O572" s="6" t="n">
        <f aca="false">M572-N572</f>
        <v>1440</v>
      </c>
      <c r="P572" s="7" t="n">
        <f aca="false">IF(M572=0,0,O572/M572)</f>
        <v>0.4</v>
      </c>
    </row>
    <row r="573" customFormat="false" ht="15" hidden="false" customHeight="false" outlineLevel="0" collapsed="false">
      <c r="A573" s="3" t="n">
        <v>1804</v>
      </c>
      <c r="B573" s="3" t="s">
        <v>2301</v>
      </c>
      <c r="C573" s="3" t="s">
        <v>2223</v>
      </c>
      <c r="D573" s="3" t="s">
        <v>108</v>
      </c>
      <c r="E573" s="3" t="s">
        <v>3880</v>
      </c>
      <c r="F573" s="3" t="s">
        <v>3606</v>
      </c>
      <c r="G573" s="3" t="s">
        <v>3600</v>
      </c>
      <c r="H573" s="8" t="n">
        <v>3</v>
      </c>
      <c r="I573" s="8" t="s">
        <v>51</v>
      </c>
      <c r="J573" s="8" t="s">
        <v>19</v>
      </c>
      <c r="K573" s="8" t="s">
        <v>73</v>
      </c>
      <c r="L573" s="8" t="n">
        <v>1200</v>
      </c>
      <c r="M573" s="8" t="n">
        <v>3600</v>
      </c>
      <c r="N573" s="6" t="n">
        <f aca="false">L573*0.6*H573</f>
        <v>2160</v>
      </c>
      <c r="O573" s="6" t="n">
        <f aca="false">M573-N573</f>
        <v>1440</v>
      </c>
      <c r="P573" s="7" t="n">
        <f aca="false">IF(M573=0,0,O573/M573)</f>
        <v>0.4</v>
      </c>
    </row>
    <row r="574" customFormat="false" ht="15" hidden="false" customHeight="false" outlineLevel="0" collapsed="false">
      <c r="A574" s="2" t="n">
        <v>1805</v>
      </c>
      <c r="B574" s="2" t="s">
        <v>210</v>
      </c>
      <c r="C574" s="2" t="s">
        <v>1832</v>
      </c>
      <c r="D574" s="2" t="s">
        <v>25</v>
      </c>
      <c r="E574" s="2" t="s">
        <v>3900</v>
      </c>
      <c r="F574" s="2" t="s">
        <v>3625</v>
      </c>
      <c r="G574" s="2" t="s">
        <v>3592</v>
      </c>
      <c r="H574" s="5" t="n">
        <v>3</v>
      </c>
      <c r="I574" s="5" t="s">
        <v>97</v>
      </c>
      <c r="J574" s="5" t="s">
        <v>78</v>
      </c>
      <c r="K574" s="5" t="s">
        <v>408</v>
      </c>
      <c r="L574" s="5" t="n">
        <v>800</v>
      </c>
      <c r="M574" s="5" t="n">
        <v>2400</v>
      </c>
      <c r="N574" s="6" t="n">
        <f aca="false">L574*0.6*H574</f>
        <v>1440</v>
      </c>
      <c r="O574" s="6" t="n">
        <f aca="false">M574-N574</f>
        <v>960</v>
      </c>
      <c r="P574" s="7" t="n">
        <f aca="false">IF(M574=0,0,O574/M574)</f>
        <v>0.4</v>
      </c>
    </row>
    <row r="575" customFormat="false" ht="15" hidden="false" customHeight="false" outlineLevel="0" collapsed="false">
      <c r="A575" s="3" t="n">
        <v>1806</v>
      </c>
      <c r="B575" s="3" t="s">
        <v>2308</v>
      </c>
      <c r="C575" s="3" t="s">
        <v>2307</v>
      </c>
      <c r="D575" s="3" t="s">
        <v>34</v>
      </c>
      <c r="E575" s="3" t="s">
        <v>3622</v>
      </c>
      <c r="F575" s="3" t="s">
        <v>3599</v>
      </c>
      <c r="G575" s="3" t="s">
        <v>3600</v>
      </c>
      <c r="H575" s="8" t="n">
        <v>3</v>
      </c>
      <c r="I575" s="8" t="s">
        <v>51</v>
      </c>
      <c r="J575" s="8" t="s">
        <v>28</v>
      </c>
      <c r="K575" s="8" t="s">
        <v>30</v>
      </c>
      <c r="L575" s="8" t="n">
        <v>300</v>
      </c>
      <c r="M575" s="8" t="n">
        <v>900</v>
      </c>
      <c r="N575" s="6" t="n">
        <f aca="false">L575*0.6*H575</f>
        <v>540</v>
      </c>
      <c r="O575" s="6" t="n">
        <f aca="false">M575-N575</f>
        <v>360</v>
      </c>
      <c r="P575" s="7" t="n">
        <f aca="false">IF(M575=0,0,O575/M575)</f>
        <v>0.4</v>
      </c>
    </row>
    <row r="576" customFormat="false" ht="15" hidden="false" customHeight="false" outlineLevel="0" collapsed="false">
      <c r="A576" s="2" t="n">
        <v>1807</v>
      </c>
      <c r="B576" s="2" t="s">
        <v>2311</v>
      </c>
      <c r="C576" s="2" t="s">
        <v>1139</v>
      </c>
      <c r="D576" s="2" t="s">
        <v>49</v>
      </c>
      <c r="E576" s="2" t="s">
        <v>3891</v>
      </c>
      <c r="F576" s="2" t="s">
        <v>3606</v>
      </c>
      <c r="G576" s="2" t="s">
        <v>3600</v>
      </c>
      <c r="H576" s="5" t="n">
        <v>3</v>
      </c>
      <c r="I576" s="5" t="s">
        <v>27</v>
      </c>
      <c r="J576" s="5" t="s">
        <v>43</v>
      </c>
      <c r="K576" s="5" t="s">
        <v>45</v>
      </c>
      <c r="L576" s="5" t="n">
        <v>250</v>
      </c>
      <c r="M576" s="5" t="n">
        <v>750</v>
      </c>
      <c r="N576" s="6" t="n">
        <f aca="false">L576*0.6*H576</f>
        <v>450</v>
      </c>
      <c r="O576" s="6" t="n">
        <f aca="false">M576-N576</f>
        <v>300</v>
      </c>
      <c r="P576" s="7" t="n">
        <f aca="false">IF(M576=0,0,O576/M576)</f>
        <v>0.4</v>
      </c>
    </row>
    <row r="577" customFormat="false" ht="15" hidden="false" customHeight="false" outlineLevel="0" collapsed="false">
      <c r="A577" s="3" t="n">
        <v>1808</v>
      </c>
      <c r="B577" s="3" t="s">
        <v>57</v>
      </c>
      <c r="C577" s="3" t="s">
        <v>2314</v>
      </c>
      <c r="D577" s="3" t="s">
        <v>16</v>
      </c>
      <c r="E577" s="3" t="s">
        <v>3711</v>
      </c>
      <c r="F577" s="3" t="s">
        <v>3610</v>
      </c>
      <c r="G577" s="3" t="s">
        <v>3600</v>
      </c>
      <c r="H577" s="8" t="n">
        <v>3</v>
      </c>
      <c r="I577" s="8" t="s">
        <v>51</v>
      </c>
      <c r="J577" s="8" t="s">
        <v>59</v>
      </c>
      <c r="K577" s="8" t="s">
        <v>99</v>
      </c>
      <c r="L577" s="8" t="n">
        <v>250</v>
      </c>
      <c r="M577" s="8" t="n">
        <v>750</v>
      </c>
      <c r="N577" s="6" t="n">
        <f aca="false">L577*0.6*H577</f>
        <v>450</v>
      </c>
      <c r="O577" s="6" t="n">
        <f aca="false">M577-N577</f>
        <v>300</v>
      </c>
      <c r="P577" s="7" t="n">
        <f aca="false">IF(M577=0,0,O577/M577)</f>
        <v>0.4</v>
      </c>
    </row>
    <row r="578" customFormat="false" ht="15" hidden="false" customHeight="false" outlineLevel="0" collapsed="false">
      <c r="A578" s="2" t="n">
        <v>1809</v>
      </c>
      <c r="B578" s="2" t="s">
        <v>2232</v>
      </c>
      <c r="C578" s="2" t="s">
        <v>566</v>
      </c>
      <c r="D578" s="2" t="s">
        <v>34</v>
      </c>
      <c r="E578" s="2" t="s">
        <v>3632</v>
      </c>
      <c r="F578" s="2" t="s">
        <v>1756</v>
      </c>
      <c r="G578" s="2" t="s">
        <v>3595</v>
      </c>
      <c r="H578" s="5" t="n">
        <v>2</v>
      </c>
      <c r="I578" s="5" t="s">
        <v>18</v>
      </c>
      <c r="J578" s="5" t="s">
        <v>121</v>
      </c>
      <c r="K578" s="5" t="s">
        <v>123</v>
      </c>
      <c r="L578" s="5" t="n">
        <v>300</v>
      </c>
      <c r="M578" s="5" t="n">
        <v>600</v>
      </c>
      <c r="N578" s="6" t="n">
        <f aca="false">L578*0.6*H578</f>
        <v>360</v>
      </c>
      <c r="O578" s="6" t="n">
        <f aca="false">M578-N578</f>
        <v>240</v>
      </c>
      <c r="P578" s="7" t="n">
        <f aca="false">IF(M578=0,0,O578/M578)</f>
        <v>0.4</v>
      </c>
    </row>
    <row r="579" customFormat="false" ht="15" hidden="false" customHeight="false" outlineLevel="0" collapsed="false">
      <c r="A579" s="3" t="n">
        <v>1810</v>
      </c>
      <c r="B579" s="3" t="s">
        <v>192</v>
      </c>
      <c r="C579" s="3" t="s">
        <v>1856</v>
      </c>
      <c r="D579" s="3" t="s">
        <v>108</v>
      </c>
      <c r="E579" s="3" t="s">
        <v>3643</v>
      </c>
      <c r="F579" s="3" t="s">
        <v>3591</v>
      </c>
      <c r="G579" s="3" t="s">
        <v>3592</v>
      </c>
      <c r="H579" s="8" t="n">
        <v>1</v>
      </c>
      <c r="I579" s="8" t="s">
        <v>51</v>
      </c>
      <c r="J579" s="8" t="s">
        <v>36</v>
      </c>
      <c r="K579" s="8" t="s">
        <v>170</v>
      </c>
      <c r="L579" s="8" t="n">
        <v>1200</v>
      </c>
      <c r="M579" s="8" t="n">
        <v>1200</v>
      </c>
      <c r="N579" s="6" t="n">
        <f aca="false">L579*0.6*H579</f>
        <v>720</v>
      </c>
      <c r="O579" s="6" t="n">
        <f aca="false">M579-N579</f>
        <v>480</v>
      </c>
      <c r="P579" s="7" t="n">
        <f aca="false">IF(M579=0,0,O579/M579)</f>
        <v>0.4</v>
      </c>
    </row>
    <row r="580" customFormat="false" ht="15" hidden="false" customHeight="false" outlineLevel="0" collapsed="false">
      <c r="A580" s="2" t="n">
        <v>1811</v>
      </c>
      <c r="B580" s="2" t="s">
        <v>230</v>
      </c>
      <c r="C580" s="2" t="s">
        <v>2321</v>
      </c>
      <c r="D580" s="2" t="s">
        <v>16</v>
      </c>
      <c r="E580" s="2" t="s">
        <v>3768</v>
      </c>
      <c r="F580" s="2" t="s">
        <v>3628</v>
      </c>
      <c r="G580" s="2" t="s">
        <v>3595</v>
      </c>
      <c r="H580" s="5" t="n">
        <v>2</v>
      </c>
      <c r="I580" s="5" t="s">
        <v>51</v>
      </c>
      <c r="J580" s="5" t="s">
        <v>52</v>
      </c>
      <c r="K580" s="5" t="s">
        <v>182</v>
      </c>
      <c r="L580" s="5" t="n">
        <v>250</v>
      </c>
      <c r="M580" s="5" t="n">
        <v>500</v>
      </c>
      <c r="N580" s="6" t="n">
        <f aca="false">L580*0.6*H580</f>
        <v>300</v>
      </c>
      <c r="O580" s="6" t="n">
        <f aca="false">M580-N580</f>
        <v>200</v>
      </c>
      <c r="P580" s="7" t="n">
        <f aca="false">IF(M580=0,0,O580/M580)</f>
        <v>0.4</v>
      </c>
    </row>
    <row r="581" customFormat="false" ht="15" hidden="false" customHeight="false" outlineLevel="0" collapsed="false">
      <c r="A581" s="3" t="n">
        <v>1812</v>
      </c>
      <c r="B581" s="3" t="s">
        <v>2324</v>
      </c>
      <c r="C581" s="3" t="s">
        <v>1513</v>
      </c>
      <c r="D581" s="3" t="s">
        <v>108</v>
      </c>
      <c r="E581" s="3" t="s">
        <v>3788</v>
      </c>
      <c r="F581" s="3" t="s">
        <v>3591</v>
      </c>
      <c r="G581" s="3" t="s">
        <v>3592</v>
      </c>
      <c r="H581" s="8" t="n">
        <v>1</v>
      </c>
      <c r="I581" s="8" t="s">
        <v>18</v>
      </c>
      <c r="J581" s="8" t="s">
        <v>78</v>
      </c>
      <c r="K581" s="8" t="s">
        <v>86</v>
      </c>
      <c r="L581" s="8" t="n">
        <v>1200</v>
      </c>
      <c r="M581" s="8" t="n">
        <v>1200</v>
      </c>
      <c r="N581" s="6" t="n">
        <f aca="false">L581*0.6*H581</f>
        <v>720</v>
      </c>
      <c r="O581" s="6" t="n">
        <f aca="false">M581-N581</f>
        <v>480</v>
      </c>
      <c r="P581" s="7" t="n">
        <f aca="false">IF(M581=0,0,O581/M581)</f>
        <v>0.4</v>
      </c>
    </row>
    <row r="582" customFormat="false" ht="15" hidden="false" customHeight="false" outlineLevel="0" collapsed="false">
      <c r="A582" s="2" t="n">
        <v>1813</v>
      </c>
      <c r="B582" s="2" t="s">
        <v>2328</v>
      </c>
      <c r="C582" s="2" t="s">
        <v>2327</v>
      </c>
      <c r="D582" s="2" t="s">
        <v>34</v>
      </c>
      <c r="E582" s="2" t="s">
        <v>3901</v>
      </c>
      <c r="F582" s="2" t="s">
        <v>3608</v>
      </c>
      <c r="G582" s="2" t="s">
        <v>3604</v>
      </c>
      <c r="H582" s="5" t="n">
        <v>3</v>
      </c>
      <c r="I582" s="5" t="s">
        <v>18</v>
      </c>
      <c r="J582" s="5" t="s">
        <v>52</v>
      </c>
      <c r="K582" s="5" t="s">
        <v>54</v>
      </c>
      <c r="L582" s="5" t="n">
        <v>300</v>
      </c>
      <c r="M582" s="5" t="n">
        <v>900</v>
      </c>
      <c r="N582" s="6" t="n">
        <f aca="false">L582*0.6*H582</f>
        <v>540</v>
      </c>
      <c r="O582" s="6" t="n">
        <f aca="false">M582-N582</f>
        <v>360</v>
      </c>
      <c r="P582" s="7" t="n">
        <f aca="false">IF(M582=0,0,O582/M582)</f>
        <v>0.4</v>
      </c>
    </row>
    <row r="583" customFormat="false" ht="15" hidden="false" customHeight="false" outlineLevel="0" collapsed="false">
      <c r="A583" s="3" t="n">
        <v>1814</v>
      </c>
      <c r="B583" s="3" t="s">
        <v>265</v>
      </c>
      <c r="C583" s="3" t="s">
        <v>47</v>
      </c>
      <c r="D583" s="3" t="s">
        <v>49</v>
      </c>
      <c r="E583" s="3" t="s">
        <v>3746</v>
      </c>
      <c r="F583" s="3" t="s">
        <v>2379</v>
      </c>
      <c r="G583" s="3" t="s">
        <v>3592</v>
      </c>
      <c r="H583" s="8" t="n">
        <v>3</v>
      </c>
      <c r="I583" s="8" t="s">
        <v>51</v>
      </c>
      <c r="J583" s="8" t="s">
        <v>28</v>
      </c>
      <c r="K583" s="8" t="s">
        <v>30</v>
      </c>
      <c r="L583" s="8" t="n">
        <v>250</v>
      </c>
      <c r="M583" s="8" t="n">
        <v>750</v>
      </c>
      <c r="N583" s="6" t="n">
        <f aca="false">L583*0.6*H583</f>
        <v>450</v>
      </c>
      <c r="O583" s="6" t="n">
        <f aca="false">M583-N583</f>
        <v>300</v>
      </c>
      <c r="P583" s="7" t="n">
        <f aca="false">IF(M583=0,0,O583/M583)</f>
        <v>0.4</v>
      </c>
    </row>
    <row r="584" customFormat="false" ht="15" hidden="false" customHeight="false" outlineLevel="0" collapsed="false">
      <c r="A584" s="2" t="n">
        <v>1815</v>
      </c>
      <c r="B584" s="2" t="s">
        <v>2335</v>
      </c>
      <c r="C584" s="2" t="s">
        <v>2334</v>
      </c>
      <c r="D584" s="2" t="s">
        <v>16</v>
      </c>
      <c r="E584" s="2" t="s">
        <v>3811</v>
      </c>
      <c r="F584" s="2" t="s">
        <v>3594</v>
      </c>
      <c r="G584" s="2" t="s">
        <v>3595</v>
      </c>
      <c r="H584" s="5" t="n">
        <v>3</v>
      </c>
      <c r="I584" s="5" t="s">
        <v>51</v>
      </c>
      <c r="J584" s="5" t="s">
        <v>28</v>
      </c>
      <c r="K584" s="5" t="s">
        <v>30</v>
      </c>
      <c r="L584" s="5" t="n">
        <v>250</v>
      </c>
      <c r="M584" s="5" t="n">
        <v>750</v>
      </c>
      <c r="N584" s="6" t="n">
        <f aca="false">L584*0.6*H584</f>
        <v>450</v>
      </c>
      <c r="O584" s="6" t="n">
        <f aca="false">M584-N584</f>
        <v>300</v>
      </c>
      <c r="P584" s="7" t="n">
        <f aca="false">IF(M584=0,0,O584/M584)</f>
        <v>0.4</v>
      </c>
    </row>
    <row r="585" customFormat="false" ht="15" hidden="false" customHeight="false" outlineLevel="0" collapsed="false">
      <c r="A585" s="3" t="n">
        <v>1816</v>
      </c>
      <c r="B585" s="3" t="s">
        <v>2339</v>
      </c>
      <c r="C585" s="3" t="s">
        <v>2338</v>
      </c>
      <c r="D585" s="3" t="s">
        <v>16</v>
      </c>
      <c r="E585" s="3" t="s">
        <v>3818</v>
      </c>
      <c r="F585" s="3" t="s">
        <v>3625</v>
      </c>
      <c r="G585" s="3" t="s">
        <v>3592</v>
      </c>
      <c r="H585" s="8" t="n">
        <v>1</v>
      </c>
      <c r="I585" s="8" t="s">
        <v>51</v>
      </c>
      <c r="J585" s="8" t="s">
        <v>78</v>
      </c>
      <c r="K585" s="8" t="s">
        <v>408</v>
      </c>
      <c r="L585" s="8" t="n">
        <v>250</v>
      </c>
      <c r="M585" s="8" t="n">
        <v>250</v>
      </c>
      <c r="N585" s="6" t="n">
        <f aca="false">L585*0.6*H585</f>
        <v>150</v>
      </c>
      <c r="O585" s="6" t="n">
        <f aca="false">M585-N585</f>
        <v>100</v>
      </c>
      <c r="P585" s="7" t="n">
        <f aca="false">IF(M585=0,0,O585/M585)</f>
        <v>0.4</v>
      </c>
    </row>
    <row r="586" customFormat="false" ht="15" hidden="false" customHeight="false" outlineLevel="0" collapsed="false">
      <c r="A586" s="2" t="n">
        <v>1817</v>
      </c>
      <c r="B586" s="2" t="s">
        <v>2343</v>
      </c>
      <c r="C586" s="2" t="s">
        <v>2342</v>
      </c>
      <c r="D586" s="2" t="s">
        <v>108</v>
      </c>
      <c r="E586" s="2" t="s">
        <v>3705</v>
      </c>
      <c r="F586" s="2" t="s">
        <v>3594</v>
      </c>
      <c r="G586" s="2" t="s">
        <v>3595</v>
      </c>
      <c r="H586" s="5" t="n">
        <v>1</v>
      </c>
      <c r="I586" s="5" t="s">
        <v>97</v>
      </c>
      <c r="J586" s="5" t="s">
        <v>121</v>
      </c>
      <c r="K586" s="5" t="s">
        <v>317</v>
      </c>
      <c r="L586" s="5" t="n">
        <v>1200</v>
      </c>
      <c r="M586" s="5" t="n">
        <v>1200</v>
      </c>
      <c r="N586" s="6" t="n">
        <f aca="false">L586*0.6*H586</f>
        <v>720</v>
      </c>
      <c r="O586" s="6" t="n">
        <f aca="false">M586-N586</f>
        <v>480</v>
      </c>
      <c r="P586" s="7" t="n">
        <f aca="false">IF(M586=0,0,O586/M586)</f>
        <v>0.4</v>
      </c>
    </row>
    <row r="587" customFormat="false" ht="15" hidden="false" customHeight="false" outlineLevel="0" collapsed="false">
      <c r="A587" s="3" t="n">
        <v>1818</v>
      </c>
      <c r="B587" s="3" t="s">
        <v>1823</v>
      </c>
      <c r="C587" s="3" t="s">
        <v>2346</v>
      </c>
      <c r="D587" s="3" t="s">
        <v>25</v>
      </c>
      <c r="E587" s="3" t="s">
        <v>3902</v>
      </c>
      <c r="F587" s="3" t="s">
        <v>2379</v>
      </c>
      <c r="G587" s="3" t="s">
        <v>3592</v>
      </c>
      <c r="H587" s="8" t="n">
        <v>1</v>
      </c>
      <c r="I587" s="8" t="s">
        <v>18</v>
      </c>
      <c r="J587" s="8" t="s">
        <v>59</v>
      </c>
      <c r="K587" s="8" t="s">
        <v>292</v>
      </c>
      <c r="L587" s="8" t="n">
        <v>800</v>
      </c>
      <c r="M587" s="8" t="n">
        <v>800</v>
      </c>
      <c r="N587" s="6" t="n">
        <f aca="false">L587*0.6*H587</f>
        <v>480</v>
      </c>
      <c r="O587" s="6" t="n">
        <f aca="false">M587-N587</f>
        <v>320</v>
      </c>
      <c r="P587" s="7" t="n">
        <f aca="false">IF(M587=0,0,O587/M587)</f>
        <v>0.4</v>
      </c>
    </row>
    <row r="588" customFormat="false" ht="15" hidden="false" customHeight="false" outlineLevel="0" collapsed="false">
      <c r="A588" s="2" t="n">
        <v>1819</v>
      </c>
      <c r="B588" s="2" t="s">
        <v>24</v>
      </c>
      <c r="C588" s="2" t="s">
        <v>1666</v>
      </c>
      <c r="D588" s="2" t="s">
        <v>147</v>
      </c>
      <c r="E588" s="2" t="s">
        <v>3902</v>
      </c>
      <c r="F588" s="2" t="s">
        <v>2379</v>
      </c>
      <c r="G588" s="2" t="s">
        <v>3592</v>
      </c>
      <c r="H588" s="5" t="n">
        <v>3</v>
      </c>
      <c r="I588" s="5" t="s">
        <v>97</v>
      </c>
      <c r="J588" s="5" t="s">
        <v>52</v>
      </c>
      <c r="K588" s="5" t="s">
        <v>54</v>
      </c>
      <c r="L588" s="5" t="n">
        <v>600</v>
      </c>
      <c r="M588" s="5" t="n">
        <v>1800</v>
      </c>
      <c r="N588" s="6" t="n">
        <f aca="false">L588*0.6*H588</f>
        <v>1080</v>
      </c>
      <c r="O588" s="6" t="n">
        <f aca="false">M588-N588</f>
        <v>720</v>
      </c>
      <c r="P588" s="7" t="n">
        <f aca="false">IF(M588=0,0,O588/M588)</f>
        <v>0.4</v>
      </c>
    </row>
    <row r="589" customFormat="false" ht="15" hidden="false" customHeight="false" outlineLevel="0" collapsed="false">
      <c r="A589" s="3" t="n">
        <v>1820</v>
      </c>
      <c r="B589" s="3" t="s">
        <v>136</v>
      </c>
      <c r="C589" s="3" t="s">
        <v>2352</v>
      </c>
      <c r="D589" s="3" t="s">
        <v>108</v>
      </c>
      <c r="E589" s="3" t="s">
        <v>3752</v>
      </c>
      <c r="F589" s="3" t="s">
        <v>3606</v>
      </c>
      <c r="G589" s="3" t="s">
        <v>3600</v>
      </c>
      <c r="H589" s="8" t="n">
        <v>3</v>
      </c>
      <c r="I589" s="8" t="s">
        <v>18</v>
      </c>
      <c r="J589" s="8" t="s">
        <v>43</v>
      </c>
      <c r="K589" s="8" t="s">
        <v>111</v>
      </c>
      <c r="L589" s="8" t="n">
        <v>1200</v>
      </c>
      <c r="M589" s="8" t="n">
        <v>3600</v>
      </c>
      <c r="N589" s="6" t="n">
        <f aca="false">L589*0.6*H589</f>
        <v>2160</v>
      </c>
      <c r="O589" s="6" t="n">
        <f aca="false">M589-N589</f>
        <v>1440</v>
      </c>
      <c r="P589" s="7" t="n">
        <f aca="false">IF(M589=0,0,O589/M589)</f>
        <v>0.4</v>
      </c>
    </row>
    <row r="590" customFormat="false" ht="15" hidden="false" customHeight="false" outlineLevel="0" collapsed="false">
      <c r="A590" s="2" t="n">
        <v>1821</v>
      </c>
      <c r="B590" s="2" t="s">
        <v>2118</v>
      </c>
      <c r="C590" s="2" t="s">
        <v>279</v>
      </c>
      <c r="D590" s="2" t="s">
        <v>16</v>
      </c>
      <c r="E590" s="2" t="s">
        <v>3786</v>
      </c>
      <c r="F590" s="2" t="s">
        <v>3591</v>
      </c>
      <c r="G590" s="2" t="s">
        <v>3592</v>
      </c>
      <c r="H590" s="5" t="n">
        <v>3</v>
      </c>
      <c r="I590" s="5" t="s">
        <v>51</v>
      </c>
      <c r="J590" s="5" t="s">
        <v>59</v>
      </c>
      <c r="K590" s="5" t="s">
        <v>99</v>
      </c>
      <c r="L590" s="5" t="n">
        <v>250</v>
      </c>
      <c r="M590" s="5" t="n">
        <v>750</v>
      </c>
      <c r="N590" s="6" t="n">
        <f aca="false">L590*0.6*H590</f>
        <v>450</v>
      </c>
      <c r="O590" s="6" t="n">
        <f aca="false">M590-N590</f>
        <v>300</v>
      </c>
      <c r="P590" s="7" t="n">
        <f aca="false">IF(M590=0,0,O590/M590)</f>
        <v>0.4</v>
      </c>
    </row>
    <row r="591" customFormat="false" ht="15" hidden="false" customHeight="false" outlineLevel="0" collapsed="false">
      <c r="A591" s="3" t="n">
        <v>1822</v>
      </c>
      <c r="B591" s="3" t="s">
        <v>1708</v>
      </c>
      <c r="C591" s="3" t="s">
        <v>934</v>
      </c>
      <c r="D591" s="3" t="s">
        <v>108</v>
      </c>
      <c r="E591" s="3" t="s">
        <v>3629</v>
      </c>
      <c r="F591" s="3" t="s">
        <v>1756</v>
      </c>
      <c r="G591" s="3" t="s">
        <v>3595</v>
      </c>
      <c r="H591" s="8" t="n">
        <v>2</v>
      </c>
      <c r="I591" s="8" t="s">
        <v>18</v>
      </c>
      <c r="J591" s="8" t="s">
        <v>28</v>
      </c>
      <c r="K591" s="8" t="s">
        <v>30</v>
      </c>
      <c r="L591" s="8" t="n">
        <v>1200</v>
      </c>
      <c r="M591" s="8" t="n">
        <v>2400</v>
      </c>
      <c r="N591" s="6" t="n">
        <f aca="false">L591*0.6*H591</f>
        <v>1440</v>
      </c>
      <c r="O591" s="6" t="n">
        <f aca="false">M591-N591</f>
        <v>960</v>
      </c>
      <c r="P591" s="7" t="n">
        <f aca="false">IF(M591=0,0,O591/M591)</f>
        <v>0.4</v>
      </c>
    </row>
    <row r="592" customFormat="false" ht="15" hidden="false" customHeight="false" outlineLevel="0" collapsed="false">
      <c r="A592" s="2" t="n">
        <v>1823</v>
      </c>
      <c r="B592" s="2" t="s">
        <v>2360</v>
      </c>
      <c r="C592" s="2" t="s">
        <v>2359</v>
      </c>
      <c r="D592" s="2" t="s">
        <v>108</v>
      </c>
      <c r="E592" s="2" t="s">
        <v>3704</v>
      </c>
      <c r="F592" s="2" t="s">
        <v>2379</v>
      </c>
      <c r="G592" s="2" t="s">
        <v>3592</v>
      </c>
      <c r="H592" s="5" t="n">
        <v>1</v>
      </c>
      <c r="I592" s="5" t="s">
        <v>18</v>
      </c>
      <c r="J592" s="5" t="s">
        <v>121</v>
      </c>
      <c r="K592" s="5" t="s">
        <v>317</v>
      </c>
      <c r="L592" s="5" t="n">
        <v>1200</v>
      </c>
      <c r="M592" s="5" t="n">
        <v>1200</v>
      </c>
      <c r="N592" s="6" t="n">
        <f aca="false">L592*0.6*H592</f>
        <v>720</v>
      </c>
      <c r="O592" s="6" t="n">
        <f aca="false">M592-N592</f>
        <v>480</v>
      </c>
      <c r="P592" s="7" t="n">
        <f aca="false">IF(M592=0,0,O592/M592)</f>
        <v>0.4</v>
      </c>
    </row>
    <row r="593" customFormat="false" ht="15" hidden="false" customHeight="false" outlineLevel="0" collapsed="false">
      <c r="A593" s="3" t="n">
        <v>1824</v>
      </c>
      <c r="B593" s="3" t="s">
        <v>1699</v>
      </c>
      <c r="C593" s="3" t="s">
        <v>2363</v>
      </c>
      <c r="D593" s="3" t="s">
        <v>108</v>
      </c>
      <c r="E593" s="3" t="s">
        <v>3664</v>
      </c>
      <c r="F593" s="3" t="s">
        <v>3628</v>
      </c>
      <c r="G593" s="3" t="s">
        <v>3595</v>
      </c>
      <c r="H593" s="8" t="n">
        <v>2</v>
      </c>
      <c r="I593" s="8" t="s">
        <v>18</v>
      </c>
      <c r="J593" s="8" t="s">
        <v>19</v>
      </c>
      <c r="K593" s="8" t="s">
        <v>73</v>
      </c>
      <c r="L593" s="8" t="n">
        <v>1200</v>
      </c>
      <c r="M593" s="8" t="n">
        <v>2400</v>
      </c>
      <c r="N593" s="6" t="n">
        <f aca="false">L593*0.6*H593</f>
        <v>1440</v>
      </c>
      <c r="O593" s="6" t="n">
        <f aca="false">M593-N593</f>
        <v>960</v>
      </c>
      <c r="P593" s="7" t="n">
        <f aca="false">IF(M593=0,0,O593/M593)</f>
        <v>0.4</v>
      </c>
    </row>
    <row r="594" customFormat="false" ht="15" hidden="false" customHeight="false" outlineLevel="0" collapsed="false">
      <c r="A594" s="2" t="n">
        <v>1825</v>
      </c>
      <c r="B594" s="2" t="s">
        <v>2366</v>
      </c>
      <c r="C594" s="2" t="s">
        <v>1623</v>
      </c>
      <c r="D594" s="2" t="s">
        <v>49</v>
      </c>
      <c r="E594" s="2" t="s">
        <v>3903</v>
      </c>
      <c r="F594" s="2" t="s">
        <v>3606</v>
      </c>
      <c r="G594" s="2" t="s">
        <v>3600</v>
      </c>
      <c r="H594" s="5" t="n">
        <v>2</v>
      </c>
      <c r="I594" s="5" t="s">
        <v>97</v>
      </c>
      <c r="J594" s="5" t="s">
        <v>36</v>
      </c>
      <c r="K594" s="5" t="s">
        <v>192</v>
      </c>
      <c r="L594" s="5" t="n">
        <v>250</v>
      </c>
      <c r="M594" s="5" t="n">
        <v>500</v>
      </c>
      <c r="N594" s="6" t="n">
        <f aca="false">L594*0.6*H594</f>
        <v>300</v>
      </c>
      <c r="O594" s="6" t="n">
        <f aca="false">M594-N594</f>
        <v>200</v>
      </c>
      <c r="P594" s="7" t="n">
        <f aca="false">IF(M594=0,0,O594/M594)</f>
        <v>0.4</v>
      </c>
    </row>
    <row r="595" customFormat="false" ht="15" hidden="false" customHeight="false" outlineLevel="0" collapsed="false">
      <c r="A595" s="3" t="n">
        <v>1826</v>
      </c>
      <c r="B595" s="3" t="s">
        <v>2371</v>
      </c>
      <c r="C595" s="3" t="s">
        <v>2370</v>
      </c>
      <c r="D595" s="3" t="s">
        <v>108</v>
      </c>
      <c r="E595" s="3" t="s">
        <v>3720</v>
      </c>
      <c r="F595" s="3" t="s">
        <v>3625</v>
      </c>
      <c r="G595" s="3" t="s">
        <v>3592</v>
      </c>
      <c r="H595" s="8" t="n">
        <v>2</v>
      </c>
      <c r="I595" s="8" t="s">
        <v>97</v>
      </c>
      <c r="J595" s="8" t="s">
        <v>19</v>
      </c>
      <c r="K595" s="8" t="s">
        <v>176</v>
      </c>
      <c r="L595" s="8" t="n">
        <v>1200</v>
      </c>
      <c r="M595" s="8" t="n">
        <v>2400</v>
      </c>
      <c r="N595" s="6" t="n">
        <f aca="false">L595*0.6*H595</f>
        <v>1440</v>
      </c>
      <c r="O595" s="6" t="n">
        <f aca="false">M595-N595</f>
        <v>960</v>
      </c>
      <c r="P595" s="7" t="n">
        <f aca="false">IF(M595=0,0,O595/M595)</f>
        <v>0.4</v>
      </c>
    </row>
    <row r="596" customFormat="false" ht="15" hidden="false" customHeight="false" outlineLevel="0" collapsed="false">
      <c r="A596" s="2" t="n">
        <v>1827</v>
      </c>
      <c r="B596" s="2" t="s">
        <v>2375</v>
      </c>
      <c r="C596" s="2" t="s">
        <v>2374</v>
      </c>
      <c r="D596" s="2" t="s">
        <v>34</v>
      </c>
      <c r="E596" s="2" t="s">
        <v>3843</v>
      </c>
      <c r="F596" s="2" t="s">
        <v>3603</v>
      </c>
      <c r="G596" s="2" t="s">
        <v>3604</v>
      </c>
      <c r="H596" s="5" t="n">
        <v>2</v>
      </c>
      <c r="I596" s="5" t="s">
        <v>18</v>
      </c>
      <c r="J596" s="5" t="s">
        <v>78</v>
      </c>
      <c r="K596" s="5" t="s">
        <v>408</v>
      </c>
      <c r="L596" s="5" t="n">
        <v>300</v>
      </c>
      <c r="M596" s="5" t="n">
        <v>600</v>
      </c>
      <c r="N596" s="6" t="n">
        <f aca="false">L596*0.6*H596</f>
        <v>360</v>
      </c>
      <c r="O596" s="6" t="n">
        <f aca="false">M596-N596</f>
        <v>240</v>
      </c>
      <c r="P596" s="7" t="n">
        <f aca="false">IF(M596=0,0,O596/M596)</f>
        <v>0.4</v>
      </c>
    </row>
    <row r="597" customFormat="false" ht="15" hidden="false" customHeight="false" outlineLevel="0" collapsed="false">
      <c r="A597" s="3" t="n">
        <v>1828</v>
      </c>
      <c r="B597" s="3" t="s">
        <v>2379</v>
      </c>
      <c r="C597" s="3" t="s">
        <v>2378</v>
      </c>
      <c r="D597" s="3" t="s">
        <v>108</v>
      </c>
      <c r="E597" s="3" t="s">
        <v>3904</v>
      </c>
      <c r="F597" s="3" t="s">
        <v>3599</v>
      </c>
      <c r="G597" s="3" t="s">
        <v>3600</v>
      </c>
      <c r="H597" s="8" t="n">
        <v>3</v>
      </c>
      <c r="I597" s="8" t="s">
        <v>97</v>
      </c>
      <c r="J597" s="8" t="s">
        <v>43</v>
      </c>
      <c r="K597" s="8" t="s">
        <v>45</v>
      </c>
      <c r="L597" s="8" t="n">
        <v>1200</v>
      </c>
      <c r="M597" s="8" t="n">
        <v>3600</v>
      </c>
      <c r="N597" s="6" t="n">
        <f aca="false">L597*0.6*H597</f>
        <v>2160</v>
      </c>
      <c r="O597" s="6" t="n">
        <f aca="false">M597-N597</f>
        <v>1440</v>
      </c>
      <c r="P597" s="7" t="n">
        <f aca="false">IF(M597=0,0,O597/M597)</f>
        <v>0.4</v>
      </c>
    </row>
    <row r="598" customFormat="false" ht="15" hidden="false" customHeight="false" outlineLevel="0" collapsed="false">
      <c r="A598" s="2" t="n">
        <v>1829</v>
      </c>
      <c r="B598" s="2" t="s">
        <v>305</v>
      </c>
      <c r="C598" s="2" t="s">
        <v>2327</v>
      </c>
      <c r="D598" s="2" t="s">
        <v>34</v>
      </c>
      <c r="E598" s="2" t="s">
        <v>3819</v>
      </c>
      <c r="F598" s="2" t="s">
        <v>1756</v>
      </c>
      <c r="G598" s="2" t="s">
        <v>3595</v>
      </c>
      <c r="H598" s="5" t="n">
        <v>1</v>
      </c>
      <c r="I598" s="5" t="s">
        <v>27</v>
      </c>
      <c r="J598" s="5" t="s">
        <v>36</v>
      </c>
      <c r="K598" s="5" t="s">
        <v>170</v>
      </c>
      <c r="L598" s="5" t="n">
        <v>300</v>
      </c>
      <c r="M598" s="5" t="n">
        <v>300</v>
      </c>
      <c r="N598" s="6" t="n">
        <f aca="false">L598*0.6*H598</f>
        <v>180</v>
      </c>
      <c r="O598" s="6" t="n">
        <f aca="false">M598-N598</f>
        <v>120</v>
      </c>
      <c r="P598" s="7" t="n">
        <f aca="false">IF(M598=0,0,O598/M598)</f>
        <v>0.4</v>
      </c>
    </row>
    <row r="599" customFormat="false" ht="15" hidden="false" customHeight="false" outlineLevel="0" collapsed="false">
      <c r="A599" s="3" t="n">
        <v>1830</v>
      </c>
      <c r="B599" s="3" t="s">
        <v>789</v>
      </c>
      <c r="C599" s="3" t="s">
        <v>2385</v>
      </c>
      <c r="D599" s="3" t="s">
        <v>34</v>
      </c>
      <c r="E599" s="3" t="s">
        <v>3738</v>
      </c>
      <c r="F599" s="3" t="s">
        <v>1756</v>
      </c>
      <c r="G599" s="3" t="s">
        <v>3595</v>
      </c>
      <c r="H599" s="8" t="n">
        <v>1</v>
      </c>
      <c r="I599" s="8" t="s">
        <v>27</v>
      </c>
      <c r="J599" s="8" t="s">
        <v>36</v>
      </c>
      <c r="K599" s="8" t="s">
        <v>192</v>
      </c>
      <c r="L599" s="8" t="n">
        <v>300</v>
      </c>
      <c r="M599" s="8" t="n">
        <v>300</v>
      </c>
      <c r="N599" s="6" t="n">
        <f aca="false">L599*0.6*H599</f>
        <v>180</v>
      </c>
      <c r="O599" s="6" t="n">
        <f aca="false">M599-N599</f>
        <v>120</v>
      </c>
      <c r="P599" s="7" t="n">
        <f aca="false">IF(M599=0,0,O599/M599)</f>
        <v>0.4</v>
      </c>
    </row>
    <row r="600" customFormat="false" ht="15" hidden="false" customHeight="false" outlineLevel="0" collapsed="false">
      <c r="A600" s="2" t="n">
        <v>1831</v>
      </c>
      <c r="B600" s="2" t="s">
        <v>357</v>
      </c>
      <c r="C600" s="2" t="s">
        <v>2388</v>
      </c>
      <c r="D600" s="2" t="s">
        <v>16</v>
      </c>
      <c r="E600" s="2" t="s">
        <v>3873</v>
      </c>
      <c r="F600" s="2" t="s">
        <v>3594</v>
      </c>
      <c r="G600" s="2" t="s">
        <v>3595</v>
      </c>
      <c r="H600" s="5" t="n">
        <v>1</v>
      </c>
      <c r="I600" s="5" t="s">
        <v>18</v>
      </c>
      <c r="J600" s="5" t="s">
        <v>43</v>
      </c>
      <c r="K600" s="5" t="s">
        <v>45</v>
      </c>
      <c r="L600" s="5" t="n">
        <v>250</v>
      </c>
      <c r="M600" s="5" t="n">
        <v>250</v>
      </c>
      <c r="N600" s="6" t="n">
        <f aca="false">L600*0.6*H600</f>
        <v>150</v>
      </c>
      <c r="O600" s="6" t="n">
        <f aca="false">M600-N600</f>
        <v>100</v>
      </c>
      <c r="P600" s="7" t="n">
        <f aca="false">IF(M600=0,0,O600/M600)</f>
        <v>0.4</v>
      </c>
    </row>
    <row r="601" customFormat="false" ht="15" hidden="false" customHeight="false" outlineLevel="0" collapsed="false">
      <c r="A601" s="3" t="n">
        <v>1832</v>
      </c>
      <c r="B601" s="3" t="s">
        <v>2392</v>
      </c>
      <c r="C601" s="3" t="s">
        <v>2391</v>
      </c>
      <c r="D601" s="3" t="s">
        <v>49</v>
      </c>
      <c r="E601" s="3" t="s">
        <v>3841</v>
      </c>
      <c r="F601" s="3" t="s">
        <v>3606</v>
      </c>
      <c r="G601" s="3" t="s">
        <v>3600</v>
      </c>
      <c r="H601" s="8" t="n">
        <v>2</v>
      </c>
      <c r="I601" s="8" t="s">
        <v>18</v>
      </c>
      <c r="J601" s="8" t="s">
        <v>19</v>
      </c>
      <c r="K601" s="8" t="s">
        <v>21</v>
      </c>
      <c r="L601" s="8" t="n">
        <v>250</v>
      </c>
      <c r="M601" s="8" t="n">
        <v>500</v>
      </c>
      <c r="N601" s="6" t="n">
        <f aca="false">L601*0.6*H601</f>
        <v>300</v>
      </c>
      <c r="O601" s="6" t="n">
        <f aca="false">M601-N601</f>
        <v>200</v>
      </c>
      <c r="P601" s="7" t="n">
        <f aca="false">IF(M601=0,0,O601/M601)</f>
        <v>0.4</v>
      </c>
    </row>
    <row r="602" customFormat="false" ht="15" hidden="false" customHeight="false" outlineLevel="0" collapsed="false">
      <c r="A602" s="2" t="n">
        <v>1833</v>
      </c>
      <c r="B602" s="2" t="s">
        <v>2396</v>
      </c>
      <c r="C602" s="2" t="s">
        <v>2395</v>
      </c>
      <c r="D602" s="2" t="s">
        <v>147</v>
      </c>
      <c r="E602" s="2" t="s">
        <v>3669</v>
      </c>
      <c r="F602" s="2" t="s">
        <v>3591</v>
      </c>
      <c r="G602" s="2" t="s">
        <v>3592</v>
      </c>
      <c r="H602" s="5" t="n">
        <v>2</v>
      </c>
      <c r="I602" s="5" t="s">
        <v>18</v>
      </c>
      <c r="J602" s="5" t="s">
        <v>78</v>
      </c>
      <c r="K602" s="5" t="s">
        <v>86</v>
      </c>
      <c r="L602" s="5" t="n">
        <v>600</v>
      </c>
      <c r="M602" s="5" t="n">
        <v>1200</v>
      </c>
      <c r="N602" s="6" t="n">
        <f aca="false">L602*0.6*H602</f>
        <v>720</v>
      </c>
      <c r="O602" s="6" t="n">
        <f aca="false">M602-N602</f>
        <v>480</v>
      </c>
      <c r="P602" s="7" t="n">
        <f aca="false">IF(M602=0,0,O602/M602)</f>
        <v>0.4</v>
      </c>
    </row>
    <row r="603" customFormat="false" ht="15" hidden="false" customHeight="false" outlineLevel="0" collapsed="false">
      <c r="A603" s="3" t="n">
        <v>1834</v>
      </c>
      <c r="B603" s="3" t="s">
        <v>453</v>
      </c>
      <c r="C603" s="3" t="s">
        <v>2399</v>
      </c>
      <c r="D603" s="3" t="s">
        <v>34</v>
      </c>
      <c r="E603" s="3" t="s">
        <v>3643</v>
      </c>
      <c r="F603" s="3" t="s">
        <v>3591</v>
      </c>
      <c r="G603" s="3" t="s">
        <v>3592</v>
      </c>
      <c r="H603" s="8" t="n">
        <v>1</v>
      </c>
      <c r="I603" s="8" t="s">
        <v>97</v>
      </c>
      <c r="J603" s="8" t="s">
        <v>19</v>
      </c>
      <c r="K603" s="8" t="s">
        <v>73</v>
      </c>
      <c r="L603" s="8" t="n">
        <v>300</v>
      </c>
      <c r="M603" s="8" t="n">
        <v>300</v>
      </c>
      <c r="N603" s="6" t="n">
        <f aca="false">L603*0.6*H603</f>
        <v>180</v>
      </c>
      <c r="O603" s="6" t="n">
        <f aca="false">M603-N603</f>
        <v>120</v>
      </c>
      <c r="P603" s="7" t="n">
        <f aca="false">IF(M603=0,0,O603/M603)</f>
        <v>0.4</v>
      </c>
    </row>
    <row r="604" customFormat="false" ht="15" hidden="false" customHeight="false" outlineLevel="0" collapsed="false">
      <c r="A604" s="2" t="n">
        <v>1835</v>
      </c>
      <c r="B604" s="2" t="s">
        <v>2403</v>
      </c>
      <c r="C604" s="2" t="s">
        <v>2402</v>
      </c>
      <c r="D604" s="2" t="s">
        <v>147</v>
      </c>
      <c r="E604" s="2" t="s">
        <v>3685</v>
      </c>
      <c r="F604" s="2" t="s">
        <v>3610</v>
      </c>
      <c r="G604" s="2" t="s">
        <v>3600</v>
      </c>
      <c r="H604" s="5" t="n">
        <v>1</v>
      </c>
      <c r="I604" s="5" t="s">
        <v>51</v>
      </c>
      <c r="J604" s="5" t="s">
        <v>28</v>
      </c>
      <c r="K604" s="5" t="s">
        <v>30</v>
      </c>
      <c r="L604" s="5" t="n">
        <v>600</v>
      </c>
      <c r="M604" s="5" t="n">
        <v>600</v>
      </c>
      <c r="N604" s="6" t="n">
        <f aca="false">L604*0.6*H604</f>
        <v>360</v>
      </c>
      <c r="O604" s="6" t="n">
        <f aca="false">M604-N604</f>
        <v>240</v>
      </c>
      <c r="P604" s="7" t="n">
        <f aca="false">IF(M604=0,0,O604/M604)</f>
        <v>0.4</v>
      </c>
    </row>
    <row r="605" customFormat="false" ht="15" hidden="false" customHeight="false" outlineLevel="0" collapsed="false">
      <c r="A605" s="3" t="n">
        <v>1836</v>
      </c>
      <c r="B605" s="3" t="s">
        <v>1217</v>
      </c>
      <c r="C605" s="3" t="s">
        <v>1979</v>
      </c>
      <c r="D605" s="3" t="s">
        <v>108</v>
      </c>
      <c r="E605" s="3" t="s">
        <v>3894</v>
      </c>
      <c r="F605" s="3" t="s">
        <v>3603</v>
      </c>
      <c r="G605" s="3" t="s">
        <v>3604</v>
      </c>
      <c r="H605" s="8" t="n">
        <v>3</v>
      </c>
      <c r="I605" s="8" t="s">
        <v>51</v>
      </c>
      <c r="J605" s="8" t="s">
        <v>78</v>
      </c>
      <c r="K605" s="8" t="s">
        <v>86</v>
      </c>
      <c r="L605" s="8" t="n">
        <v>1200</v>
      </c>
      <c r="M605" s="8" t="n">
        <v>3600</v>
      </c>
      <c r="N605" s="6" t="n">
        <f aca="false">L605*0.6*H605</f>
        <v>2160</v>
      </c>
      <c r="O605" s="6" t="n">
        <f aca="false">M605-N605</f>
        <v>1440</v>
      </c>
      <c r="P605" s="7" t="n">
        <f aca="false">IF(M605=0,0,O605/M605)</f>
        <v>0.4</v>
      </c>
    </row>
    <row r="606" customFormat="false" ht="15" hidden="false" customHeight="false" outlineLevel="0" collapsed="false">
      <c r="A606" s="2" t="n">
        <v>1837</v>
      </c>
      <c r="B606" s="2" t="s">
        <v>1952</v>
      </c>
      <c r="C606" s="2" t="s">
        <v>2408</v>
      </c>
      <c r="D606" s="2" t="s">
        <v>147</v>
      </c>
      <c r="E606" s="2" t="s">
        <v>3704</v>
      </c>
      <c r="F606" s="2" t="s">
        <v>2379</v>
      </c>
      <c r="G606" s="2" t="s">
        <v>3592</v>
      </c>
      <c r="H606" s="5" t="n">
        <v>3</v>
      </c>
      <c r="I606" s="5" t="s">
        <v>18</v>
      </c>
      <c r="J606" s="5" t="s">
        <v>59</v>
      </c>
      <c r="K606" s="5" t="s">
        <v>61</v>
      </c>
      <c r="L606" s="5" t="n">
        <v>600</v>
      </c>
      <c r="M606" s="5" t="n">
        <v>1800</v>
      </c>
      <c r="N606" s="6" t="n">
        <f aca="false">L606*0.6*H606</f>
        <v>1080</v>
      </c>
      <c r="O606" s="6" t="n">
        <f aca="false">M606-N606</f>
        <v>720</v>
      </c>
      <c r="P606" s="7" t="n">
        <f aca="false">IF(M606=0,0,O606/M606)</f>
        <v>0.4</v>
      </c>
    </row>
    <row r="607" customFormat="false" ht="15" hidden="false" customHeight="false" outlineLevel="0" collapsed="false">
      <c r="A607" s="3" t="n">
        <v>1838</v>
      </c>
      <c r="B607" s="3" t="s">
        <v>765</v>
      </c>
      <c r="C607" s="3" t="s">
        <v>2411</v>
      </c>
      <c r="D607" s="3" t="s">
        <v>108</v>
      </c>
      <c r="E607" s="3" t="s">
        <v>3833</v>
      </c>
      <c r="F607" s="3" t="s">
        <v>3628</v>
      </c>
      <c r="G607" s="3" t="s">
        <v>3595</v>
      </c>
      <c r="H607" s="8" t="n">
        <v>3</v>
      </c>
      <c r="I607" s="8" t="s">
        <v>18</v>
      </c>
      <c r="J607" s="8" t="s">
        <v>121</v>
      </c>
      <c r="K607" s="8" t="s">
        <v>317</v>
      </c>
      <c r="L607" s="8" t="n">
        <v>1200</v>
      </c>
      <c r="M607" s="8" t="n">
        <v>3600</v>
      </c>
      <c r="N607" s="6" t="n">
        <f aca="false">L607*0.6*H607</f>
        <v>2160</v>
      </c>
      <c r="O607" s="6" t="n">
        <f aca="false">M607-N607</f>
        <v>1440</v>
      </c>
      <c r="P607" s="7" t="n">
        <f aca="false">IF(M607=0,0,O607/M607)</f>
        <v>0.4</v>
      </c>
    </row>
    <row r="608" customFormat="false" ht="15" hidden="false" customHeight="false" outlineLevel="0" collapsed="false">
      <c r="A608" s="2" t="n">
        <v>1839</v>
      </c>
      <c r="B608" s="2" t="s">
        <v>1891</v>
      </c>
      <c r="C608" s="2" t="s">
        <v>1354</v>
      </c>
      <c r="D608" s="2" t="s">
        <v>34</v>
      </c>
      <c r="E608" s="2" t="s">
        <v>3652</v>
      </c>
      <c r="F608" s="2" t="s">
        <v>3608</v>
      </c>
      <c r="G608" s="2" t="s">
        <v>3604</v>
      </c>
      <c r="H608" s="5" t="n">
        <v>2</v>
      </c>
      <c r="I608" s="5" t="s">
        <v>18</v>
      </c>
      <c r="J608" s="5" t="s">
        <v>59</v>
      </c>
      <c r="K608" s="5" t="s">
        <v>99</v>
      </c>
      <c r="L608" s="5" t="n">
        <v>300</v>
      </c>
      <c r="M608" s="5" t="n">
        <v>600</v>
      </c>
      <c r="N608" s="6" t="n">
        <f aca="false">L608*0.6*H608</f>
        <v>360</v>
      </c>
      <c r="O608" s="6" t="n">
        <f aca="false">M608-N608</f>
        <v>240</v>
      </c>
      <c r="P608" s="7" t="n">
        <f aca="false">IF(M608=0,0,O608/M608)</f>
        <v>0.4</v>
      </c>
    </row>
    <row r="609" customFormat="false" ht="15" hidden="false" customHeight="false" outlineLevel="0" collapsed="false">
      <c r="A609" s="3" t="n">
        <v>1840</v>
      </c>
      <c r="B609" s="3" t="s">
        <v>861</v>
      </c>
      <c r="C609" s="3" t="s">
        <v>2416</v>
      </c>
      <c r="D609" s="3" t="s">
        <v>25</v>
      </c>
      <c r="E609" s="3" t="s">
        <v>3905</v>
      </c>
      <c r="F609" s="3" t="s">
        <v>3599</v>
      </c>
      <c r="G609" s="3" t="s">
        <v>3600</v>
      </c>
      <c r="H609" s="8" t="n">
        <v>1</v>
      </c>
      <c r="I609" s="8" t="s">
        <v>51</v>
      </c>
      <c r="J609" s="8" t="s">
        <v>28</v>
      </c>
      <c r="K609" s="8" t="s">
        <v>30</v>
      </c>
      <c r="L609" s="8" t="n">
        <v>800</v>
      </c>
      <c r="M609" s="8" t="n">
        <v>800</v>
      </c>
      <c r="N609" s="6" t="n">
        <f aca="false">L609*0.6*H609</f>
        <v>480</v>
      </c>
      <c r="O609" s="6" t="n">
        <f aca="false">M609-N609</f>
        <v>320</v>
      </c>
      <c r="P609" s="7" t="n">
        <f aca="false">IF(M609=0,0,O609/M609)</f>
        <v>0.4</v>
      </c>
    </row>
    <row r="610" customFormat="false" ht="15" hidden="false" customHeight="false" outlineLevel="0" collapsed="false">
      <c r="A610" s="2" t="n">
        <v>1841</v>
      </c>
      <c r="B610" s="2" t="s">
        <v>1844</v>
      </c>
      <c r="C610" s="2" t="s">
        <v>1678</v>
      </c>
      <c r="D610" s="2" t="s">
        <v>108</v>
      </c>
      <c r="E610" s="2" t="s">
        <v>3785</v>
      </c>
      <c r="F610" s="2" t="s">
        <v>2379</v>
      </c>
      <c r="G610" s="2" t="s">
        <v>3592</v>
      </c>
      <c r="H610" s="5" t="n">
        <v>1</v>
      </c>
      <c r="I610" s="5" t="s">
        <v>18</v>
      </c>
      <c r="J610" s="5" t="s">
        <v>121</v>
      </c>
      <c r="K610" s="5" t="s">
        <v>317</v>
      </c>
      <c r="L610" s="5" t="n">
        <v>1200</v>
      </c>
      <c r="M610" s="5" t="n">
        <v>1200</v>
      </c>
      <c r="N610" s="6" t="n">
        <f aca="false">L610*0.6*H610</f>
        <v>720</v>
      </c>
      <c r="O610" s="6" t="n">
        <f aca="false">M610-N610</f>
        <v>480</v>
      </c>
      <c r="P610" s="7" t="n">
        <f aca="false">IF(M610=0,0,O610/M610)</f>
        <v>0.4</v>
      </c>
    </row>
    <row r="611" customFormat="false" ht="15" hidden="false" customHeight="false" outlineLevel="0" collapsed="false">
      <c r="A611" s="3" t="n">
        <v>1842</v>
      </c>
      <c r="B611" s="3" t="s">
        <v>2422</v>
      </c>
      <c r="C611" s="3" t="s">
        <v>1359</v>
      </c>
      <c r="D611" s="3" t="s">
        <v>34</v>
      </c>
      <c r="E611" s="3" t="s">
        <v>3906</v>
      </c>
      <c r="F611" s="3" t="s">
        <v>3610</v>
      </c>
      <c r="G611" s="3" t="s">
        <v>3600</v>
      </c>
      <c r="H611" s="8" t="n">
        <v>3</v>
      </c>
      <c r="I611" s="8" t="s">
        <v>18</v>
      </c>
      <c r="J611" s="8" t="s">
        <v>43</v>
      </c>
      <c r="K611" s="8" t="s">
        <v>111</v>
      </c>
      <c r="L611" s="8" t="n">
        <v>300</v>
      </c>
      <c r="M611" s="8" t="n">
        <v>900</v>
      </c>
      <c r="N611" s="6" t="n">
        <f aca="false">L611*0.6*H611</f>
        <v>540</v>
      </c>
      <c r="O611" s="6" t="n">
        <f aca="false">M611-N611</f>
        <v>360</v>
      </c>
      <c r="P611" s="7" t="n">
        <f aca="false">IF(M611=0,0,O611/M611)</f>
        <v>0.4</v>
      </c>
    </row>
    <row r="612" customFormat="false" ht="15" hidden="false" customHeight="false" outlineLevel="0" collapsed="false">
      <c r="A612" s="2" t="n">
        <v>1843</v>
      </c>
      <c r="B612" s="2" t="s">
        <v>210</v>
      </c>
      <c r="C612" s="2" t="s">
        <v>2426</v>
      </c>
      <c r="D612" s="2" t="s">
        <v>147</v>
      </c>
      <c r="E612" s="2" t="s">
        <v>3900</v>
      </c>
      <c r="F612" s="2" t="s">
        <v>3625</v>
      </c>
      <c r="G612" s="2" t="s">
        <v>3592</v>
      </c>
      <c r="H612" s="5" t="n">
        <v>1</v>
      </c>
      <c r="I612" s="5" t="s">
        <v>51</v>
      </c>
      <c r="J612" s="5" t="s">
        <v>19</v>
      </c>
      <c r="K612" s="5" t="s">
        <v>21</v>
      </c>
      <c r="L612" s="5" t="n">
        <v>600</v>
      </c>
      <c r="M612" s="5" t="n">
        <v>600</v>
      </c>
      <c r="N612" s="6" t="n">
        <f aca="false">L612*0.6*H612</f>
        <v>360</v>
      </c>
      <c r="O612" s="6" t="n">
        <f aca="false">M612-N612</f>
        <v>240</v>
      </c>
      <c r="P612" s="7" t="n">
        <f aca="false">IF(M612=0,0,O612/M612)</f>
        <v>0.4</v>
      </c>
    </row>
    <row r="613" customFormat="false" ht="15" hidden="false" customHeight="false" outlineLevel="0" collapsed="false">
      <c r="A613" s="3" t="n">
        <v>1844</v>
      </c>
      <c r="B613" s="3" t="s">
        <v>2242</v>
      </c>
      <c r="C613" s="3" t="s">
        <v>2429</v>
      </c>
      <c r="D613" s="3" t="s">
        <v>108</v>
      </c>
      <c r="E613" s="3" t="s">
        <v>3825</v>
      </c>
      <c r="F613" s="3" t="s">
        <v>3591</v>
      </c>
      <c r="G613" s="3" t="s">
        <v>3592</v>
      </c>
      <c r="H613" s="8" t="n">
        <v>3</v>
      </c>
      <c r="I613" s="8" t="s">
        <v>51</v>
      </c>
      <c r="J613" s="8" t="s">
        <v>19</v>
      </c>
      <c r="K613" s="8" t="s">
        <v>176</v>
      </c>
      <c r="L613" s="8" t="n">
        <v>1200</v>
      </c>
      <c r="M613" s="8" t="n">
        <v>3600</v>
      </c>
      <c r="N613" s="6" t="n">
        <f aca="false">L613*0.6*H613</f>
        <v>2160</v>
      </c>
      <c r="O613" s="6" t="n">
        <f aca="false">M613-N613</f>
        <v>1440</v>
      </c>
      <c r="P613" s="7" t="n">
        <f aca="false">IF(M613=0,0,O613/M613)</f>
        <v>0.4</v>
      </c>
    </row>
    <row r="614" customFormat="false" ht="15" hidden="false" customHeight="false" outlineLevel="0" collapsed="false">
      <c r="A614" s="2" t="n">
        <v>1845</v>
      </c>
      <c r="B614" s="2" t="s">
        <v>2433</v>
      </c>
      <c r="C614" s="2" t="s">
        <v>2432</v>
      </c>
      <c r="D614" s="2" t="s">
        <v>34</v>
      </c>
      <c r="E614" s="2" t="s">
        <v>3907</v>
      </c>
      <c r="F614" s="2" t="s">
        <v>3606</v>
      </c>
      <c r="G614" s="2" t="s">
        <v>3600</v>
      </c>
      <c r="H614" s="5" t="n">
        <v>3</v>
      </c>
      <c r="I614" s="5" t="s">
        <v>51</v>
      </c>
      <c r="J614" s="5" t="s">
        <v>28</v>
      </c>
      <c r="K614" s="5" t="s">
        <v>30</v>
      </c>
      <c r="L614" s="5" t="n">
        <v>300</v>
      </c>
      <c r="M614" s="5" t="n">
        <v>900</v>
      </c>
      <c r="N614" s="6" t="n">
        <f aca="false">L614*0.6*H614</f>
        <v>540</v>
      </c>
      <c r="O614" s="6" t="n">
        <f aca="false">M614-N614</f>
        <v>360</v>
      </c>
      <c r="P614" s="7" t="n">
        <f aca="false">IF(M614=0,0,O614/M614)</f>
        <v>0.4</v>
      </c>
    </row>
    <row r="615" customFormat="false" ht="15" hidden="false" customHeight="false" outlineLevel="0" collapsed="false">
      <c r="A615" s="3" t="n">
        <v>1846</v>
      </c>
      <c r="B615" s="3" t="s">
        <v>562</v>
      </c>
      <c r="C615" s="3" t="s">
        <v>710</v>
      </c>
      <c r="D615" s="3" t="s">
        <v>108</v>
      </c>
      <c r="E615" s="3" t="s">
        <v>3887</v>
      </c>
      <c r="F615" s="3" t="s">
        <v>3628</v>
      </c>
      <c r="G615" s="3" t="s">
        <v>3595</v>
      </c>
      <c r="H615" s="8" t="n">
        <v>3</v>
      </c>
      <c r="I615" s="8" t="s">
        <v>18</v>
      </c>
      <c r="J615" s="8" t="s">
        <v>28</v>
      </c>
      <c r="K615" s="8" t="s">
        <v>30</v>
      </c>
      <c r="L615" s="8" t="n">
        <v>1200</v>
      </c>
      <c r="M615" s="8" t="n">
        <v>3600</v>
      </c>
      <c r="N615" s="6" t="n">
        <f aca="false">L615*0.6*H615</f>
        <v>2160</v>
      </c>
      <c r="O615" s="6" t="n">
        <f aca="false">M615-N615</f>
        <v>1440</v>
      </c>
      <c r="P615" s="7" t="n">
        <f aca="false">IF(M615=0,0,O615/M615)</f>
        <v>0.4</v>
      </c>
    </row>
    <row r="616" customFormat="false" ht="15" hidden="false" customHeight="false" outlineLevel="0" collapsed="false">
      <c r="A616" s="2" t="n">
        <v>1847</v>
      </c>
      <c r="B616" s="2" t="s">
        <v>114</v>
      </c>
      <c r="C616" s="2" t="s">
        <v>2439</v>
      </c>
      <c r="D616" s="2" t="s">
        <v>16</v>
      </c>
      <c r="E616" s="2" t="s">
        <v>3861</v>
      </c>
      <c r="F616" s="2" t="s">
        <v>3594</v>
      </c>
      <c r="G616" s="2" t="s">
        <v>3595</v>
      </c>
      <c r="H616" s="5" t="n">
        <v>1</v>
      </c>
      <c r="I616" s="5" t="s">
        <v>18</v>
      </c>
      <c r="J616" s="5" t="s">
        <v>78</v>
      </c>
      <c r="K616" s="5" t="s">
        <v>86</v>
      </c>
      <c r="L616" s="5" t="n">
        <v>250</v>
      </c>
      <c r="M616" s="5" t="n">
        <v>250</v>
      </c>
      <c r="N616" s="6" t="n">
        <f aca="false">L616*0.6*H616</f>
        <v>150</v>
      </c>
      <c r="O616" s="6" t="n">
        <f aca="false">M616-N616</f>
        <v>100</v>
      </c>
      <c r="P616" s="7" t="n">
        <f aca="false">IF(M616=0,0,O616/M616)</f>
        <v>0.4</v>
      </c>
    </row>
    <row r="617" customFormat="false" ht="15" hidden="false" customHeight="false" outlineLevel="0" collapsed="false">
      <c r="A617" s="3" t="n">
        <v>1848</v>
      </c>
      <c r="B617" s="3" t="s">
        <v>2441</v>
      </c>
      <c r="C617" s="3" t="s">
        <v>199</v>
      </c>
      <c r="D617" s="3" t="s">
        <v>49</v>
      </c>
      <c r="E617" s="3" t="s">
        <v>3643</v>
      </c>
      <c r="F617" s="3" t="s">
        <v>3591</v>
      </c>
      <c r="G617" s="3" t="s">
        <v>3592</v>
      </c>
      <c r="H617" s="8" t="n">
        <v>1</v>
      </c>
      <c r="I617" s="8" t="s">
        <v>18</v>
      </c>
      <c r="J617" s="8" t="s">
        <v>19</v>
      </c>
      <c r="K617" s="8" t="s">
        <v>73</v>
      </c>
      <c r="L617" s="8" t="n">
        <v>250</v>
      </c>
      <c r="M617" s="8" t="n">
        <v>250</v>
      </c>
      <c r="N617" s="6" t="n">
        <f aca="false">L617*0.6*H617</f>
        <v>150</v>
      </c>
      <c r="O617" s="6" t="n">
        <f aca="false">M617-N617</f>
        <v>100</v>
      </c>
      <c r="P617" s="7" t="n">
        <f aca="false">IF(M617=0,0,O617/M617)</f>
        <v>0.4</v>
      </c>
    </row>
    <row r="618" customFormat="false" ht="15" hidden="false" customHeight="false" outlineLevel="0" collapsed="false">
      <c r="A618" s="2" t="n">
        <v>1849</v>
      </c>
      <c r="B618" s="2" t="s">
        <v>1236</v>
      </c>
      <c r="C618" s="2" t="s">
        <v>2444</v>
      </c>
      <c r="D618" s="2" t="s">
        <v>49</v>
      </c>
      <c r="E618" s="2" t="s">
        <v>3784</v>
      </c>
      <c r="F618" s="2" t="s">
        <v>3628</v>
      </c>
      <c r="G618" s="2" t="s">
        <v>3595</v>
      </c>
      <c r="H618" s="5" t="n">
        <v>2</v>
      </c>
      <c r="I618" s="5" t="s">
        <v>27</v>
      </c>
      <c r="J618" s="5" t="s">
        <v>59</v>
      </c>
      <c r="K618" s="5" t="s">
        <v>61</v>
      </c>
      <c r="L618" s="5" t="n">
        <v>250</v>
      </c>
      <c r="M618" s="5" t="n">
        <v>500</v>
      </c>
      <c r="N618" s="6" t="n">
        <f aca="false">L618*0.6*H618</f>
        <v>300</v>
      </c>
      <c r="O618" s="6" t="n">
        <f aca="false">M618-N618</f>
        <v>200</v>
      </c>
      <c r="P618" s="7" t="n">
        <f aca="false">IF(M618=0,0,O618/M618)</f>
        <v>0.4</v>
      </c>
    </row>
    <row r="619" customFormat="false" ht="15" hidden="false" customHeight="false" outlineLevel="0" collapsed="false">
      <c r="A619" s="3" t="n">
        <v>1850</v>
      </c>
      <c r="B619" s="3" t="s">
        <v>2147</v>
      </c>
      <c r="C619" s="3" t="s">
        <v>1096</v>
      </c>
      <c r="D619" s="3" t="s">
        <v>16</v>
      </c>
      <c r="E619" s="3" t="s">
        <v>3722</v>
      </c>
      <c r="F619" s="3" t="s">
        <v>3613</v>
      </c>
      <c r="G619" s="3" t="s">
        <v>3604</v>
      </c>
      <c r="H619" s="8" t="n">
        <v>2</v>
      </c>
      <c r="I619" s="8" t="s">
        <v>18</v>
      </c>
      <c r="J619" s="8" t="s">
        <v>19</v>
      </c>
      <c r="K619" s="8" t="s">
        <v>21</v>
      </c>
      <c r="L619" s="8" t="n">
        <v>250</v>
      </c>
      <c r="M619" s="8" t="n">
        <v>500</v>
      </c>
      <c r="N619" s="6" t="n">
        <f aca="false">L619*0.6*H619</f>
        <v>300</v>
      </c>
      <c r="O619" s="6" t="n">
        <f aca="false">M619-N619</f>
        <v>200</v>
      </c>
      <c r="P619" s="7" t="n">
        <f aca="false">IF(M619=0,0,O619/M619)</f>
        <v>0.4</v>
      </c>
    </row>
    <row r="620" customFormat="false" ht="15" hidden="false" customHeight="false" outlineLevel="0" collapsed="false">
      <c r="A620" s="2" t="n">
        <v>1851</v>
      </c>
      <c r="B620" s="2" t="s">
        <v>1074</v>
      </c>
      <c r="C620" s="2" t="s">
        <v>1867</v>
      </c>
      <c r="D620" s="2" t="s">
        <v>25</v>
      </c>
      <c r="E620" s="2" t="s">
        <v>3908</v>
      </c>
      <c r="F620" s="2" t="s">
        <v>3608</v>
      </c>
      <c r="G620" s="2" t="s">
        <v>3604</v>
      </c>
      <c r="H620" s="5" t="n">
        <v>3</v>
      </c>
      <c r="I620" s="5" t="s">
        <v>97</v>
      </c>
      <c r="J620" s="5" t="s">
        <v>43</v>
      </c>
      <c r="K620" s="5" t="s">
        <v>45</v>
      </c>
      <c r="L620" s="5" t="n">
        <v>800</v>
      </c>
      <c r="M620" s="5" t="n">
        <v>2400</v>
      </c>
      <c r="N620" s="6" t="n">
        <f aca="false">L620*0.6*H620</f>
        <v>1440</v>
      </c>
      <c r="O620" s="6" t="n">
        <f aca="false">M620-N620</f>
        <v>960</v>
      </c>
      <c r="P620" s="7" t="n">
        <f aca="false">IF(M620=0,0,O620/M620)</f>
        <v>0.4</v>
      </c>
    </row>
    <row r="621" customFormat="false" ht="15" hidden="false" customHeight="false" outlineLevel="0" collapsed="false">
      <c r="A621" s="3" t="n">
        <v>1852</v>
      </c>
      <c r="B621" s="3" t="s">
        <v>2452</v>
      </c>
      <c r="C621" s="3" t="s">
        <v>1678</v>
      </c>
      <c r="D621" s="3" t="s">
        <v>49</v>
      </c>
      <c r="E621" s="3" t="s">
        <v>3748</v>
      </c>
      <c r="F621" s="3" t="s">
        <v>3625</v>
      </c>
      <c r="G621" s="3" t="s">
        <v>3592</v>
      </c>
      <c r="H621" s="8" t="n">
        <v>2</v>
      </c>
      <c r="I621" s="8" t="s">
        <v>18</v>
      </c>
      <c r="J621" s="8" t="s">
        <v>19</v>
      </c>
      <c r="K621" s="8" t="s">
        <v>73</v>
      </c>
      <c r="L621" s="8" t="n">
        <v>250</v>
      </c>
      <c r="M621" s="8" t="n">
        <v>500</v>
      </c>
      <c r="N621" s="6" t="n">
        <f aca="false">L621*0.6*H621</f>
        <v>300</v>
      </c>
      <c r="O621" s="6" t="n">
        <f aca="false">M621-N621</f>
        <v>200</v>
      </c>
      <c r="P621" s="7" t="n">
        <f aca="false">IF(M621=0,0,O621/M621)</f>
        <v>0.4</v>
      </c>
    </row>
    <row r="622" customFormat="false" ht="15" hidden="false" customHeight="false" outlineLevel="0" collapsed="false">
      <c r="A622" s="2" t="n">
        <v>1853</v>
      </c>
      <c r="B622" s="2" t="s">
        <v>353</v>
      </c>
      <c r="C622" s="2" t="s">
        <v>2038</v>
      </c>
      <c r="D622" s="2" t="s">
        <v>49</v>
      </c>
      <c r="E622" s="2" t="s">
        <v>3655</v>
      </c>
      <c r="F622" s="2" t="s">
        <v>3613</v>
      </c>
      <c r="G622" s="2" t="s">
        <v>3604</v>
      </c>
      <c r="H622" s="5" t="n">
        <v>3</v>
      </c>
      <c r="I622" s="5" t="s">
        <v>18</v>
      </c>
      <c r="J622" s="5" t="s">
        <v>28</v>
      </c>
      <c r="K622" s="5" t="s">
        <v>30</v>
      </c>
      <c r="L622" s="5" t="n">
        <v>250</v>
      </c>
      <c r="M622" s="5" t="n">
        <v>750</v>
      </c>
      <c r="N622" s="6" t="n">
        <f aca="false">L622*0.6*H622</f>
        <v>450</v>
      </c>
      <c r="O622" s="6" t="n">
        <f aca="false">M622-N622</f>
        <v>300</v>
      </c>
      <c r="P622" s="7" t="n">
        <f aca="false">IF(M622=0,0,O622/M622)</f>
        <v>0.4</v>
      </c>
    </row>
    <row r="623" customFormat="false" ht="15" hidden="false" customHeight="false" outlineLevel="0" collapsed="false">
      <c r="A623" s="3" t="n">
        <v>1854</v>
      </c>
      <c r="B623" s="3" t="s">
        <v>2457</v>
      </c>
      <c r="C623" s="3" t="s">
        <v>1029</v>
      </c>
      <c r="D623" s="3" t="s">
        <v>49</v>
      </c>
      <c r="E623" s="3" t="s">
        <v>3820</v>
      </c>
      <c r="F623" s="3" t="s">
        <v>3591</v>
      </c>
      <c r="G623" s="3" t="s">
        <v>3592</v>
      </c>
      <c r="H623" s="8" t="n">
        <v>3</v>
      </c>
      <c r="I623" s="8" t="s">
        <v>18</v>
      </c>
      <c r="J623" s="8" t="s">
        <v>28</v>
      </c>
      <c r="K623" s="8" t="s">
        <v>30</v>
      </c>
      <c r="L623" s="8" t="n">
        <v>250</v>
      </c>
      <c r="M623" s="8" t="n">
        <v>750</v>
      </c>
      <c r="N623" s="6" t="n">
        <f aca="false">L623*0.6*H623</f>
        <v>450</v>
      </c>
      <c r="O623" s="6" t="n">
        <f aca="false">M623-N623</f>
        <v>300</v>
      </c>
      <c r="P623" s="7" t="n">
        <f aca="false">IF(M623=0,0,O623/M623)</f>
        <v>0.4</v>
      </c>
    </row>
    <row r="624" customFormat="false" ht="15" hidden="false" customHeight="false" outlineLevel="0" collapsed="false">
      <c r="A624" s="2" t="n">
        <v>1855</v>
      </c>
      <c r="B624" s="2" t="s">
        <v>2461</v>
      </c>
      <c r="C624" s="2" t="s">
        <v>2460</v>
      </c>
      <c r="D624" s="2" t="s">
        <v>25</v>
      </c>
      <c r="E624" s="2" t="s">
        <v>3832</v>
      </c>
      <c r="F624" s="2" t="s">
        <v>3599</v>
      </c>
      <c r="G624" s="2" t="s">
        <v>3600</v>
      </c>
      <c r="H624" s="5" t="n">
        <v>1</v>
      </c>
      <c r="I624" s="5" t="s">
        <v>27</v>
      </c>
      <c r="J624" s="5" t="s">
        <v>59</v>
      </c>
      <c r="K624" s="5" t="s">
        <v>99</v>
      </c>
      <c r="L624" s="5" t="n">
        <v>800</v>
      </c>
      <c r="M624" s="5" t="n">
        <v>800</v>
      </c>
      <c r="N624" s="6" t="n">
        <f aca="false">L624*0.6*H624</f>
        <v>480</v>
      </c>
      <c r="O624" s="6" t="n">
        <f aca="false">M624-N624</f>
        <v>320</v>
      </c>
      <c r="P624" s="7" t="n">
        <f aca="false">IF(M624=0,0,O624/M624)</f>
        <v>0.4</v>
      </c>
    </row>
    <row r="625" customFormat="false" ht="15" hidden="false" customHeight="false" outlineLevel="0" collapsed="false">
      <c r="A625" s="3" t="n">
        <v>1856</v>
      </c>
      <c r="B625" s="3" t="s">
        <v>2465</v>
      </c>
      <c r="C625" s="3" t="s">
        <v>2464</v>
      </c>
      <c r="D625" s="3" t="s">
        <v>25</v>
      </c>
      <c r="E625" s="3" t="s">
        <v>3659</v>
      </c>
      <c r="F625" s="3" t="s">
        <v>3608</v>
      </c>
      <c r="G625" s="3" t="s">
        <v>3604</v>
      </c>
      <c r="H625" s="8" t="n">
        <v>2</v>
      </c>
      <c r="I625" s="8" t="s">
        <v>97</v>
      </c>
      <c r="J625" s="8" t="s">
        <v>19</v>
      </c>
      <c r="K625" s="8" t="s">
        <v>21</v>
      </c>
      <c r="L625" s="8" t="n">
        <v>800</v>
      </c>
      <c r="M625" s="8" t="n">
        <v>1600</v>
      </c>
      <c r="N625" s="6" t="n">
        <f aca="false">L625*0.6*H625</f>
        <v>960</v>
      </c>
      <c r="O625" s="6" t="n">
        <f aca="false">M625-N625</f>
        <v>640</v>
      </c>
      <c r="P625" s="7" t="n">
        <f aca="false">IF(M625=0,0,O625/M625)</f>
        <v>0.4</v>
      </c>
    </row>
    <row r="626" customFormat="false" ht="15" hidden="false" customHeight="false" outlineLevel="0" collapsed="false">
      <c r="A626" s="2" t="n">
        <v>1857</v>
      </c>
      <c r="B626" s="2" t="s">
        <v>1827</v>
      </c>
      <c r="C626" s="2" t="s">
        <v>2468</v>
      </c>
      <c r="D626" s="2" t="s">
        <v>25</v>
      </c>
      <c r="E626" s="2" t="s">
        <v>3806</v>
      </c>
      <c r="F626" s="2" t="s">
        <v>3608</v>
      </c>
      <c r="G626" s="2" t="s">
        <v>3604</v>
      </c>
      <c r="H626" s="5" t="n">
        <v>1</v>
      </c>
      <c r="I626" s="5" t="s">
        <v>18</v>
      </c>
      <c r="J626" s="5" t="s">
        <v>59</v>
      </c>
      <c r="K626" s="5" t="s">
        <v>292</v>
      </c>
      <c r="L626" s="5" t="n">
        <v>800</v>
      </c>
      <c r="M626" s="5" t="n">
        <v>800</v>
      </c>
      <c r="N626" s="6" t="n">
        <f aca="false">L626*0.6*H626</f>
        <v>480</v>
      </c>
      <c r="O626" s="6" t="n">
        <f aca="false">M626-N626</f>
        <v>320</v>
      </c>
      <c r="P626" s="7" t="n">
        <f aca="false">IF(M626=0,0,O626/M626)</f>
        <v>0.4</v>
      </c>
    </row>
    <row r="627" customFormat="false" ht="15" hidden="false" customHeight="false" outlineLevel="0" collapsed="false">
      <c r="A627" s="3" t="n">
        <v>1858</v>
      </c>
      <c r="B627" s="3" t="s">
        <v>2472</v>
      </c>
      <c r="C627" s="3" t="s">
        <v>2471</v>
      </c>
      <c r="D627" s="3" t="s">
        <v>108</v>
      </c>
      <c r="E627" s="3" t="s">
        <v>3680</v>
      </c>
      <c r="F627" s="3" t="s">
        <v>3610</v>
      </c>
      <c r="G627" s="3" t="s">
        <v>3600</v>
      </c>
      <c r="H627" s="8" t="n">
        <v>3</v>
      </c>
      <c r="I627" s="8" t="s">
        <v>18</v>
      </c>
      <c r="J627" s="8" t="s">
        <v>121</v>
      </c>
      <c r="K627" s="8" t="s">
        <v>123</v>
      </c>
      <c r="L627" s="8" t="n">
        <v>1200</v>
      </c>
      <c r="M627" s="8" t="n">
        <v>3600</v>
      </c>
      <c r="N627" s="6" t="n">
        <f aca="false">L627*0.6*H627</f>
        <v>2160</v>
      </c>
      <c r="O627" s="6" t="n">
        <f aca="false">M627-N627</f>
        <v>1440</v>
      </c>
      <c r="P627" s="7" t="n">
        <f aca="false">IF(M627=0,0,O627/M627)</f>
        <v>0.4</v>
      </c>
    </row>
    <row r="628" customFormat="false" ht="15" hidden="false" customHeight="false" outlineLevel="0" collapsed="false">
      <c r="A628" s="2" t="n">
        <v>1859</v>
      </c>
      <c r="B628" s="2" t="s">
        <v>2476</v>
      </c>
      <c r="C628" s="2" t="s">
        <v>2475</v>
      </c>
      <c r="D628" s="2" t="s">
        <v>147</v>
      </c>
      <c r="E628" s="2" t="s">
        <v>3792</v>
      </c>
      <c r="F628" s="2" t="s">
        <v>3608</v>
      </c>
      <c r="G628" s="2" t="s">
        <v>3604</v>
      </c>
      <c r="H628" s="5" t="n">
        <v>2</v>
      </c>
      <c r="I628" s="5" t="s">
        <v>51</v>
      </c>
      <c r="J628" s="5" t="s">
        <v>43</v>
      </c>
      <c r="K628" s="5" t="s">
        <v>45</v>
      </c>
      <c r="L628" s="5" t="n">
        <v>600</v>
      </c>
      <c r="M628" s="5" t="n">
        <v>1200</v>
      </c>
      <c r="N628" s="6" t="n">
        <f aca="false">L628*0.6*H628</f>
        <v>720</v>
      </c>
      <c r="O628" s="6" t="n">
        <f aca="false">M628-N628</f>
        <v>480</v>
      </c>
      <c r="P628" s="7" t="n">
        <f aca="false">IF(M628=0,0,O628/M628)</f>
        <v>0.4</v>
      </c>
    </row>
    <row r="629" customFormat="false" ht="15" hidden="false" customHeight="false" outlineLevel="0" collapsed="false">
      <c r="A629" s="3" t="n">
        <v>1860</v>
      </c>
      <c r="B629" s="3" t="s">
        <v>2311</v>
      </c>
      <c r="C629" s="3" t="s">
        <v>2429</v>
      </c>
      <c r="D629" s="3" t="s">
        <v>16</v>
      </c>
      <c r="E629" s="3" t="s">
        <v>3894</v>
      </c>
      <c r="F629" s="3" t="s">
        <v>3603</v>
      </c>
      <c r="G629" s="3" t="s">
        <v>3604</v>
      </c>
      <c r="H629" s="8" t="n">
        <v>2</v>
      </c>
      <c r="I629" s="8" t="s">
        <v>51</v>
      </c>
      <c r="J629" s="8" t="s">
        <v>19</v>
      </c>
      <c r="K629" s="8" t="s">
        <v>73</v>
      </c>
      <c r="L629" s="8" t="n">
        <v>250</v>
      </c>
      <c r="M629" s="8" t="n">
        <v>500</v>
      </c>
      <c r="N629" s="6" t="n">
        <f aca="false">L629*0.6*H629</f>
        <v>300</v>
      </c>
      <c r="O629" s="6" t="n">
        <f aca="false">M629-N629</f>
        <v>200</v>
      </c>
      <c r="P629" s="7" t="n">
        <f aca="false">IF(M629=0,0,O629/M629)</f>
        <v>0.4</v>
      </c>
    </row>
    <row r="630" customFormat="false" ht="15" hidden="false" customHeight="false" outlineLevel="0" collapsed="false">
      <c r="A630" s="2" t="n">
        <v>1861</v>
      </c>
      <c r="B630" s="2" t="s">
        <v>2482</v>
      </c>
      <c r="C630" s="2" t="s">
        <v>2481</v>
      </c>
      <c r="D630" s="2" t="s">
        <v>25</v>
      </c>
      <c r="E630" s="2" t="s">
        <v>3689</v>
      </c>
      <c r="F630" s="2" t="s">
        <v>3625</v>
      </c>
      <c r="G630" s="2" t="s">
        <v>3592</v>
      </c>
      <c r="H630" s="5" t="n">
        <v>3</v>
      </c>
      <c r="I630" s="5" t="s">
        <v>18</v>
      </c>
      <c r="J630" s="5" t="s">
        <v>52</v>
      </c>
      <c r="K630" s="5" t="s">
        <v>182</v>
      </c>
      <c r="L630" s="5" t="n">
        <v>800</v>
      </c>
      <c r="M630" s="5" t="n">
        <v>2400</v>
      </c>
      <c r="N630" s="6" t="n">
        <f aca="false">L630*0.6*H630</f>
        <v>1440</v>
      </c>
      <c r="O630" s="6" t="n">
        <f aca="false">M630-N630</f>
        <v>960</v>
      </c>
      <c r="P630" s="7" t="n">
        <f aca="false">IF(M630=0,0,O630/M630)</f>
        <v>0.4</v>
      </c>
    </row>
    <row r="631" customFormat="false" ht="15" hidden="false" customHeight="false" outlineLevel="0" collapsed="false">
      <c r="A631" s="3" t="n">
        <v>1862</v>
      </c>
      <c r="B631" s="3" t="s">
        <v>2253</v>
      </c>
      <c r="C631" s="3" t="s">
        <v>2485</v>
      </c>
      <c r="D631" s="3" t="s">
        <v>108</v>
      </c>
      <c r="E631" s="3" t="s">
        <v>3795</v>
      </c>
      <c r="F631" s="3" t="s">
        <v>3613</v>
      </c>
      <c r="G631" s="3" t="s">
        <v>3604</v>
      </c>
      <c r="H631" s="8" t="n">
        <v>3</v>
      </c>
      <c r="I631" s="8" t="s">
        <v>18</v>
      </c>
      <c r="J631" s="8" t="s">
        <v>36</v>
      </c>
      <c r="K631" s="8" t="s">
        <v>38</v>
      </c>
      <c r="L631" s="8" t="n">
        <v>1200</v>
      </c>
      <c r="M631" s="8" t="n">
        <v>3600</v>
      </c>
      <c r="N631" s="6" t="n">
        <f aca="false">L631*0.6*H631</f>
        <v>2160</v>
      </c>
      <c r="O631" s="6" t="n">
        <f aca="false">M631-N631</f>
        <v>1440</v>
      </c>
      <c r="P631" s="7" t="n">
        <f aca="false">IF(M631=0,0,O631/M631)</f>
        <v>0.4</v>
      </c>
    </row>
    <row r="632" customFormat="false" ht="15" hidden="false" customHeight="false" outlineLevel="0" collapsed="false">
      <c r="A632" s="2" t="n">
        <v>1863</v>
      </c>
      <c r="B632" s="2" t="s">
        <v>2489</v>
      </c>
      <c r="C632" s="2" t="s">
        <v>2488</v>
      </c>
      <c r="D632" s="2" t="s">
        <v>25</v>
      </c>
      <c r="E632" s="2" t="s">
        <v>3601</v>
      </c>
      <c r="F632" s="2" t="s">
        <v>2379</v>
      </c>
      <c r="G632" s="2" t="s">
        <v>3592</v>
      </c>
      <c r="H632" s="5" t="n">
        <v>2</v>
      </c>
      <c r="I632" s="5" t="s">
        <v>51</v>
      </c>
      <c r="J632" s="5" t="s">
        <v>36</v>
      </c>
      <c r="K632" s="5" t="s">
        <v>38</v>
      </c>
      <c r="L632" s="5" t="n">
        <v>800</v>
      </c>
      <c r="M632" s="5" t="n">
        <v>1600</v>
      </c>
      <c r="N632" s="6" t="n">
        <f aca="false">L632*0.6*H632</f>
        <v>960</v>
      </c>
      <c r="O632" s="6" t="n">
        <f aca="false">M632-N632</f>
        <v>640</v>
      </c>
      <c r="P632" s="7" t="n">
        <f aca="false">IF(M632=0,0,O632/M632)</f>
        <v>0.4</v>
      </c>
    </row>
    <row r="633" customFormat="false" ht="15" hidden="false" customHeight="false" outlineLevel="0" collapsed="false">
      <c r="A633" s="3" t="n">
        <v>1864</v>
      </c>
      <c r="B633" s="3" t="s">
        <v>1144</v>
      </c>
      <c r="C633" s="3" t="s">
        <v>2492</v>
      </c>
      <c r="D633" s="3" t="s">
        <v>25</v>
      </c>
      <c r="E633" s="3" t="s">
        <v>3687</v>
      </c>
      <c r="F633" s="3" t="s">
        <v>3625</v>
      </c>
      <c r="G633" s="3" t="s">
        <v>3592</v>
      </c>
      <c r="H633" s="8" t="n">
        <v>2</v>
      </c>
      <c r="I633" s="8" t="s">
        <v>18</v>
      </c>
      <c r="J633" s="8" t="s">
        <v>36</v>
      </c>
      <c r="K633" s="8" t="s">
        <v>170</v>
      </c>
      <c r="L633" s="8" t="n">
        <v>800</v>
      </c>
      <c r="M633" s="8" t="n">
        <v>1600</v>
      </c>
      <c r="N633" s="6" t="n">
        <f aca="false">L633*0.6*H633</f>
        <v>960</v>
      </c>
      <c r="O633" s="6" t="n">
        <f aca="false">M633-N633</f>
        <v>640</v>
      </c>
      <c r="P633" s="7" t="n">
        <f aca="false">IF(M633=0,0,O633/M633)</f>
        <v>0.4</v>
      </c>
    </row>
    <row r="634" customFormat="false" ht="15" hidden="false" customHeight="false" outlineLevel="0" collapsed="false">
      <c r="A634" s="2" t="n">
        <v>1865</v>
      </c>
      <c r="B634" s="2" t="s">
        <v>1240</v>
      </c>
      <c r="C634" s="2" t="s">
        <v>2495</v>
      </c>
      <c r="D634" s="2" t="s">
        <v>25</v>
      </c>
      <c r="E634" s="2" t="s">
        <v>3593</v>
      </c>
      <c r="F634" s="2" t="s">
        <v>3594</v>
      </c>
      <c r="G634" s="2" t="s">
        <v>3595</v>
      </c>
      <c r="H634" s="5" t="n">
        <v>3</v>
      </c>
      <c r="I634" s="5" t="s">
        <v>97</v>
      </c>
      <c r="J634" s="5" t="s">
        <v>59</v>
      </c>
      <c r="K634" s="5" t="s">
        <v>292</v>
      </c>
      <c r="L634" s="5" t="n">
        <v>800</v>
      </c>
      <c r="M634" s="5" t="n">
        <v>2400</v>
      </c>
      <c r="N634" s="6" t="n">
        <f aca="false">L634*0.6*H634</f>
        <v>1440</v>
      </c>
      <c r="O634" s="6" t="n">
        <f aca="false">M634-N634</f>
        <v>960</v>
      </c>
      <c r="P634" s="7" t="n">
        <f aca="false">IF(M634=0,0,O634/M634)</f>
        <v>0.4</v>
      </c>
    </row>
    <row r="635" customFormat="false" ht="15" hidden="false" customHeight="false" outlineLevel="0" collapsed="false">
      <c r="A635" s="3" t="n">
        <v>1866</v>
      </c>
      <c r="B635" s="3" t="s">
        <v>630</v>
      </c>
      <c r="C635" s="3" t="s">
        <v>2498</v>
      </c>
      <c r="D635" s="3" t="s">
        <v>147</v>
      </c>
      <c r="E635" s="3" t="s">
        <v>3762</v>
      </c>
      <c r="F635" s="3" t="s">
        <v>3603</v>
      </c>
      <c r="G635" s="3" t="s">
        <v>3604</v>
      </c>
      <c r="H635" s="8" t="n">
        <v>2</v>
      </c>
      <c r="I635" s="8" t="s">
        <v>51</v>
      </c>
      <c r="J635" s="8" t="s">
        <v>28</v>
      </c>
      <c r="K635" s="8" t="s">
        <v>30</v>
      </c>
      <c r="L635" s="8" t="n">
        <v>600</v>
      </c>
      <c r="M635" s="8" t="n">
        <v>1200</v>
      </c>
      <c r="N635" s="6" t="n">
        <f aca="false">L635*0.6*H635</f>
        <v>720</v>
      </c>
      <c r="O635" s="6" t="n">
        <f aca="false">M635-N635</f>
        <v>480</v>
      </c>
      <c r="P635" s="7" t="n">
        <f aca="false">IF(M635=0,0,O635/M635)</f>
        <v>0.4</v>
      </c>
    </row>
    <row r="636" customFormat="false" ht="15" hidden="false" customHeight="false" outlineLevel="0" collapsed="false">
      <c r="A636" s="2" t="n">
        <v>1867</v>
      </c>
      <c r="B636" s="2" t="s">
        <v>1585</v>
      </c>
      <c r="C636" s="2" t="s">
        <v>1926</v>
      </c>
      <c r="D636" s="2" t="s">
        <v>16</v>
      </c>
      <c r="E636" s="2" t="s">
        <v>3652</v>
      </c>
      <c r="F636" s="2" t="s">
        <v>3608</v>
      </c>
      <c r="G636" s="2" t="s">
        <v>3604</v>
      </c>
      <c r="H636" s="5" t="n">
        <v>3</v>
      </c>
      <c r="I636" s="5" t="s">
        <v>27</v>
      </c>
      <c r="J636" s="5" t="s">
        <v>59</v>
      </c>
      <c r="K636" s="5" t="s">
        <v>292</v>
      </c>
      <c r="L636" s="5" t="n">
        <v>250</v>
      </c>
      <c r="M636" s="5" t="n">
        <v>750</v>
      </c>
      <c r="N636" s="6" t="n">
        <f aca="false">L636*0.6*H636</f>
        <v>450</v>
      </c>
      <c r="O636" s="6" t="n">
        <f aca="false">M636-N636</f>
        <v>300</v>
      </c>
      <c r="P636" s="7" t="n">
        <f aca="false">IF(M636=0,0,O636/M636)</f>
        <v>0.4</v>
      </c>
    </row>
    <row r="637" customFormat="false" ht="15" hidden="false" customHeight="false" outlineLevel="0" collapsed="false">
      <c r="A637" s="3" t="n">
        <v>1868</v>
      </c>
      <c r="B637" s="3" t="s">
        <v>2504</v>
      </c>
      <c r="C637" s="3" t="s">
        <v>2503</v>
      </c>
      <c r="D637" s="3" t="s">
        <v>49</v>
      </c>
      <c r="E637" s="3" t="s">
        <v>3765</v>
      </c>
      <c r="F637" s="3" t="s">
        <v>3594</v>
      </c>
      <c r="G637" s="3" t="s">
        <v>3595</v>
      </c>
      <c r="H637" s="8" t="n">
        <v>2</v>
      </c>
      <c r="I637" s="8" t="s">
        <v>97</v>
      </c>
      <c r="J637" s="8" t="s">
        <v>121</v>
      </c>
      <c r="K637" s="8" t="s">
        <v>123</v>
      </c>
      <c r="L637" s="8" t="n">
        <v>250</v>
      </c>
      <c r="M637" s="8" t="n">
        <v>500</v>
      </c>
      <c r="N637" s="6" t="n">
        <f aca="false">L637*0.6*H637</f>
        <v>300</v>
      </c>
      <c r="O637" s="6" t="n">
        <f aca="false">M637-N637</f>
        <v>200</v>
      </c>
      <c r="P637" s="7" t="n">
        <f aca="false">IF(M637=0,0,O637/M637)</f>
        <v>0.4</v>
      </c>
    </row>
    <row r="638" customFormat="false" ht="15" hidden="false" customHeight="false" outlineLevel="0" collapsed="false">
      <c r="A638" s="2" t="n">
        <v>1869</v>
      </c>
      <c r="B638" s="2" t="s">
        <v>167</v>
      </c>
      <c r="C638" s="2" t="s">
        <v>2507</v>
      </c>
      <c r="D638" s="2" t="s">
        <v>34</v>
      </c>
      <c r="E638" s="2" t="s">
        <v>3856</v>
      </c>
      <c r="F638" s="2" t="s">
        <v>3608</v>
      </c>
      <c r="G638" s="2" t="s">
        <v>3604</v>
      </c>
      <c r="H638" s="5" t="n">
        <v>1</v>
      </c>
      <c r="I638" s="5" t="s">
        <v>27</v>
      </c>
      <c r="J638" s="5" t="s">
        <v>36</v>
      </c>
      <c r="K638" s="5" t="s">
        <v>38</v>
      </c>
      <c r="L638" s="5" t="n">
        <v>300</v>
      </c>
      <c r="M638" s="5" t="n">
        <v>300</v>
      </c>
      <c r="N638" s="6" t="n">
        <f aca="false">L638*0.6*H638</f>
        <v>180</v>
      </c>
      <c r="O638" s="6" t="n">
        <f aca="false">M638-N638</f>
        <v>120</v>
      </c>
      <c r="P638" s="7" t="n">
        <f aca="false">IF(M638=0,0,O638/M638)</f>
        <v>0.4</v>
      </c>
    </row>
    <row r="639" customFormat="false" ht="15" hidden="false" customHeight="false" outlineLevel="0" collapsed="false">
      <c r="A639" s="3" t="n">
        <v>1870</v>
      </c>
      <c r="B639" s="3" t="s">
        <v>2511</v>
      </c>
      <c r="C639" s="3" t="s">
        <v>2510</v>
      </c>
      <c r="D639" s="3" t="s">
        <v>34</v>
      </c>
      <c r="E639" s="3" t="s">
        <v>3664</v>
      </c>
      <c r="F639" s="3" t="s">
        <v>3628</v>
      </c>
      <c r="G639" s="3" t="s">
        <v>3595</v>
      </c>
      <c r="H639" s="8" t="n">
        <v>3</v>
      </c>
      <c r="I639" s="8" t="s">
        <v>18</v>
      </c>
      <c r="J639" s="8" t="s">
        <v>19</v>
      </c>
      <c r="K639" s="8" t="s">
        <v>21</v>
      </c>
      <c r="L639" s="8" t="n">
        <v>300</v>
      </c>
      <c r="M639" s="8" t="n">
        <v>900</v>
      </c>
      <c r="N639" s="6" t="n">
        <f aca="false">L639*0.6*H639</f>
        <v>540</v>
      </c>
      <c r="O639" s="6" t="n">
        <f aca="false">M639-N639</f>
        <v>360</v>
      </c>
      <c r="P639" s="7" t="n">
        <f aca="false">IF(M639=0,0,O639/M639)</f>
        <v>0.4</v>
      </c>
    </row>
    <row r="640" customFormat="false" ht="15" hidden="false" customHeight="false" outlineLevel="0" collapsed="false">
      <c r="A640" s="2" t="n">
        <v>1871</v>
      </c>
      <c r="B640" s="2" t="s">
        <v>2514</v>
      </c>
      <c r="C640" s="2" t="s">
        <v>357</v>
      </c>
      <c r="D640" s="2" t="s">
        <v>49</v>
      </c>
      <c r="E640" s="2" t="s">
        <v>3909</v>
      </c>
      <c r="F640" s="2" t="s">
        <v>3591</v>
      </c>
      <c r="G640" s="2" t="s">
        <v>3592</v>
      </c>
      <c r="H640" s="5" t="n">
        <v>3</v>
      </c>
      <c r="I640" s="5" t="s">
        <v>51</v>
      </c>
      <c r="J640" s="5" t="s">
        <v>43</v>
      </c>
      <c r="K640" s="5" t="s">
        <v>111</v>
      </c>
      <c r="L640" s="5" t="n">
        <v>250</v>
      </c>
      <c r="M640" s="5" t="n">
        <v>750</v>
      </c>
      <c r="N640" s="6" t="n">
        <f aca="false">L640*0.6*H640</f>
        <v>450</v>
      </c>
      <c r="O640" s="6" t="n">
        <f aca="false">M640-N640</f>
        <v>300</v>
      </c>
      <c r="P640" s="7" t="n">
        <f aca="false">IF(M640=0,0,O640/M640)</f>
        <v>0.4</v>
      </c>
    </row>
    <row r="641" customFormat="false" ht="15" hidden="false" customHeight="false" outlineLevel="0" collapsed="false">
      <c r="A641" s="3" t="n">
        <v>1872</v>
      </c>
      <c r="B641" s="3" t="s">
        <v>2519</v>
      </c>
      <c r="C641" s="3" t="s">
        <v>2518</v>
      </c>
      <c r="D641" s="3" t="s">
        <v>34</v>
      </c>
      <c r="E641" s="3" t="s">
        <v>3887</v>
      </c>
      <c r="F641" s="3" t="s">
        <v>3628</v>
      </c>
      <c r="G641" s="3" t="s">
        <v>3595</v>
      </c>
      <c r="H641" s="8" t="n">
        <v>1</v>
      </c>
      <c r="I641" s="8" t="s">
        <v>51</v>
      </c>
      <c r="J641" s="8" t="s">
        <v>43</v>
      </c>
      <c r="K641" s="8" t="s">
        <v>67</v>
      </c>
      <c r="L641" s="8" t="n">
        <v>300</v>
      </c>
      <c r="M641" s="8" t="n">
        <v>300</v>
      </c>
      <c r="N641" s="6" t="n">
        <f aca="false">L641*0.6*H641</f>
        <v>180</v>
      </c>
      <c r="O641" s="6" t="n">
        <f aca="false">M641-N641</f>
        <v>120</v>
      </c>
      <c r="P641" s="7" t="n">
        <f aca="false">IF(M641=0,0,O641/M641)</f>
        <v>0.4</v>
      </c>
    </row>
    <row r="642" customFormat="false" ht="15" hidden="false" customHeight="false" outlineLevel="0" collapsed="false">
      <c r="A642" s="2" t="n">
        <v>1873</v>
      </c>
      <c r="B642" s="2" t="s">
        <v>487</v>
      </c>
      <c r="C642" s="2" t="s">
        <v>539</v>
      </c>
      <c r="D642" s="2" t="s">
        <v>49</v>
      </c>
      <c r="E642" s="2" t="s">
        <v>3664</v>
      </c>
      <c r="F642" s="2" t="s">
        <v>3628</v>
      </c>
      <c r="G642" s="2" t="s">
        <v>3595</v>
      </c>
      <c r="H642" s="5" t="n">
        <v>1</v>
      </c>
      <c r="I642" s="5" t="s">
        <v>27</v>
      </c>
      <c r="J642" s="5" t="s">
        <v>43</v>
      </c>
      <c r="K642" s="5" t="s">
        <v>111</v>
      </c>
      <c r="L642" s="5" t="n">
        <v>250</v>
      </c>
      <c r="M642" s="5" t="n">
        <v>250</v>
      </c>
      <c r="N642" s="6" t="n">
        <f aca="false">L642*0.6*H642</f>
        <v>150</v>
      </c>
      <c r="O642" s="6" t="n">
        <f aca="false">M642-N642</f>
        <v>100</v>
      </c>
      <c r="P642" s="7" t="n">
        <f aca="false">IF(M642=0,0,O642/M642)</f>
        <v>0.4</v>
      </c>
    </row>
    <row r="643" customFormat="false" ht="15" hidden="false" customHeight="false" outlineLevel="0" collapsed="false">
      <c r="A643" s="3" t="n">
        <v>1874</v>
      </c>
      <c r="B643" s="3" t="s">
        <v>1151</v>
      </c>
      <c r="C643" s="3" t="s">
        <v>868</v>
      </c>
      <c r="D643" s="3" t="s">
        <v>108</v>
      </c>
      <c r="E643" s="3" t="s">
        <v>3614</v>
      </c>
      <c r="F643" s="3" t="s">
        <v>3594</v>
      </c>
      <c r="G643" s="3" t="s">
        <v>3595</v>
      </c>
      <c r="H643" s="8" t="n">
        <v>3</v>
      </c>
      <c r="I643" s="8" t="s">
        <v>18</v>
      </c>
      <c r="J643" s="8" t="s">
        <v>43</v>
      </c>
      <c r="K643" s="8" t="s">
        <v>45</v>
      </c>
      <c r="L643" s="8" t="n">
        <v>1200</v>
      </c>
      <c r="M643" s="8" t="n">
        <v>3600</v>
      </c>
      <c r="N643" s="6" t="n">
        <f aca="false">L643*0.6*H643</f>
        <v>2160</v>
      </c>
      <c r="O643" s="6" t="n">
        <f aca="false">M643-N643</f>
        <v>1440</v>
      </c>
      <c r="P643" s="7" t="n">
        <f aca="false">IF(M643=0,0,O643/M643)</f>
        <v>0.4</v>
      </c>
    </row>
    <row r="644" customFormat="false" ht="15" hidden="false" customHeight="false" outlineLevel="0" collapsed="false">
      <c r="A644" s="2" t="n">
        <v>1875</v>
      </c>
      <c r="B644" s="2" t="s">
        <v>1003</v>
      </c>
      <c r="C644" s="2" t="s">
        <v>2526</v>
      </c>
      <c r="D644" s="2" t="s">
        <v>108</v>
      </c>
      <c r="E644" s="2" t="s">
        <v>3865</v>
      </c>
      <c r="F644" s="2" t="s">
        <v>1756</v>
      </c>
      <c r="G644" s="2" t="s">
        <v>3595</v>
      </c>
      <c r="H644" s="5" t="n">
        <v>1</v>
      </c>
      <c r="I644" s="5" t="s">
        <v>18</v>
      </c>
      <c r="J644" s="5" t="s">
        <v>78</v>
      </c>
      <c r="K644" s="5" t="s">
        <v>408</v>
      </c>
      <c r="L644" s="5" t="n">
        <v>1200</v>
      </c>
      <c r="M644" s="5" t="n">
        <v>1200</v>
      </c>
      <c r="N644" s="6" t="n">
        <f aca="false">L644*0.6*H644</f>
        <v>720</v>
      </c>
      <c r="O644" s="6" t="n">
        <f aca="false">M644-N644</f>
        <v>480</v>
      </c>
      <c r="P644" s="7" t="n">
        <f aca="false">IF(M644=0,0,O644/M644)</f>
        <v>0.4</v>
      </c>
    </row>
    <row r="645" customFormat="false" ht="15" hidden="false" customHeight="false" outlineLevel="0" collapsed="false">
      <c r="A645" s="3" t="n">
        <v>1876</v>
      </c>
      <c r="B645" s="3" t="s">
        <v>891</v>
      </c>
      <c r="C645" s="3" t="s">
        <v>1180</v>
      </c>
      <c r="D645" s="3" t="s">
        <v>49</v>
      </c>
      <c r="E645" s="3" t="s">
        <v>3751</v>
      </c>
      <c r="F645" s="3" t="s">
        <v>3613</v>
      </c>
      <c r="G645" s="3" t="s">
        <v>3604</v>
      </c>
      <c r="H645" s="8" t="n">
        <v>2</v>
      </c>
      <c r="I645" s="8" t="s">
        <v>51</v>
      </c>
      <c r="J645" s="8" t="s">
        <v>121</v>
      </c>
      <c r="K645" s="8" t="s">
        <v>123</v>
      </c>
      <c r="L645" s="8" t="n">
        <v>250</v>
      </c>
      <c r="M645" s="8" t="n">
        <v>500</v>
      </c>
      <c r="N645" s="6" t="n">
        <f aca="false">L645*0.6*H645</f>
        <v>300</v>
      </c>
      <c r="O645" s="6" t="n">
        <f aca="false">M645-N645</f>
        <v>200</v>
      </c>
      <c r="P645" s="7" t="n">
        <f aca="false">IF(M645=0,0,O645/M645)</f>
        <v>0.4</v>
      </c>
    </row>
    <row r="646" customFormat="false" ht="15" hidden="false" customHeight="false" outlineLevel="0" collapsed="false">
      <c r="A646" s="2" t="n">
        <v>1877</v>
      </c>
      <c r="B646" s="2" t="s">
        <v>2532</v>
      </c>
      <c r="C646" s="2" t="s">
        <v>2531</v>
      </c>
      <c r="D646" s="2" t="s">
        <v>25</v>
      </c>
      <c r="E646" s="2" t="s">
        <v>3874</v>
      </c>
      <c r="F646" s="2" t="s">
        <v>3625</v>
      </c>
      <c r="G646" s="2" t="s">
        <v>3592</v>
      </c>
      <c r="H646" s="5" t="n">
        <v>3</v>
      </c>
      <c r="I646" s="5" t="s">
        <v>18</v>
      </c>
      <c r="J646" s="5" t="s">
        <v>43</v>
      </c>
      <c r="K646" s="5" t="s">
        <v>111</v>
      </c>
      <c r="L646" s="5" t="n">
        <v>800</v>
      </c>
      <c r="M646" s="5" t="n">
        <v>2400</v>
      </c>
      <c r="N646" s="6" t="n">
        <f aca="false">L646*0.6*H646</f>
        <v>1440</v>
      </c>
      <c r="O646" s="6" t="n">
        <f aca="false">M646-N646</f>
        <v>960</v>
      </c>
      <c r="P646" s="7" t="n">
        <f aca="false">IF(M646=0,0,O646/M646)</f>
        <v>0.4</v>
      </c>
    </row>
    <row r="647" customFormat="false" ht="15" hidden="false" customHeight="false" outlineLevel="0" collapsed="false">
      <c r="A647" s="3" t="n">
        <v>1878</v>
      </c>
      <c r="B647" s="3" t="s">
        <v>2535</v>
      </c>
      <c r="C647" s="3" t="s">
        <v>974</v>
      </c>
      <c r="D647" s="3" t="s">
        <v>108</v>
      </c>
      <c r="E647" s="3" t="s">
        <v>3690</v>
      </c>
      <c r="F647" s="3" t="s">
        <v>3594</v>
      </c>
      <c r="G647" s="3" t="s">
        <v>3595</v>
      </c>
      <c r="H647" s="8" t="n">
        <v>2</v>
      </c>
      <c r="I647" s="8" t="s">
        <v>18</v>
      </c>
      <c r="J647" s="8" t="s">
        <v>36</v>
      </c>
      <c r="K647" s="8" t="s">
        <v>38</v>
      </c>
      <c r="L647" s="8" t="n">
        <v>1200</v>
      </c>
      <c r="M647" s="8" t="n">
        <v>2400</v>
      </c>
      <c r="N647" s="6" t="n">
        <f aca="false">L647*0.6*H647</f>
        <v>1440</v>
      </c>
      <c r="O647" s="6" t="n">
        <f aca="false">M647-N647</f>
        <v>960</v>
      </c>
      <c r="P647" s="7" t="n">
        <f aca="false">IF(M647=0,0,O647/M647)</f>
        <v>0.4</v>
      </c>
    </row>
    <row r="648" customFormat="false" ht="15" hidden="false" customHeight="false" outlineLevel="0" collapsed="false">
      <c r="A648" s="2" t="n">
        <v>1879</v>
      </c>
      <c r="B648" s="2" t="s">
        <v>2538</v>
      </c>
      <c r="C648" s="2" t="s">
        <v>1935</v>
      </c>
      <c r="D648" s="2" t="s">
        <v>25</v>
      </c>
      <c r="E648" s="2" t="s">
        <v>3878</v>
      </c>
      <c r="F648" s="2" t="s">
        <v>3599</v>
      </c>
      <c r="G648" s="2" t="s">
        <v>3600</v>
      </c>
      <c r="H648" s="5" t="n">
        <v>3</v>
      </c>
      <c r="I648" s="5" t="s">
        <v>27</v>
      </c>
      <c r="J648" s="5" t="s">
        <v>121</v>
      </c>
      <c r="K648" s="5" t="s">
        <v>123</v>
      </c>
      <c r="L648" s="5" t="n">
        <v>800</v>
      </c>
      <c r="M648" s="5" t="n">
        <v>2400</v>
      </c>
      <c r="N648" s="6" t="n">
        <f aca="false">L648*0.6*H648</f>
        <v>1440</v>
      </c>
      <c r="O648" s="6" t="n">
        <f aca="false">M648-N648</f>
        <v>960</v>
      </c>
      <c r="P648" s="7" t="n">
        <f aca="false">IF(M648=0,0,O648/M648)</f>
        <v>0.4</v>
      </c>
    </row>
    <row r="649" customFormat="false" ht="15" hidden="false" customHeight="false" outlineLevel="0" collapsed="false">
      <c r="A649" s="3" t="n">
        <v>1880</v>
      </c>
      <c r="B649" s="3" t="s">
        <v>1885</v>
      </c>
      <c r="C649" s="3" t="s">
        <v>2541</v>
      </c>
      <c r="D649" s="3" t="s">
        <v>25</v>
      </c>
      <c r="E649" s="3" t="s">
        <v>3835</v>
      </c>
      <c r="F649" s="3" t="s">
        <v>3594</v>
      </c>
      <c r="G649" s="3" t="s">
        <v>3595</v>
      </c>
      <c r="H649" s="8" t="n">
        <v>2</v>
      </c>
      <c r="I649" s="8" t="s">
        <v>51</v>
      </c>
      <c r="J649" s="8" t="s">
        <v>19</v>
      </c>
      <c r="K649" s="8" t="s">
        <v>73</v>
      </c>
      <c r="L649" s="8" t="n">
        <v>800</v>
      </c>
      <c r="M649" s="8" t="n">
        <v>1600</v>
      </c>
      <c r="N649" s="6" t="n">
        <f aca="false">L649*0.6*H649</f>
        <v>960</v>
      </c>
      <c r="O649" s="6" t="n">
        <f aca="false">M649-N649</f>
        <v>640</v>
      </c>
      <c r="P649" s="7" t="n">
        <f aca="false">IF(M649=0,0,O649/M649)</f>
        <v>0.4</v>
      </c>
    </row>
    <row r="650" customFormat="false" ht="15" hidden="false" customHeight="false" outlineLevel="0" collapsed="false">
      <c r="A650" s="2" t="n">
        <v>1881</v>
      </c>
      <c r="B650" s="2" t="s">
        <v>1484</v>
      </c>
      <c r="C650" s="2" t="s">
        <v>733</v>
      </c>
      <c r="D650" s="2" t="s">
        <v>108</v>
      </c>
      <c r="E650" s="2" t="s">
        <v>3865</v>
      </c>
      <c r="F650" s="2" t="s">
        <v>1756</v>
      </c>
      <c r="G650" s="2" t="s">
        <v>3595</v>
      </c>
      <c r="H650" s="5" t="n">
        <v>2</v>
      </c>
      <c r="I650" s="5" t="s">
        <v>18</v>
      </c>
      <c r="J650" s="5" t="s">
        <v>121</v>
      </c>
      <c r="K650" s="5" t="s">
        <v>123</v>
      </c>
      <c r="L650" s="5" t="n">
        <v>1200</v>
      </c>
      <c r="M650" s="5" t="n">
        <v>2400</v>
      </c>
      <c r="N650" s="6" t="n">
        <f aca="false">L650*0.6*H650</f>
        <v>1440</v>
      </c>
      <c r="O650" s="6" t="n">
        <f aca="false">M650-N650</f>
        <v>960</v>
      </c>
      <c r="P650" s="7" t="n">
        <f aca="false">IF(M650=0,0,O650/M650)</f>
        <v>0.4</v>
      </c>
    </row>
    <row r="651" customFormat="false" ht="15" hidden="false" customHeight="false" outlineLevel="0" collapsed="false">
      <c r="A651" s="3" t="n">
        <v>1882</v>
      </c>
      <c r="B651" s="3" t="s">
        <v>2547</v>
      </c>
      <c r="C651" s="3" t="s">
        <v>2546</v>
      </c>
      <c r="D651" s="3" t="s">
        <v>49</v>
      </c>
      <c r="E651" s="3" t="s">
        <v>3876</v>
      </c>
      <c r="F651" s="3" t="s">
        <v>3608</v>
      </c>
      <c r="G651" s="3" t="s">
        <v>3604</v>
      </c>
      <c r="H651" s="8" t="n">
        <v>2</v>
      </c>
      <c r="I651" s="8" t="s">
        <v>51</v>
      </c>
      <c r="J651" s="8" t="s">
        <v>19</v>
      </c>
      <c r="K651" s="8" t="s">
        <v>73</v>
      </c>
      <c r="L651" s="8" t="n">
        <v>250</v>
      </c>
      <c r="M651" s="8" t="n">
        <v>500</v>
      </c>
      <c r="N651" s="6" t="n">
        <f aca="false">L651*0.6*H651</f>
        <v>300</v>
      </c>
      <c r="O651" s="6" t="n">
        <f aca="false">M651-N651</f>
        <v>200</v>
      </c>
      <c r="P651" s="7" t="n">
        <f aca="false">IF(M651=0,0,O651/M651)</f>
        <v>0.4</v>
      </c>
    </row>
    <row r="652" customFormat="false" ht="15" hidden="false" customHeight="false" outlineLevel="0" collapsed="false">
      <c r="A652" s="2" t="n">
        <v>1883</v>
      </c>
      <c r="B652" s="2" t="s">
        <v>2550</v>
      </c>
      <c r="C652" s="2" t="s">
        <v>1728</v>
      </c>
      <c r="D652" s="2" t="s">
        <v>34</v>
      </c>
      <c r="E652" s="2" t="s">
        <v>3745</v>
      </c>
      <c r="F652" s="2" t="s">
        <v>3599</v>
      </c>
      <c r="G652" s="2" t="s">
        <v>3600</v>
      </c>
      <c r="H652" s="5" t="n">
        <v>2</v>
      </c>
      <c r="I652" s="5" t="s">
        <v>97</v>
      </c>
      <c r="J652" s="5" t="s">
        <v>19</v>
      </c>
      <c r="K652" s="5" t="s">
        <v>21</v>
      </c>
      <c r="L652" s="5" t="n">
        <v>300</v>
      </c>
      <c r="M652" s="5" t="n">
        <v>600</v>
      </c>
      <c r="N652" s="6" t="n">
        <f aca="false">L652*0.6*H652</f>
        <v>360</v>
      </c>
      <c r="O652" s="6" t="n">
        <f aca="false">M652-N652</f>
        <v>240</v>
      </c>
      <c r="P652" s="7" t="n">
        <f aca="false">IF(M652=0,0,O652/M652)</f>
        <v>0.4</v>
      </c>
    </row>
    <row r="653" customFormat="false" ht="15" hidden="false" customHeight="false" outlineLevel="0" collapsed="false">
      <c r="A653" s="3" t="n">
        <v>1884</v>
      </c>
      <c r="B653" s="3" t="s">
        <v>2360</v>
      </c>
      <c r="C653" s="3" t="s">
        <v>760</v>
      </c>
      <c r="D653" s="3" t="s">
        <v>25</v>
      </c>
      <c r="E653" s="3" t="s">
        <v>3910</v>
      </c>
      <c r="F653" s="3" t="s">
        <v>2379</v>
      </c>
      <c r="G653" s="3" t="s">
        <v>3592</v>
      </c>
      <c r="H653" s="8" t="n">
        <v>2</v>
      </c>
      <c r="I653" s="8" t="s">
        <v>51</v>
      </c>
      <c r="J653" s="8" t="s">
        <v>43</v>
      </c>
      <c r="K653" s="8" t="s">
        <v>111</v>
      </c>
      <c r="L653" s="8" t="n">
        <v>800</v>
      </c>
      <c r="M653" s="8" t="n">
        <v>1600</v>
      </c>
      <c r="N653" s="6" t="n">
        <f aca="false">L653*0.6*H653</f>
        <v>960</v>
      </c>
      <c r="O653" s="6" t="n">
        <f aca="false">M653-N653</f>
        <v>640</v>
      </c>
      <c r="P653" s="7" t="n">
        <f aca="false">IF(M653=0,0,O653/M653)</f>
        <v>0.4</v>
      </c>
    </row>
    <row r="654" customFormat="false" ht="15" hidden="false" customHeight="false" outlineLevel="0" collapsed="false">
      <c r="A654" s="2" t="n">
        <v>1885</v>
      </c>
      <c r="B654" s="2" t="s">
        <v>2556</v>
      </c>
      <c r="C654" s="2" t="s">
        <v>719</v>
      </c>
      <c r="D654" s="2" t="s">
        <v>49</v>
      </c>
      <c r="E654" s="2" t="s">
        <v>3590</v>
      </c>
      <c r="F654" s="2" t="s">
        <v>3591</v>
      </c>
      <c r="G654" s="2" t="s">
        <v>3592</v>
      </c>
      <c r="H654" s="5" t="n">
        <v>1</v>
      </c>
      <c r="I654" s="5" t="s">
        <v>51</v>
      </c>
      <c r="J654" s="5" t="s">
        <v>59</v>
      </c>
      <c r="K654" s="5" t="s">
        <v>292</v>
      </c>
      <c r="L654" s="5" t="n">
        <v>250</v>
      </c>
      <c r="M654" s="5" t="n">
        <v>250</v>
      </c>
      <c r="N654" s="6" t="n">
        <f aca="false">L654*0.6*H654</f>
        <v>150</v>
      </c>
      <c r="O654" s="6" t="n">
        <f aca="false">M654-N654</f>
        <v>100</v>
      </c>
      <c r="P654" s="7" t="n">
        <f aca="false">IF(M654=0,0,O654/M654)</f>
        <v>0.4</v>
      </c>
    </row>
    <row r="655" customFormat="false" ht="15" hidden="false" customHeight="false" outlineLevel="0" collapsed="false">
      <c r="A655" s="3" t="n">
        <v>1886</v>
      </c>
      <c r="B655" s="3" t="s">
        <v>2559</v>
      </c>
      <c r="C655" s="3" t="s">
        <v>2395</v>
      </c>
      <c r="D655" s="3" t="s">
        <v>25</v>
      </c>
      <c r="E655" s="3" t="s">
        <v>3861</v>
      </c>
      <c r="F655" s="3" t="s">
        <v>3594</v>
      </c>
      <c r="G655" s="3" t="s">
        <v>3595</v>
      </c>
      <c r="H655" s="8" t="n">
        <v>1</v>
      </c>
      <c r="I655" s="8" t="s">
        <v>18</v>
      </c>
      <c r="J655" s="8" t="s">
        <v>121</v>
      </c>
      <c r="K655" s="8" t="s">
        <v>123</v>
      </c>
      <c r="L655" s="8" t="n">
        <v>800</v>
      </c>
      <c r="M655" s="8" t="n">
        <v>800</v>
      </c>
      <c r="N655" s="6" t="n">
        <f aca="false">L655*0.6*H655</f>
        <v>480</v>
      </c>
      <c r="O655" s="6" t="n">
        <f aca="false">M655-N655</f>
        <v>320</v>
      </c>
      <c r="P655" s="7" t="n">
        <f aca="false">IF(M655=0,0,O655/M655)</f>
        <v>0.4</v>
      </c>
    </row>
    <row r="656" customFormat="false" ht="15" hidden="false" customHeight="false" outlineLevel="0" collapsed="false">
      <c r="A656" s="2" t="n">
        <v>1887</v>
      </c>
      <c r="B656" s="2" t="s">
        <v>2563</v>
      </c>
      <c r="C656" s="2" t="s">
        <v>2562</v>
      </c>
      <c r="D656" s="2" t="s">
        <v>25</v>
      </c>
      <c r="E656" s="2" t="s">
        <v>3802</v>
      </c>
      <c r="F656" s="2" t="s">
        <v>3613</v>
      </c>
      <c r="G656" s="2" t="s">
        <v>3604</v>
      </c>
      <c r="H656" s="5" t="n">
        <v>3</v>
      </c>
      <c r="I656" s="5" t="s">
        <v>18</v>
      </c>
      <c r="J656" s="5" t="s">
        <v>78</v>
      </c>
      <c r="K656" s="5" t="s">
        <v>80</v>
      </c>
      <c r="L656" s="5" t="n">
        <v>800</v>
      </c>
      <c r="M656" s="5" t="n">
        <v>2400</v>
      </c>
      <c r="N656" s="6" t="n">
        <f aca="false">L656*0.6*H656</f>
        <v>1440</v>
      </c>
      <c r="O656" s="6" t="n">
        <f aca="false">M656-N656</f>
        <v>960</v>
      </c>
      <c r="P656" s="7" t="n">
        <f aca="false">IF(M656=0,0,O656/M656)</f>
        <v>0.4</v>
      </c>
    </row>
    <row r="657" customFormat="false" ht="15" hidden="false" customHeight="false" outlineLevel="0" collapsed="false">
      <c r="A657" s="3" t="n">
        <v>1888</v>
      </c>
      <c r="B657" s="3" t="s">
        <v>575</v>
      </c>
      <c r="C657" s="3" t="s">
        <v>2566</v>
      </c>
      <c r="D657" s="3" t="s">
        <v>25</v>
      </c>
      <c r="E657" s="3" t="s">
        <v>3911</v>
      </c>
      <c r="F657" s="3" t="s">
        <v>3599</v>
      </c>
      <c r="G657" s="3" t="s">
        <v>3600</v>
      </c>
      <c r="H657" s="8" t="n">
        <v>1</v>
      </c>
      <c r="I657" s="8" t="s">
        <v>18</v>
      </c>
      <c r="J657" s="8" t="s">
        <v>19</v>
      </c>
      <c r="K657" s="8" t="s">
        <v>21</v>
      </c>
      <c r="L657" s="8" t="n">
        <v>800</v>
      </c>
      <c r="M657" s="8" t="n">
        <v>800</v>
      </c>
      <c r="N657" s="6" t="n">
        <f aca="false">L657*0.6*H657</f>
        <v>480</v>
      </c>
      <c r="O657" s="6" t="n">
        <f aca="false">M657-N657</f>
        <v>320</v>
      </c>
      <c r="P657" s="7" t="n">
        <f aca="false">IF(M657=0,0,O657/M657)</f>
        <v>0.4</v>
      </c>
    </row>
    <row r="658" customFormat="false" ht="15" hidden="false" customHeight="false" outlineLevel="0" collapsed="false">
      <c r="A658" s="2" t="n">
        <v>1889</v>
      </c>
      <c r="B658" s="2" t="s">
        <v>2571</v>
      </c>
      <c r="C658" s="2" t="s">
        <v>2570</v>
      </c>
      <c r="D658" s="2" t="s">
        <v>147</v>
      </c>
      <c r="E658" s="2" t="s">
        <v>3850</v>
      </c>
      <c r="F658" s="2" t="s">
        <v>3591</v>
      </c>
      <c r="G658" s="2" t="s">
        <v>3592</v>
      </c>
      <c r="H658" s="5" t="n">
        <v>3</v>
      </c>
      <c r="I658" s="5" t="s">
        <v>97</v>
      </c>
      <c r="J658" s="5" t="s">
        <v>28</v>
      </c>
      <c r="K658" s="5" t="s">
        <v>30</v>
      </c>
      <c r="L658" s="5" t="n">
        <v>600</v>
      </c>
      <c r="M658" s="5" t="n">
        <v>1800</v>
      </c>
      <c r="N658" s="6" t="n">
        <f aca="false">L658*0.6*H658</f>
        <v>1080</v>
      </c>
      <c r="O658" s="6" t="n">
        <f aca="false">M658-N658</f>
        <v>720</v>
      </c>
      <c r="P658" s="7" t="n">
        <f aca="false">IF(M658=0,0,O658/M658)</f>
        <v>0.4</v>
      </c>
    </row>
    <row r="659" customFormat="false" ht="15" hidden="false" customHeight="false" outlineLevel="0" collapsed="false">
      <c r="A659" s="3" t="n">
        <v>1890</v>
      </c>
      <c r="B659" s="3" t="s">
        <v>2574</v>
      </c>
      <c r="C659" s="3" t="s">
        <v>118</v>
      </c>
      <c r="D659" s="3" t="s">
        <v>108</v>
      </c>
      <c r="E659" s="3" t="s">
        <v>3912</v>
      </c>
      <c r="F659" s="3" t="s">
        <v>3606</v>
      </c>
      <c r="G659" s="3" t="s">
        <v>3600</v>
      </c>
      <c r="H659" s="8" t="n">
        <v>3</v>
      </c>
      <c r="I659" s="8" t="s">
        <v>51</v>
      </c>
      <c r="J659" s="8" t="s">
        <v>52</v>
      </c>
      <c r="K659" s="8" t="s">
        <v>54</v>
      </c>
      <c r="L659" s="8" t="n">
        <v>1200</v>
      </c>
      <c r="M659" s="8" t="n">
        <v>3600</v>
      </c>
      <c r="N659" s="6" t="n">
        <f aca="false">L659*0.6*H659</f>
        <v>2160</v>
      </c>
      <c r="O659" s="6" t="n">
        <f aca="false">M659-N659</f>
        <v>1440</v>
      </c>
      <c r="P659" s="7" t="n">
        <f aca="false">IF(M659=0,0,O659/M659)</f>
        <v>0.4</v>
      </c>
    </row>
    <row r="660" customFormat="false" ht="15" hidden="false" customHeight="false" outlineLevel="0" collapsed="false">
      <c r="A660" s="2" t="n">
        <v>1891</v>
      </c>
      <c r="B660" s="2" t="s">
        <v>1891</v>
      </c>
      <c r="C660" s="2" t="s">
        <v>2578</v>
      </c>
      <c r="D660" s="2" t="s">
        <v>147</v>
      </c>
      <c r="E660" s="2" t="s">
        <v>3913</v>
      </c>
      <c r="F660" s="2" t="s">
        <v>3594</v>
      </c>
      <c r="G660" s="2" t="s">
        <v>3595</v>
      </c>
      <c r="H660" s="5" t="n">
        <v>2</v>
      </c>
      <c r="I660" s="5" t="s">
        <v>51</v>
      </c>
      <c r="J660" s="5" t="s">
        <v>78</v>
      </c>
      <c r="K660" s="5" t="s">
        <v>408</v>
      </c>
      <c r="L660" s="5" t="n">
        <v>600</v>
      </c>
      <c r="M660" s="5" t="n">
        <v>1200</v>
      </c>
      <c r="N660" s="6" t="n">
        <f aca="false">L660*0.6*H660</f>
        <v>720</v>
      </c>
      <c r="O660" s="6" t="n">
        <f aca="false">M660-N660</f>
        <v>480</v>
      </c>
      <c r="P660" s="7" t="n">
        <f aca="false">IF(M660=0,0,O660/M660)</f>
        <v>0.4</v>
      </c>
    </row>
    <row r="661" customFormat="false" ht="15" hidden="false" customHeight="false" outlineLevel="0" collapsed="false">
      <c r="A661" s="3" t="n">
        <v>1892</v>
      </c>
      <c r="B661" s="3" t="s">
        <v>2583</v>
      </c>
      <c r="C661" s="3" t="s">
        <v>2582</v>
      </c>
      <c r="D661" s="3" t="s">
        <v>147</v>
      </c>
      <c r="E661" s="3" t="s">
        <v>3914</v>
      </c>
      <c r="F661" s="3" t="s">
        <v>1756</v>
      </c>
      <c r="G661" s="3" t="s">
        <v>3595</v>
      </c>
      <c r="H661" s="8" t="n">
        <v>2</v>
      </c>
      <c r="I661" s="8" t="s">
        <v>51</v>
      </c>
      <c r="J661" s="8" t="s">
        <v>36</v>
      </c>
      <c r="K661" s="8" t="s">
        <v>170</v>
      </c>
      <c r="L661" s="8" t="n">
        <v>600</v>
      </c>
      <c r="M661" s="8" t="n">
        <v>1200</v>
      </c>
      <c r="N661" s="6" t="n">
        <f aca="false">L661*0.6*H661</f>
        <v>720</v>
      </c>
      <c r="O661" s="6" t="n">
        <f aca="false">M661-N661</f>
        <v>480</v>
      </c>
      <c r="P661" s="7" t="n">
        <f aca="false">IF(M661=0,0,O661/M661)</f>
        <v>0.4</v>
      </c>
    </row>
    <row r="662" customFormat="false" ht="15" hidden="false" customHeight="false" outlineLevel="0" collapsed="false">
      <c r="A662" s="2" t="n">
        <v>1893</v>
      </c>
      <c r="B662" s="2" t="s">
        <v>1202</v>
      </c>
      <c r="C662" s="2" t="s">
        <v>380</v>
      </c>
      <c r="D662" s="2" t="s">
        <v>147</v>
      </c>
      <c r="E662" s="2" t="s">
        <v>3801</v>
      </c>
      <c r="F662" s="2" t="s">
        <v>3628</v>
      </c>
      <c r="G662" s="2" t="s">
        <v>3595</v>
      </c>
      <c r="H662" s="5" t="n">
        <v>1</v>
      </c>
      <c r="I662" s="5" t="s">
        <v>27</v>
      </c>
      <c r="J662" s="5" t="s">
        <v>52</v>
      </c>
      <c r="K662" s="5" t="s">
        <v>54</v>
      </c>
      <c r="L662" s="5" t="n">
        <v>600</v>
      </c>
      <c r="M662" s="5" t="n">
        <v>600</v>
      </c>
      <c r="N662" s="6" t="n">
        <f aca="false">L662*0.6*H662</f>
        <v>360</v>
      </c>
      <c r="O662" s="6" t="n">
        <f aca="false">M662-N662</f>
        <v>240</v>
      </c>
      <c r="P662" s="7" t="n">
        <f aca="false">IF(M662=0,0,O662/M662)</f>
        <v>0.4</v>
      </c>
    </row>
    <row r="663" customFormat="false" ht="15" hidden="false" customHeight="false" outlineLevel="0" collapsed="false">
      <c r="A663" s="3" t="n">
        <v>1894</v>
      </c>
      <c r="B663" s="3" t="s">
        <v>300</v>
      </c>
      <c r="C663" s="3" t="s">
        <v>2589</v>
      </c>
      <c r="D663" s="3" t="s">
        <v>108</v>
      </c>
      <c r="E663" s="3" t="s">
        <v>3864</v>
      </c>
      <c r="F663" s="3" t="s">
        <v>3608</v>
      </c>
      <c r="G663" s="3" t="s">
        <v>3604</v>
      </c>
      <c r="H663" s="8" t="n">
        <v>1</v>
      </c>
      <c r="I663" s="8" t="s">
        <v>27</v>
      </c>
      <c r="J663" s="8" t="s">
        <v>78</v>
      </c>
      <c r="K663" s="8" t="s">
        <v>408</v>
      </c>
      <c r="L663" s="8" t="n">
        <v>1200</v>
      </c>
      <c r="M663" s="8" t="n">
        <v>1200</v>
      </c>
      <c r="N663" s="6" t="n">
        <f aca="false">L663*0.6*H663</f>
        <v>720</v>
      </c>
      <c r="O663" s="6" t="n">
        <f aca="false">M663-N663</f>
        <v>480</v>
      </c>
      <c r="P663" s="7" t="n">
        <f aca="false">IF(M663=0,0,O663/M663)</f>
        <v>0.4</v>
      </c>
    </row>
    <row r="664" customFormat="false" ht="15" hidden="false" customHeight="false" outlineLevel="0" collapsed="false">
      <c r="A664" s="2" t="n">
        <v>1895</v>
      </c>
      <c r="B664" s="2" t="s">
        <v>2593</v>
      </c>
      <c r="C664" s="2" t="s">
        <v>2592</v>
      </c>
      <c r="D664" s="2" t="s">
        <v>16</v>
      </c>
      <c r="E664" s="2" t="s">
        <v>3689</v>
      </c>
      <c r="F664" s="2" t="s">
        <v>3625</v>
      </c>
      <c r="G664" s="2" t="s">
        <v>3592</v>
      </c>
      <c r="H664" s="5" t="n">
        <v>2</v>
      </c>
      <c r="I664" s="5" t="s">
        <v>51</v>
      </c>
      <c r="J664" s="5" t="s">
        <v>78</v>
      </c>
      <c r="K664" s="5" t="s">
        <v>408</v>
      </c>
      <c r="L664" s="5" t="n">
        <v>250</v>
      </c>
      <c r="M664" s="5" t="n">
        <v>500</v>
      </c>
      <c r="N664" s="6" t="n">
        <f aca="false">L664*0.6*H664</f>
        <v>300</v>
      </c>
      <c r="O664" s="6" t="n">
        <f aca="false">M664-N664</f>
        <v>200</v>
      </c>
      <c r="P664" s="7" t="n">
        <f aca="false">IF(M664=0,0,O664/M664)</f>
        <v>0.4</v>
      </c>
    </row>
    <row r="665" customFormat="false" ht="15" hidden="false" customHeight="false" outlineLevel="0" collapsed="false">
      <c r="A665" s="3" t="n">
        <v>1896</v>
      </c>
      <c r="B665" s="3" t="s">
        <v>2597</v>
      </c>
      <c r="C665" s="3" t="s">
        <v>2596</v>
      </c>
      <c r="D665" s="3" t="s">
        <v>49</v>
      </c>
      <c r="E665" s="3" t="s">
        <v>3888</v>
      </c>
      <c r="F665" s="3" t="s">
        <v>3613</v>
      </c>
      <c r="G665" s="3" t="s">
        <v>3604</v>
      </c>
      <c r="H665" s="8" t="n">
        <v>2</v>
      </c>
      <c r="I665" s="8" t="s">
        <v>51</v>
      </c>
      <c r="J665" s="8" t="s">
        <v>43</v>
      </c>
      <c r="K665" s="8" t="s">
        <v>111</v>
      </c>
      <c r="L665" s="8" t="n">
        <v>250</v>
      </c>
      <c r="M665" s="8" t="n">
        <v>500</v>
      </c>
      <c r="N665" s="6" t="n">
        <f aca="false">L665*0.6*H665</f>
        <v>300</v>
      </c>
      <c r="O665" s="6" t="n">
        <f aca="false">M665-N665</f>
        <v>200</v>
      </c>
      <c r="P665" s="7" t="n">
        <f aca="false">IF(M665=0,0,O665/M665)</f>
        <v>0.4</v>
      </c>
    </row>
    <row r="666" customFormat="false" ht="15" hidden="false" customHeight="false" outlineLevel="0" collapsed="false">
      <c r="A666" s="2" t="n">
        <v>1897</v>
      </c>
      <c r="B666" s="2" t="s">
        <v>2253</v>
      </c>
      <c r="C666" s="2" t="s">
        <v>1247</v>
      </c>
      <c r="D666" s="2" t="s">
        <v>108</v>
      </c>
      <c r="E666" s="2" t="s">
        <v>3915</v>
      </c>
      <c r="F666" s="2" t="s">
        <v>3613</v>
      </c>
      <c r="G666" s="2" t="s">
        <v>3604</v>
      </c>
      <c r="H666" s="5" t="n">
        <v>3</v>
      </c>
      <c r="I666" s="5" t="s">
        <v>97</v>
      </c>
      <c r="J666" s="5" t="s">
        <v>19</v>
      </c>
      <c r="K666" s="5" t="s">
        <v>73</v>
      </c>
      <c r="L666" s="5" t="n">
        <v>1200</v>
      </c>
      <c r="M666" s="5" t="n">
        <v>3600</v>
      </c>
      <c r="N666" s="6" t="n">
        <f aca="false">L666*0.6*H666</f>
        <v>2160</v>
      </c>
      <c r="O666" s="6" t="n">
        <f aca="false">M666-N666</f>
        <v>1440</v>
      </c>
      <c r="P666" s="7" t="n">
        <f aca="false">IF(M666=0,0,O666/M666)</f>
        <v>0.4</v>
      </c>
    </row>
    <row r="667" customFormat="false" ht="15" hidden="false" customHeight="false" outlineLevel="0" collapsed="false">
      <c r="A667" s="3" t="n">
        <v>1898</v>
      </c>
      <c r="B667" s="3" t="s">
        <v>2604</v>
      </c>
      <c r="C667" s="3" t="s">
        <v>2603</v>
      </c>
      <c r="D667" s="3" t="s">
        <v>108</v>
      </c>
      <c r="E667" s="3" t="s">
        <v>3820</v>
      </c>
      <c r="F667" s="3" t="s">
        <v>3591</v>
      </c>
      <c r="G667" s="3" t="s">
        <v>3592</v>
      </c>
      <c r="H667" s="8" t="n">
        <v>3</v>
      </c>
      <c r="I667" s="8" t="s">
        <v>18</v>
      </c>
      <c r="J667" s="8" t="s">
        <v>52</v>
      </c>
      <c r="K667" s="8" t="s">
        <v>182</v>
      </c>
      <c r="L667" s="8" t="n">
        <v>1200</v>
      </c>
      <c r="M667" s="8" t="n">
        <v>3600</v>
      </c>
      <c r="N667" s="6" t="n">
        <f aca="false">L667*0.6*H667</f>
        <v>2160</v>
      </c>
      <c r="O667" s="6" t="n">
        <f aca="false">M667-N667</f>
        <v>1440</v>
      </c>
      <c r="P667" s="7" t="n">
        <f aca="false">IF(M667=0,0,O667/M667)</f>
        <v>0.4</v>
      </c>
    </row>
    <row r="668" customFormat="false" ht="15" hidden="false" customHeight="false" outlineLevel="0" collapsed="false">
      <c r="A668" s="2" t="n">
        <v>1899</v>
      </c>
      <c r="B668" s="2" t="s">
        <v>1104</v>
      </c>
      <c r="C668" s="2" t="s">
        <v>2574</v>
      </c>
      <c r="D668" s="2" t="s">
        <v>16</v>
      </c>
      <c r="E668" s="2" t="s">
        <v>3694</v>
      </c>
      <c r="F668" s="2" t="s">
        <v>3603</v>
      </c>
      <c r="G668" s="2" t="s">
        <v>3604</v>
      </c>
      <c r="H668" s="5" t="n">
        <v>1</v>
      </c>
      <c r="I668" s="5" t="s">
        <v>18</v>
      </c>
      <c r="J668" s="5" t="s">
        <v>19</v>
      </c>
      <c r="K668" s="5" t="s">
        <v>21</v>
      </c>
      <c r="L668" s="5" t="n">
        <v>250</v>
      </c>
      <c r="M668" s="5" t="n">
        <v>250</v>
      </c>
      <c r="N668" s="6" t="n">
        <f aca="false">L668*0.6*H668</f>
        <v>150</v>
      </c>
      <c r="O668" s="6" t="n">
        <f aca="false">M668-N668</f>
        <v>100</v>
      </c>
      <c r="P668" s="7" t="n">
        <f aca="false">IF(M668=0,0,O668/M668)</f>
        <v>0.4</v>
      </c>
    </row>
    <row r="669" customFormat="false" ht="15" hidden="false" customHeight="false" outlineLevel="0" collapsed="false">
      <c r="A669" s="3" t="n">
        <v>1900</v>
      </c>
      <c r="B669" s="3" t="s">
        <v>2609</v>
      </c>
      <c r="C669" s="3" t="s">
        <v>700</v>
      </c>
      <c r="D669" s="3" t="s">
        <v>25</v>
      </c>
      <c r="E669" s="3" t="s">
        <v>3779</v>
      </c>
      <c r="F669" s="3" t="s">
        <v>3599</v>
      </c>
      <c r="G669" s="3" t="s">
        <v>3600</v>
      </c>
      <c r="H669" s="8" t="n">
        <v>1</v>
      </c>
      <c r="I669" s="8" t="s">
        <v>18</v>
      </c>
      <c r="J669" s="8" t="s">
        <v>78</v>
      </c>
      <c r="K669" s="8" t="s">
        <v>80</v>
      </c>
      <c r="L669" s="8" t="n">
        <v>800</v>
      </c>
      <c r="M669" s="8" t="n">
        <v>800</v>
      </c>
      <c r="N669" s="6" t="n">
        <f aca="false">L669*0.6*H669</f>
        <v>480</v>
      </c>
      <c r="O669" s="6" t="n">
        <f aca="false">M669-N669</f>
        <v>320</v>
      </c>
      <c r="P669" s="7" t="n">
        <f aca="false">IF(M669=0,0,O669/M669)</f>
        <v>0.4</v>
      </c>
    </row>
    <row r="670" customFormat="false" ht="15" hidden="false" customHeight="false" outlineLevel="0" collapsed="false">
      <c r="A670" s="2" t="n">
        <v>1901</v>
      </c>
      <c r="B670" s="2" t="s">
        <v>2612</v>
      </c>
      <c r="C670" s="2" t="s">
        <v>2271</v>
      </c>
      <c r="D670" s="2" t="s">
        <v>49</v>
      </c>
      <c r="E670" s="2" t="s">
        <v>3889</v>
      </c>
      <c r="F670" s="2" t="s">
        <v>2379</v>
      </c>
      <c r="G670" s="2" t="s">
        <v>3592</v>
      </c>
      <c r="H670" s="5" t="n">
        <v>2</v>
      </c>
      <c r="I670" s="5" t="s">
        <v>51</v>
      </c>
      <c r="J670" s="5" t="s">
        <v>121</v>
      </c>
      <c r="K670" s="5" t="s">
        <v>317</v>
      </c>
      <c r="L670" s="5" t="n">
        <v>250</v>
      </c>
      <c r="M670" s="5" t="n">
        <v>500</v>
      </c>
      <c r="N670" s="6" t="n">
        <f aca="false">L670*0.6*H670</f>
        <v>300</v>
      </c>
      <c r="O670" s="6" t="n">
        <f aca="false">M670-N670</f>
        <v>200</v>
      </c>
      <c r="P670" s="7" t="n">
        <f aca="false">IF(M670=0,0,O670/M670)</f>
        <v>0.4</v>
      </c>
    </row>
    <row r="671" customFormat="false" ht="15" hidden="false" customHeight="false" outlineLevel="0" collapsed="false">
      <c r="A671" s="3" t="n">
        <v>1902</v>
      </c>
      <c r="B671" s="3" t="s">
        <v>2615</v>
      </c>
      <c r="C671" s="3" t="s">
        <v>414</v>
      </c>
      <c r="D671" s="3" t="s">
        <v>49</v>
      </c>
      <c r="E671" s="3" t="s">
        <v>3736</v>
      </c>
      <c r="F671" s="3" t="s">
        <v>3599</v>
      </c>
      <c r="G671" s="3" t="s">
        <v>3600</v>
      </c>
      <c r="H671" s="8" t="n">
        <v>1</v>
      </c>
      <c r="I671" s="8" t="s">
        <v>51</v>
      </c>
      <c r="J671" s="8" t="s">
        <v>28</v>
      </c>
      <c r="K671" s="8" t="s">
        <v>30</v>
      </c>
      <c r="L671" s="8" t="n">
        <v>250</v>
      </c>
      <c r="M671" s="8" t="n">
        <v>250</v>
      </c>
      <c r="N671" s="6" t="n">
        <f aca="false">L671*0.6*H671</f>
        <v>150</v>
      </c>
      <c r="O671" s="6" t="n">
        <f aca="false">M671-N671</f>
        <v>100</v>
      </c>
      <c r="P671" s="7" t="n">
        <f aca="false">IF(M671=0,0,O671/M671)</f>
        <v>0.4</v>
      </c>
    </row>
    <row r="672" customFormat="false" ht="15" hidden="false" customHeight="false" outlineLevel="0" collapsed="false">
      <c r="A672" s="2" t="n">
        <v>1903</v>
      </c>
      <c r="B672" s="2" t="s">
        <v>1035</v>
      </c>
      <c r="C672" s="2" t="s">
        <v>204</v>
      </c>
      <c r="D672" s="2" t="s">
        <v>16</v>
      </c>
      <c r="E672" s="2" t="s">
        <v>3916</v>
      </c>
      <c r="F672" s="2" t="s">
        <v>2379</v>
      </c>
      <c r="G672" s="2" t="s">
        <v>3592</v>
      </c>
      <c r="H672" s="5" t="n">
        <v>2</v>
      </c>
      <c r="I672" s="5" t="s">
        <v>51</v>
      </c>
      <c r="J672" s="5" t="s">
        <v>52</v>
      </c>
      <c r="K672" s="5" t="s">
        <v>54</v>
      </c>
      <c r="L672" s="5" t="n">
        <v>250</v>
      </c>
      <c r="M672" s="5" t="n">
        <v>500</v>
      </c>
      <c r="N672" s="6" t="n">
        <f aca="false">L672*0.6*H672</f>
        <v>300</v>
      </c>
      <c r="O672" s="6" t="n">
        <f aca="false">M672-N672</f>
        <v>200</v>
      </c>
      <c r="P672" s="7" t="n">
        <f aca="false">IF(M672=0,0,O672/M672)</f>
        <v>0.4</v>
      </c>
    </row>
    <row r="673" customFormat="false" ht="15" hidden="false" customHeight="false" outlineLevel="0" collapsed="false">
      <c r="A673" s="3" t="n">
        <v>1904</v>
      </c>
      <c r="B673" s="3" t="s">
        <v>2621</v>
      </c>
      <c r="C673" s="3" t="s">
        <v>656</v>
      </c>
      <c r="D673" s="3" t="s">
        <v>108</v>
      </c>
      <c r="E673" s="3" t="s">
        <v>3746</v>
      </c>
      <c r="F673" s="3" t="s">
        <v>2379</v>
      </c>
      <c r="G673" s="3" t="s">
        <v>3592</v>
      </c>
      <c r="H673" s="8" t="n">
        <v>3</v>
      </c>
      <c r="I673" s="8" t="s">
        <v>51</v>
      </c>
      <c r="J673" s="8" t="s">
        <v>43</v>
      </c>
      <c r="K673" s="8" t="s">
        <v>45</v>
      </c>
      <c r="L673" s="8" t="n">
        <v>1200</v>
      </c>
      <c r="M673" s="8" t="n">
        <v>3600</v>
      </c>
      <c r="N673" s="6" t="n">
        <f aca="false">L673*0.6*H673</f>
        <v>2160</v>
      </c>
      <c r="O673" s="6" t="n">
        <f aca="false">M673-N673</f>
        <v>1440</v>
      </c>
      <c r="P673" s="7" t="n">
        <f aca="false">IF(M673=0,0,O673/M673)</f>
        <v>0.4</v>
      </c>
    </row>
    <row r="674" customFormat="false" ht="15" hidden="false" customHeight="false" outlineLevel="0" collapsed="false">
      <c r="A674" s="2" t="n">
        <v>1905</v>
      </c>
      <c r="B674" s="2" t="s">
        <v>2624</v>
      </c>
      <c r="C674" s="2" t="s">
        <v>2252</v>
      </c>
      <c r="D674" s="2" t="s">
        <v>108</v>
      </c>
      <c r="E674" s="2" t="s">
        <v>3737</v>
      </c>
      <c r="F674" s="2" t="s">
        <v>3628</v>
      </c>
      <c r="G674" s="2" t="s">
        <v>3595</v>
      </c>
      <c r="H674" s="5" t="n">
        <v>2</v>
      </c>
      <c r="I674" s="5" t="s">
        <v>51</v>
      </c>
      <c r="J674" s="5" t="s">
        <v>28</v>
      </c>
      <c r="K674" s="5" t="s">
        <v>30</v>
      </c>
      <c r="L674" s="5" t="n">
        <v>1200</v>
      </c>
      <c r="M674" s="5" t="n">
        <v>2400</v>
      </c>
      <c r="N674" s="6" t="n">
        <f aca="false">L674*0.6*H674</f>
        <v>1440</v>
      </c>
      <c r="O674" s="6" t="n">
        <f aca="false">M674-N674</f>
        <v>960</v>
      </c>
      <c r="P674" s="7" t="n">
        <f aca="false">IF(M674=0,0,O674/M674)</f>
        <v>0.4</v>
      </c>
    </row>
    <row r="675" customFormat="false" ht="15" hidden="false" customHeight="false" outlineLevel="0" collapsed="false">
      <c r="A675" s="3" t="n">
        <v>1906</v>
      </c>
      <c r="B675" s="3" t="s">
        <v>210</v>
      </c>
      <c r="C675" s="3" t="s">
        <v>2003</v>
      </c>
      <c r="D675" s="3" t="s">
        <v>108</v>
      </c>
      <c r="E675" s="3" t="s">
        <v>3861</v>
      </c>
      <c r="F675" s="3" t="s">
        <v>3594</v>
      </c>
      <c r="G675" s="3" t="s">
        <v>3595</v>
      </c>
      <c r="H675" s="8" t="n">
        <v>1</v>
      </c>
      <c r="I675" s="8" t="s">
        <v>27</v>
      </c>
      <c r="J675" s="8" t="s">
        <v>43</v>
      </c>
      <c r="K675" s="8" t="s">
        <v>67</v>
      </c>
      <c r="L675" s="8" t="n">
        <v>1200</v>
      </c>
      <c r="M675" s="8" t="n">
        <v>1200</v>
      </c>
      <c r="N675" s="6" t="n">
        <f aca="false">L675*0.6*H675</f>
        <v>720</v>
      </c>
      <c r="O675" s="6" t="n">
        <f aca="false">M675-N675</f>
        <v>480</v>
      </c>
      <c r="P675" s="7" t="n">
        <f aca="false">IF(M675=0,0,O675/M675)</f>
        <v>0.4</v>
      </c>
    </row>
    <row r="676" customFormat="false" ht="15" hidden="false" customHeight="false" outlineLevel="0" collapsed="false">
      <c r="A676" s="2" t="n">
        <v>1907</v>
      </c>
      <c r="B676" s="2" t="s">
        <v>2630</v>
      </c>
      <c r="C676" s="2" t="s">
        <v>2629</v>
      </c>
      <c r="D676" s="2" t="s">
        <v>147</v>
      </c>
      <c r="E676" s="2" t="s">
        <v>3836</v>
      </c>
      <c r="F676" s="2" t="s">
        <v>1756</v>
      </c>
      <c r="G676" s="2" t="s">
        <v>3595</v>
      </c>
      <c r="H676" s="5" t="n">
        <v>1</v>
      </c>
      <c r="I676" s="5" t="s">
        <v>18</v>
      </c>
      <c r="J676" s="5" t="s">
        <v>121</v>
      </c>
      <c r="K676" s="5" t="s">
        <v>123</v>
      </c>
      <c r="L676" s="5" t="n">
        <v>600</v>
      </c>
      <c r="M676" s="5" t="n">
        <v>600</v>
      </c>
      <c r="N676" s="6" t="n">
        <f aca="false">L676*0.6*H676</f>
        <v>360</v>
      </c>
      <c r="O676" s="6" t="n">
        <f aca="false">M676-N676</f>
        <v>240</v>
      </c>
      <c r="P676" s="7" t="n">
        <f aca="false">IF(M676=0,0,O676/M676)</f>
        <v>0.4</v>
      </c>
    </row>
    <row r="677" customFormat="false" ht="15" hidden="false" customHeight="false" outlineLevel="0" collapsed="false">
      <c r="A677" s="3" t="n">
        <v>1908</v>
      </c>
      <c r="B677" s="3" t="s">
        <v>1306</v>
      </c>
      <c r="C677" s="3" t="s">
        <v>760</v>
      </c>
      <c r="D677" s="3" t="s">
        <v>16</v>
      </c>
      <c r="E677" s="3" t="s">
        <v>3619</v>
      </c>
      <c r="F677" s="3" t="s">
        <v>1756</v>
      </c>
      <c r="G677" s="3" t="s">
        <v>3595</v>
      </c>
      <c r="H677" s="8" t="n">
        <v>2</v>
      </c>
      <c r="I677" s="8" t="s">
        <v>18</v>
      </c>
      <c r="J677" s="8" t="s">
        <v>78</v>
      </c>
      <c r="K677" s="8" t="s">
        <v>408</v>
      </c>
      <c r="L677" s="8" t="n">
        <v>250</v>
      </c>
      <c r="M677" s="8" t="n">
        <v>500</v>
      </c>
      <c r="N677" s="6" t="n">
        <f aca="false">L677*0.6*H677</f>
        <v>300</v>
      </c>
      <c r="O677" s="6" t="n">
        <f aca="false">M677-N677</f>
        <v>200</v>
      </c>
      <c r="P677" s="7" t="n">
        <f aca="false">IF(M677=0,0,O677/M677)</f>
        <v>0.4</v>
      </c>
    </row>
    <row r="678" customFormat="false" ht="15" hidden="false" customHeight="false" outlineLevel="0" collapsed="false">
      <c r="A678" s="2" t="n">
        <v>1909</v>
      </c>
      <c r="B678" s="2" t="s">
        <v>777</v>
      </c>
      <c r="C678" s="2" t="s">
        <v>101</v>
      </c>
      <c r="D678" s="2" t="s">
        <v>147</v>
      </c>
      <c r="E678" s="2" t="s">
        <v>3908</v>
      </c>
      <c r="F678" s="2" t="s">
        <v>3608</v>
      </c>
      <c r="G678" s="2" t="s">
        <v>3604</v>
      </c>
      <c r="H678" s="5" t="n">
        <v>2</v>
      </c>
      <c r="I678" s="5" t="s">
        <v>51</v>
      </c>
      <c r="J678" s="5" t="s">
        <v>59</v>
      </c>
      <c r="K678" s="5" t="s">
        <v>99</v>
      </c>
      <c r="L678" s="5" t="n">
        <v>600</v>
      </c>
      <c r="M678" s="5" t="n">
        <v>1200</v>
      </c>
      <c r="N678" s="6" t="n">
        <f aca="false">L678*0.6*H678</f>
        <v>720</v>
      </c>
      <c r="O678" s="6" t="n">
        <f aca="false">M678-N678</f>
        <v>480</v>
      </c>
      <c r="P678" s="7" t="n">
        <f aca="false">IF(M678=0,0,O678/M678)</f>
        <v>0.4</v>
      </c>
    </row>
    <row r="679" customFormat="false" ht="15" hidden="false" customHeight="false" outlineLevel="0" collapsed="false">
      <c r="A679" s="3" t="n">
        <v>1910</v>
      </c>
      <c r="B679" s="3" t="s">
        <v>1286</v>
      </c>
      <c r="C679" s="3" t="s">
        <v>2637</v>
      </c>
      <c r="D679" s="3" t="s">
        <v>108</v>
      </c>
      <c r="E679" s="3" t="s">
        <v>3917</v>
      </c>
      <c r="F679" s="3" t="s">
        <v>1756</v>
      </c>
      <c r="G679" s="3" t="s">
        <v>3595</v>
      </c>
      <c r="H679" s="8" t="n">
        <v>2</v>
      </c>
      <c r="I679" s="8" t="s">
        <v>51</v>
      </c>
      <c r="J679" s="8" t="s">
        <v>59</v>
      </c>
      <c r="K679" s="8" t="s">
        <v>292</v>
      </c>
      <c r="L679" s="8" t="n">
        <v>1200</v>
      </c>
      <c r="M679" s="8" t="n">
        <v>2400</v>
      </c>
      <c r="N679" s="6" t="n">
        <f aca="false">L679*0.6*H679</f>
        <v>1440</v>
      </c>
      <c r="O679" s="6" t="n">
        <f aca="false">M679-N679</f>
        <v>960</v>
      </c>
      <c r="P679" s="7" t="n">
        <f aca="false">IF(M679=0,0,O679/M679)</f>
        <v>0.4</v>
      </c>
    </row>
    <row r="680" customFormat="false" ht="15" hidden="false" customHeight="false" outlineLevel="0" collapsed="false">
      <c r="A680" s="2" t="n">
        <v>1911</v>
      </c>
      <c r="B680" s="2" t="s">
        <v>2550</v>
      </c>
      <c r="C680" s="2" t="s">
        <v>188</v>
      </c>
      <c r="D680" s="2" t="s">
        <v>49</v>
      </c>
      <c r="E680" s="2" t="s">
        <v>3777</v>
      </c>
      <c r="F680" s="2" t="s">
        <v>3603</v>
      </c>
      <c r="G680" s="2" t="s">
        <v>3604</v>
      </c>
      <c r="H680" s="5" t="n">
        <v>2</v>
      </c>
      <c r="I680" s="5" t="s">
        <v>97</v>
      </c>
      <c r="J680" s="5" t="s">
        <v>78</v>
      </c>
      <c r="K680" s="5" t="s">
        <v>408</v>
      </c>
      <c r="L680" s="5" t="n">
        <v>250</v>
      </c>
      <c r="M680" s="5" t="n">
        <v>500</v>
      </c>
      <c r="N680" s="6" t="n">
        <f aca="false">L680*0.6*H680</f>
        <v>300</v>
      </c>
      <c r="O680" s="6" t="n">
        <f aca="false">M680-N680</f>
        <v>200</v>
      </c>
      <c r="P680" s="7" t="n">
        <f aca="false">IF(M680=0,0,O680/M680)</f>
        <v>0.4</v>
      </c>
    </row>
    <row r="681" customFormat="false" ht="15" hidden="false" customHeight="false" outlineLevel="0" collapsed="false">
      <c r="A681" s="3" t="n">
        <v>1912</v>
      </c>
      <c r="B681" s="3" t="s">
        <v>2574</v>
      </c>
      <c r="C681" s="3" t="s">
        <v>1159</v>
      </c>
      <c r="D681" s="3" t="s">
        <v>108</v>
      </c>
      <c r="E681" s="3" t="s">
        <v>3918</v>
      </c>
      <c r="F681" s="3" t="s">
        <v>3603</v>
      </c>
      <c r="G681" s="3" t="s">
        <v>3604</v>
      </c>
      <c r="H681" s="8" t="n">
        <v>2</v>
      </c>
      <c r="I681" s="8" t="s">
        <v>97</v>
      </c>
      <c r="J681" s="8" t="s">
        <v>121</v>
      </c>
      <c r="K681" s="8" t="s">
        <v>317</v>
      </c>
      <c r="L681" s="8" t="n">
        <v>1200</v>
      </c>
      <c r="M681" s="8" t="n">
        <v>2400</v>
      </c>
      <c r="N681" s="6" t="n">
        <f aca="false">L681*0.6*H681</f>
        <v>1440</v>
      </c>
      <c r="O681" s="6" t="n">
        <f aca="false">M681-N681</f>
        <v>960</v>
      </c>
      <c r="P681" s="7" t="n">
        <f aca="false">IF(M681=0,0,O681/M681)</f>
        <v>0.4</v>
      </c>
    </row>
    <row r="682" customFormat="false" ht="15" hidden="false" customHeight="false" outlineLevel="0" collapsed="false">
      <c r="A682" s="2" t="n">
        <v>1913</v>
      </c>
      <c r="B682" s="2" t="s">
        <v>552</v>
      </c>
      <c r="C682" s="2" t="s">
        <v>2646</v>
      </c>
      <c r="D682" s="2" t="s">
        <v>108</v>
      </c>
      <c r="E682" s="2" t="s">
        <v>3765</v>
      </c>
      <c r="F682" s="2" t="s">
        <v>3594</v>
      </c>
      <c r="G682" s="2" t="s">
        <v>3595</v>
      </c>
      <c r="H682" s="5" t="n">
        <v>1</v>
      </c>
      <c r="I682" s="5" t="s">
        <v>18</v>
      </c>
      <c r="J682" s="5" t="s">
        <v>19</v>
      </c>
      <c r="K682" s="5" t="s">
        <v>176</v>
      </c>
      <c r="L682" s="5" t="n">
        <v>1200</v>
      </c>
      <c r="M682" s="5" t="n">
        <v>1200</v>
      </c>
      <c r="N682" s="6" t="n">
        <f aca="false">L682*0.6*H682</f>
        <v>720</v>
      </c>
      <c r="O682" s="6" t="n">
        <f aca="false">M682-N682</f>
        <v>480</v>
      </c>
      <c r="P682" s="7" t="n">
        <f aca="false">IF(M682=0,0,O682/M682)</f>
        <v>0.4</v>
      </c>
    </row>
    <row r="683" customFormat="false" ht="15" hidden="false" customHeight="false" outlineLevel="0" collapsed="false">
      <c r="A683" s="3" t="n">
        <v>1914</v>
      </c>
      <c r="B683" s="3" t="s">
        <v>2649</v>
      </c>
      <c r="C683" s="3" t="s">
        <v>2023</v>
      </c>
      <c r="D683" s="3" t="s">
        <v>16</v>
      </c>
      <c r="E683" s="3" t="s">
        <v>3850</v>
      </c>
      <c r="F683" s="3" t="s">
        <v>3591</v>
      </c>
      <c r="G683" s="3" t="s">
        <v>3592</v>
      </c>
      <c r="H683" s="8" t="n">
        <v>2</v>
      </c>
      <c r="I683" s="8" t="s">
        <v>27</v>
      </c>
      <c r="J683" s="8" t="s">
        <v>28</v>
      </c>
      <c r="K683" s="8" t="s">
        <v>30</v>
      </c>
      <c r="L683" s="8" t="n">
        <v>250</v>
      </c>
      <c r="M683" s="8" t="n">
        <v>500</v>
      </c>
      <c r="N683" s="6" t="n">
        <f aca="false">L683*0.6*H683</f>
        <v>300</v>
      </c>
      <c r="O683" s="6" t="n">
        <f aca="false">M683-N683</f>
        <v>200</v>
      </c>
      <c r="P683" s="7" t="n">
        <f aca="false">IF(M683=0,0,O683/M683)</f>
        <v>0.4</v>
      </c>
    </row>
    <row r="684" customFormat="false" ht="15" hidden="false" customHeight="false" outlineLevel="0" collapsed="false">
      <c r="A684" s="2" t="n">
        <v>1915</v>
      </c>
      <c r="B684" s="2" t="s">
        <v>210</v>
      </c>
      <c r="C684" s="2" t="s">
        <v>2652</v>
      </c>
      <c r="D684" s="2" t="s">
        <v>108</v>
      </c>
      <c r="E684" s="2" t="s">
        <v>3814</v>
      </c>
      <c r="F684" s="2" t="s">
        <v>2379</v>
      </c>
      <c r="G684" s="2" t="s">
        <v>3592</v>
      </c>
      <c r="H684" s="5" t="n">
        <v>1</v>
      </c>
      <c r="I684" s="5" t="s">
        <v>18</v>
      </c>
      <c r="J684" s="5" t="s">
        <v>52</v>
      </c>
      <c r="K684" s="5" t="s">
        <v>54</v>
      </c>
      <c r="L684" s="5" t="n">
        <v>1200</v>
      </c>
      <c r="M684" s="5" t="n">
        <v>1200</v>
      </c>
      <c r="N684" s="6" t="n">
        <f aca="false">L684*0.6*H684</f>
        <v>720</v>
      </c>
      <c r="O684" s="6" t="n">
        <f aca="false">M684-N684</f>
        <v>480</v>
      </c>
      <c r="P684" s="7" t="n">
        <f aca="false">IF(M684=0,0,O684/M684)</f>
        <v>0.4</v>
      </c>
    </row>
    <row r="685" customFormat="false" ht="15" hidden="false" customHeight="false" outlineLevel="0" collapsed="false">
      <c r="A685" s="3" t="n">
        <v>1916</v>
      </c>
      <c r="B685" s="3" t="s">
        <v>2655</v>
      </c>
      <c r="C685" s="3" t="s">
        <v>439</v>
      </c>
      <c r="D685" s="3" t="s">
        <v>16</v>
      </c>
      <c r="E685" s="3" t="s">
        <v>3710</v>
      </c>
      <c r="F685" s="3" t="s">
        <v>3594</v>
      </c>
      <c r="G685" s="3" t="s">
        <v>3595</v>
      </c>
      <c r="H685" s="8" t="n">
        <v>3</v>
      </c>
      <c r="I685" s="8" t="s">
        <v>18</v>
      </c>
      <c r="J685" s="8" t="s">
        <v>78</v>
      </c>
      <c r="K685" s="8" t="s">
        <v>86</v>
      </c>
      <c r="L685" s="8" t="n">
        <v>250</v>
      </c>
      <c r="M685" s="8" t="n">
        <v>750</v>
      </c>
      <c r="N685" s="6" t="n">
        <f aca="false">L685*0.6*H685</f>
        <v>450</v>
      </c>
      <c r="O685" s="6" t="n">
        <f aca="false">M685-N685</f>
        <v>300</v>
      </c>
      <c r="P685" s="7" t="n">
        <f aca="false">IF(M685=0,0,O685/M685)</f>
        <v>0.4</v>
      </c>
    </row>
    <row r="686" customFormat="false" ht="15" hidden="false" customHeight="false" outlineLevel="0" collapsed="false">
      <c r="A686" s="2" t="n">
        <v>1917</v>
      </c>
      <c r="B686" s="2" t="s">
        <v>2658</v>
      </c>
      <c r="C686" s="2" t="s">
        <v>366</v>
      </c>
      <c r="D686" s="2" t="s">
        <v>108</v>
      </c>
      <c r="E686" s="2" t="s">
        <v>3919</v>
      </c>
      <c r="F686" s="2" t="s">
        <v>3625</v>
      </c>
      <c r="G686" s="2" t="s">
        <v>3592</v>
      </c>
      <c r="H686" s="5" t="n">
        <v>2</v>
      </c>
      <c r="I686" s="5" t="s">
        <v>51</v>
      </c>
      <c r="J686" s="5" t="s">
        <v>121</v>
      </c>
      <c r="K686" s="5" t="s">
        <v>317</v>
      </c>
      <c r="L686" s="5" t="n">
        <v>1200</v>
      </c>
      <c r="M686" s="5" t="n">
        <v>2400</v>
      </c>
      <c r="N686" s="6" t="n">
        <f aca="false">L686*0.6*H686</f>
        <v>1440</v>
      </c>
      <c r="O686" s="6" t="n">
        <f aca="false">M686-N686</f>
        <v>960</v>
      </c>
      <c r="P686" s="7" t="n">
        <f aca="false">IF(M686=0,0,O686/M686)</f>
        <v>0.4</v>
      </c>
    </row>
    <row r="687" customFormat="false" ht="15" hidden="false" customHeight="false" outlineLevel="0" collapsed="false">
      <c r="A687" s="3" t="n">
        <v>1918</v>
      </c>
      <c r="B687" s="3" t="s">
        <v>2663</v>
      </c>
      <c r="C687" s="3" t="s">
        <v>2662</v>
      </c>
      <c r="D687" s="3" t="s">
        <v>25</v>
      </c>
      <c r="E687" s="3" t="s">
        <v>3747</v>
      </c>
      <c r="F687" s="3" t="s">
        <v>3625</v>
      </c>
      <c r="G687" s="3" t="s">
        <v>3592</v>
      </c>
      <c r="H687" s="8" t="n">
        <v>2</v>
      </c>
      <c r="I687" s="8" t="s">
        <v>97</v>
      </c>
      <c r="J687" s="8" t="s">
        <v>19</v>
      </c>
      <c r="K687" s="8" t="s">
        <v>73</v>
      </c>
      <c r="L687" s="8" t="n">
        <v>800</v>
      </c>
      <c r="M687" s="8" t="n">
        <v>1600</v>
      </c>
      <c r="N687" s="6" t="n">
        <f aca="false">L687*0.6*H687</f>
        <v>960</v>
      </c>
      <c r="O687" s="6" t="n">
        <f aca="false">M687-N687</f>
        <v>640</v>
      </c>
      <c r="P687" s="7" t="n">
        <f aca="false">IF(M687=0,0,O687/M687)</f>
        <v>0.4</v>
      </c>
    </row>
    <row r="688" customFormat="false" ht="15" hidden="false" customHeight="false" outlineLevel="0" collapsed="false">
      <c r="A688" s="2" t="n">
        <v>1919</v>
      </c>
      <c r="B688" s="2" t="s">
        <v>2667</v>
      </c>
      <c r="C688" s="2" t="s">
        <v>2666</v>
      </c>
      <c r="D688" s="2" t="s">
        <v>34</v>
      </c>
      <c r="E688" s="2" t="s">
        <v>3866</v>
      </c>
      <c r="F688" s="2" t="s">
        <v>3591</v>
      </c>
      <c r="G688" s="2" t="s">
        <v>3592</v>
      </c>
      <c r="H688" s="5" t="n">
        <v>3</v>
      </c>
      <c r="I688" s="5" t="s">
        <v>51</v>
      </c>
      <c r="J688" s="5" t="s">
        <v>28</v>
      </c>
      <c r="K688" s="5" t="s">
        <v>30</v>
      </c>
      <c r="L688" s="5" t="n">
        <v>300</v>
      </c>
      <c r="M688" s="5" t="n">
        <v>900</v>
      </c>
      <c r="N688" s="6" t="n">
        <f aca="false">L688*0.6*H688</f>
        <v>540</v>
      </c>
      <c r="O688" s="6" t="n">
        <f aca="false">M688-N688</f>
        <v>360</v>
      </c>
      <c r="P688" s="7" t="n">
        <f aca="false">IF(M688=0,0,O688/M688)</f>
        <v>0.4</v>
      </c>
    </row>
    <row r="689" customFormat="false" ht="15" hidden="false" customHeight="false" outlineLevel="0" collapsed="false">
      <c r="A689" s="3" t="n">
        <v>1920</v>
      </c>
      <c r="B689" s="3" t="s">
        <v>2671</v>
      </c>
      <c r="C689" s="3" t="s">
        <v>2670</v>
      </c>
      <c r="D689" s="3" t="s">
        <v>25</v>
      </c>
      <c r="E689" s="3" t="s">
        <v>3919</v>
      </c>
      <c r="F689" s="3" t="s">
        <v>3625</v>
      </c>
      <c r="G689" s="3" t="s">
        <v>3592</v>
      </c>
      <c r="H689" s="8" t="n">
        <v>1</v>
      </c>
      <c r="I689" s="8" t="s">
        <v>51</v>
      </c>
      <c r="J689" s="8" t="s">
        <v>121</v>
      </c>
      <c r="K689" s="8" t="s">
        <v>317</v>
      </c>
      <c r="L689" s="8" t="n">
        <v>800</v>
      </c>
      <c r="M689" s="8" t="n">
        <v>800</v>
      </c>
      <c r="N689" s="6" t="n">
        <f aca="false">L689*0.6*H689</f>
        <v>480</v>
      </c>
      <c r="O689" s="6" t="n">
        <f aca="false">M689-N689</f>
        <v>320</v>
      </c>
      <c r="P689" s="7" t="n">
        <f aca="false">IF(M689=0,0,O689/M689)</f>
        <v>0.4</v>
      </c>
    </row>
    <row r="690" customFormat="false" ht="15" hidden="false" customHeight="false" outlineLevel="0" collapsed="false">
      <c r="A690" s="2" t="n">
        <v>1921</v>
      </c>
      <c r="B690" s="2" t="s">
        <v>2674</v>
      </c>
      <c r="C690" s="2" t="s">
        <v>890</v>
      </c>
      <c r="D690" s="2" t="s">
        <v>49</v>
      </c>
      <c r="E690" s="2" t="s">
        <v>3742</v>
      </c>
      <c r="F690" s="2" t="s">
        <v>3606</v>
      </c>
      <c r="G690" s="2" t="s">
        <v>3600</v>
      </c>
      <c r="H690" s="5" t="n">
        <v>2</v>
      </c>
      <c r="I690" s="5" t="s">
        <v>27</v>
      </c>
      <c r="J690" s="5" t="s">
        <v>19</v>
      </c>
      <c r="K690" s="5" t="s">
        <v>176</v>
      </c>
      <c r="L690" s="5" t="n">
        <v>250</v>
      </c>
      <c r="M690" s="5" t="n">
        <v>500</v>
      </c>
      <c r="N690" s="6" t="n">
        <f aca="false">L690*0.6*H690</f>
        <v>300</v>
      </c>
      <c r="O690" s="6" t="n">
        <f aca="false">M690-N690</f>
        <v>200</v>
      </c>
      <c r="P690" s="7" t="n">
        <f aca="false">IF(M690=0,0,O690/M690)</f>
        <v>0.4</v>
      </c>
    </row>
    <row r="691" customFormat="false" ht="15" hidden="false" customHeight="false" outlineLevel="0" collapsed="false">
      <c r="A691" s="3" t="n">
        <v>1922</v>
      </c>
      <c r="B691" s="3" t="s">
        <v>1071</v>
      </c>
      <c r="C691" s="3" t="s">
        <v>1618</v>
      </c>
      <c r="D691" s="3" t="s">
        <v>147</v>
      </c>
      <c r="E691" s="3" t="s">
        <v>3755</v>
      </c>
      <c r="F691" s="3" t="s">
        <v>3599</v>
      </c>
      <c r="G691" s="3" t="s">
        <v>3600</v>
      </c>
      <c r="H691" s="8" t="n">
        <v>1</v>
      </c>
      <c r="I691" s="8" t="s">
        <v>18</v>
      </c>
      <c r="J691" s="8" t="s">
        <v>59</v>
      </c>
      <c r="K691" s="8" t="s">
        <v>292</v>
      </c>
      <c r="L691" s="8" t="n">
        <v>600</v>
      </c>
      <c r="M691" s="8" t="n">
        <v>600</v>
      </c>
      <c r="N691" s="6" t="n">
        <f aca="false">L691*0.6*H691</f>
        <v>360</v>
      </c>
      <c r="O691" s="6" t="n">
        <f aca="false">M691-N691</f>
        <v>240</v>
      </c>
      <c r="P691" s="7" t="n">
        <f aca="false">IF(M691=0,0,O691/M691)</f>
        <v>0.4</v>
      </c>
    </row>
    <row r="692" customFormat="false" ht="15" hidden="false" customHeight="false" outlineLevel="0" collapsed="false">
      <c r="A692" s="2" t="n">
        <v>1923</v>
      </c>
      <c r="B692" s="2" t="s">
        <v>2680</v>
      </c>
      <c r="C692" s="2" t="s">
        <v>2679</v>
      </c>
      <c r="D692" s="2" t="s">
        <v>147</v>
      </c>
      <c r="E692" s="2" t="s">
        <v>3749</v>
      </c>
      <c r="F692" s="2" t="s">
        <v>3608</v>
      </c>
      <c r="G692" s="2" t="s">
        <v>3604</v>
      </c>
      <c r="H692" s="5" t="n">
        <v>3</v>
      </c>
      <c r="I692" s="5" t="s">
        <v>27</v>
      </c>
      <c r="J692" s="5" t="s">
        <v>78</v>
      </c>
      <c r="K692" s="5" t="s">
        <v>408</v>
      </c>
      <c r="L692" s="5" t="n">
        <v>600</v>
      </c>
      <c r="M692" s="5" t="n">
        <v>1800</v>
      </c>
      <c r="N692" s="6" t="n">
        <f aca="false">L692*0.6*H692</f>
        <v>1080</v>
      </c>
      <c r="O692" s="6" t="n">
        <f aca="false">M692-N692</f>
        <v>720</v>
      </c>
      <c r="P692" s="7" t="n">
        <f aca="false">IF(M692=0,0,O692/M692)</f>
        <v>0.4</v>
      </c>
    </row>
    <row r="693" customFormat="false" ht="15" hidden="false" customHeight="false" outlineLevel="0" collapsed="false">
      <c r="A693" s="3" t="n">
        <v>1924</v>
      </c>
      <c r="B693" s="3" t="s">
        <v>1577</v>
      </c>
      <c r="C693" s="3" t="s">
        <v>101</v>
      </c>
      <c r="D693" s="3" t="s">
        <v>108</v>
      </c>
      <c r="E693" s="3" t="s">
        <v>3659</v>
      </c>
      <c r="F693" s="3" t="s">
        <v>3608</v>
      </c>
      <c r="G693" s="3" t="s">
        <v>3604</v>
      </c>
      <c r="H693" s="8" t="n">
        <v>2</v>
      </c>
      <c r="I693" s="8" t="s">
        <v>51</v>
      </c>
      <c r="J693" s="8" t="s">
        <v>43</v>
      </c>
      <c r="K693" s="8" t="s">
        <v>111</v>
      </c>
      <c r="L693" s="8" t="n">
        <v>1200</v>
      </c>
      <c r="M693" s="8" t="n">
        <v>2400</v>
      </c>
      <c r="N693" s="6" t="n">
        <f aca="false">L693*0.6*H693</f>
        <v>1440</v>
      </c>
      <c r="O693" s="6" t="n">
        <f aca="false">M693-N693</f>
        <v>960</v>
      </c>
      <c r="P693" s="7" t="n">
        <f aca="false">IF(M693=0,0,O693/M693)</f>
        <v>0.4</v>
      </c>
    </row>
    <row r="694" customFormat="false" ht="15" hidden="false" customHeight="false" outlineLevel="0" collapsed="false">
      <c r="A694" s="2" t="n">
        <v>1925</v>
      </c>
      <c r="B694" s="2" t="s">
        <v>2686</v>
      </c>
      <c r="C694" s="2" t="s">
        <v>2685</v>
      </c>
      <c r="D694" s="2" t="s">
        <v>49</v>
      </c>
      <c r="E694" s="2" t="s">
        <v>3789</v>
      </c>
      <c r="F694" s="2" t="s">
        <v>3599</v>
      </c>
      <c r="G694" s="2" t="s">
        <v>3600</v>
      </c>
      <c r="H694" s="5" t="n">
        <v>2</v>
      </c>
      <c r="I694" s="5" t="s">
        <v>51</v>
      </c>
      <c r="J694" s="5" t="s">
        <v>78</v>
      </c>
      <c r="K694" s="5" t="s">
        <v>80</v>
      </c>
      <c r="L694" s="5" t="n">
        <v>250</v>
      </c>
      <c r="M694" s="5" t="n">
        <v>500</v>
      </c>
      <c r="N694" s="6" t="n">
        <f aca="false">L694*0.6*H694</f>
        <v>300</v>
      </c>
      <c r="O694" s="6" t="n">
        <f aca="false">M694-N694</f>
        <v>200</v>
      </c>
      <c r="P694" s="7" t="n">
        <f aca="false">IF(M694=0,0,O694/M694)</f>
        <v>0.4</v>
      </c>
    </row>
    <row r="695" customFormat="false" ht="15" hidden="false" customHeight="false" outlineLevel="0" collapsed="false">
      <c r="A695" s="3" t="n">
        <v>1926</v>
      </c>
      <c r="B695" s="3" t="s">
        <v>2689</v>
      </c>
      <c r="C695" s="3" t="s">
        <v>1016</v>
      </c>
      <c r="D695" s="3" t="s">
        <v>147</v>
      </c>
      <c r="E695" s="3" t="s">
        <v>3837</v>
      </c>
      <c r="F695" s="3" t="s">
        <v>3599</v>
      </c>
      <c r="G695" s="3" t="s">
        <v>3600</v>
      </c>
      <c r="H695" s="8" t="n">
        <v>2</v>
      </c>
      <c r="I695" s="8" t="s">
        <v>18</v>
      </c>
      <c r="J695" s="8" t="s">
        <v>28</v>
      </c>
      <c r="K695" s="8" t="s">
        <v>30</v>
      </c>
      <c r="L695" s="8" t="n">
        <v>600</v>
      </c>
      <c r="M695" s="8" t="n">
        <v>1200</v>
      </c>
      <c r="N695" s="6" t="n">
        <f aca="false">L695*0.6*H695</f>
        <v>720</v>
      </c>
      <c r="O695" s="6" t="n">
        <f aca="false">M695-N695</f>
        <v>480</v>
      </c>
      <c r="P695" s="7" t="n">
        <f aca="false">IF(M695=0,0,O695/M695)</f>
        <v>0.4</v>
      </c>
    </row>
    <row r="696" customFormat="false" ht="15" hidden="false" customHeight="false" outlineLevel="0" collapsed="false">
      <c r="A696" s="2" t="n">
        <v>1927</v>
      </c>
      <c r="B696" s="2" t="s">
        <v>2693</v>
      </c>
      <c r="C696" s="2" t="s">
        <v>2692</v>
      </c>
      <c r="D696" s="2" t="s">
        <v>108</v>
      </c>
      <c r="E696" s="2" t="s">
        <v>3820</v>
      </c>
      <c r="F696" s="2" t="s">
        <v>3591</v>
      </c>
      <c r="G696" s="2" t="s">
        <v>3592</v>
      </c>
      <c r="H696" s="5" t="n">
        <v>1</v>
      </c>
      <c r="I696" s="5" t="s">
        <v>51</v>
      </c>
      <c r="J696" s="5" t="s">
        <v>28</v>
      </c>
      <c r="K696" s="5" t="s">
        <v>30</v>
      </c>
      <c r="L696" s="5" t="n">
        <v>1200</v>
      </c>
      <c r="M696" s="5" t="n">
        <v>1200</v>
      </c>
      <c r="N696" s="6" t="n">
        <f aca="false">L696*0.6*H696</f>
        <v>720</v>
      </c>
      <c r="O696" s="6" t="n">
        <f aca="false">M696-N696</f>
        <v>480</v>
      </c>
      <c r="P696" s="7" t="n">
        <f aca="false">IF(M696=0,0,O696/M696)</f>
        <v>0.4</v>
      </c>
    </row>
    <row r="697" customFormat="false" ht="15" hidden="false" customHeight="false" outlineLevel="0" collapsed="false">
      <c r="A697" s="3" t="n">
        <v>1928</v>
      </c>
      <c r="B697" s="3" t="s">
        <v>623</v>
      </c>
      <c r="C697" s="3" t="s">
        <v>2696</v>
      </c>
      <c r="D697" s="3" t="s">
        <v>147</v>
      </c>
      <c r="E697" s="3" t="s">
        <v>3811</v>
      </c>
      <c r="F697" s="3" t="s">
        <v>3594</v>
      </c>
      <c r="G697" s="3" t="s">
        <v>3595</v>
      </c>
      <c r="H697" s="8" t="n">
        <v>2</v>
      </c>
      <c r="I697" s="8" t="s">
        <v>51</v>
      </c>
      <c r="J697" s="8" t="s">
        <v>121</v>
      </c>
      <c r="K697" s="8" t="s">
        <v>317</v>
      </c>
      <c r="L697" s="8" t="n">
        <v>600</v>
      </c>
      <c r="M697" s="8" t="n">
        <v>1200</v>
      </c>
      <c r="N697" s="6" t="n">
        <f aca="false">L697*0.6*H697</f>
        <v>720</v>
      </c>
      <c r="O697" s="6" t="n">
        <f aca="false">M697-N697</f>
        <v>480</v>
      </c>
      <c r="P697" s="7" t="n">
        <f aca="false">IF(M697=0,0,O697/M697)</f>
        <v>0.4</v>
      </c>
    </row>
    <row r="698" customFormat="false" ht="15" hidden="false" customHeight="false" outlineLevel="0" collapsed="false">
      <c r="A698" s="2" t="n">
        <v>1929</v>
      </c>
      <c r="B698" s="2" t="s">
        <v>2700</v>
      </c>
      <c r="C698" s="2" t="s">
        <v>2699</v>
      </c>
      <c r="D698" s="2" t="s">
        <v>16</v>
      </c>
      <c r="E698" s="2" t="s">
        <v>3637</v>
      </c>
      <c r="F698" s="2" t="s">
        <v>1756</v>
      </c>
      <c r="G698" s="2" t="s">
        <v>3595</v>
      </c>
      <c r="H698" s="5" t="n">
        <v>3</v>
      </c>
      <c r="I698" s="5" t="s">
        <v>18</v>
      </c>
      <c r="J698" s="5" t="s">
        <v>52</v>
      </c>
      <c r="K698" s="5" t="s">
        <v>54</v>
      </c>
      <c r="L698" s="5" t="n">
        <v>250</v>
      </c>
      <c r="M698" s="5" t="n">
        <v>750</v>
      </c>
      <c r="N698" s="6" t="n">
        <f aca="false">L698*0.6*H698</f>
        <v>450</v>
      </c>
      <c r="O698" s="6" t="n">
        <f aca="false">M698-N698</f>
        <v>300</v>
      </c>
      <c r="P698" s="7" t="n">
        <f aca="false">IF(M698=0,0,O698/M698)</f>
        <v>0.4</v>
      </c>
    </row>
    <row r="699" customFormat="false" ht="15" hidden="false" customHeight="false" outlineLevel="0" collapsed="false">
      <c r="A699" s="3" t="n">
        <v>1930</v>
      </c>
      <c r="B699" s="3" t="s">
        <v>2046</v>
      </c>
      <c r="C699" s="3" t="s">
        <v>2703</v>
      </c>
      <c r="D699" s="3" t="s">
        <v>147</v>
      </c>
      <c r="E699" s="3" t="s">
        <v>3663</v>
      </c>
      <c r="F699" s="3" t="s">
        <v>3625</v>
      </c>
      <c r="G699" s="3" t="s">
        <v>3592</v>
      </c>
      <c r="H699" s="8" t="n">
        <v>1</v>
      </c>
      <c r="I699" s="8" t="s">
        <v>51</v>
      </c>
      <c r="J699" s="8" t="s">
        <v>121</v>
      </c>
      <c r="K699" s="8" t="s">
        <v>317</v>
      </c>
      <c r="L699" s="8" t="n">
        <v>600</v>
      </c>
      <c r="M699" s="8" t="n">
        <v>600</v>
      </c>
      <c r="N699" s="6" t="n">
        <f aca="false">L699*0.6*H699</f>
        <v>360</v>
      </c>
      <c r="O699" s="6" t="n">
        <f aca="false">M699-N699</f>
        <v>240</v>
      </c>
      <c r="P699" s="7" t="n">
        <f aca="false">IF(M699=0,0,O699/M699)</f>
        <v>0.4</v>
      </c>
    </row>
    <row r="700" customFormat="false" ht="15" hidden="false" customHeight="false" outlineLevel="0" collapsed="false">
      <c r="A700" s="2" t="n">
        <v>1931</v>
      </c>
      <c r="B700" s="2" t="s">
        <v>2706</v>
      </c>
      <c r="C700" s="2" t="s">
        <v>1363</v>
      </c>
      <c r="D700" s="2" t="s">
        <v>25</v>
      </c>
      <c r="E700" s="2" t="s">
        <v>3768</v>
      </c>
      <c r="F700" s="2" t="s">
        <v>3628</v>
      </c>
      <c r="G700" s="2" t="s">
        <v>3595</v>
      </c>
      <c r="H700" s="5" t="n">
        <v>2</v>
      </c>
      <c r="I700" s="5" t="s">
        <v>51</v>
      </c>
      <c r="J700" s="5" t="s">
        <v>43</v>
      </c>
      <c r="K700" s="5" t="s">
        <v>67</v>
      </c>
      <c r="L700" s="5" t="n">
        <v>800</v>
      </c>
      <c r="M700" s="5" t="n">
        <v>1600</v>
      </c>
      <c r="N700" s="6" t="n">
        <f aca="false">L700*0.6*H700</f>
        <v>960</v>
      </c>
      <c r="O700" s="6" t="n">
        <f aca="false">M700-N700</f>
        <v>640</v>
      </c>
      <c r="P700" s="7" t="n">
        <f aca="false">IF(M700=0,0,O700/M700)</f>
        <v>0.4</v>
      </c>
    </row>
    <row r="701" customFormat="false" ht="15" hidden="false" customHeight="false" outlineLevel="0" collapsed="false">
      <c r="A701" s="3" t="n">
        <v>1932</v>
      </c>
      <c r="B701" s="3" t="s">
        <v>2709</v>
      </c>
      <c r="C701" s="3" t="s">
        <v>204</v>
      </c>
      <c r="D701" s="3" t="s">
        <v>147</v>
      </c>
      <c r="E701" s="3" t="s">
        <v>3629</v>
      </c>
      <c r="F701" s="3" t="s">
        <v>1756</v>
      </c>
      <c r="G701" s="3" t="s">
        <v>3595</v>
      </c>
      <c r="H701" s="8" t="n">
        <v>2</v>
      </c>
      <c r="I701" s="8" t="s">
        <v>51</v>
      </c>
      <c r="J701" s="8" t="s">
        <v>19</v>
      </c>
      <c r="K701" s="8" t="s">
        <v>73</v>
      </c>
      <c r="L701" s="8" t="n">
        <v>600</v>
      </c>
      <c r="M701" s="8" t="n">
        <v>1200</v>
      </c>
      <c r="N701" s="6" t="n">
        <f aca="false">L701*0.6*H701</f>
        <v>720</v>
      </c>
      <c r="O701" s="6" t="n">
        <f aca="false">M701-N701</f>
        <v>480</v>
      </c>
      <c r="P701" s="7" t="n">
        <f aca="false">IF(M701=0,0,O701/M701)</f>
        <v>0.4</v>
      </c>
    </row>
    <row r="702" customFormat="false" ht="15" hidden="false" customHeight="false" outlineLevel="0" collapsed="false">
      <c r="A702" s="2" t="n">
        <v>1933</v>
      </c>
      <c r="B702" s="2" t="s">
        <v>2489</v>
      </c>
      <c r="C702" s="2" t="s">
        <v>1029</v>
      </c>
      <c r="D702" s="2" t="s">
        <v>49</v>
      </c>
      <c r="E702" s="2" t="s">
        <v>3895</v>
      </c>
      <c r="F702" s="2" t="s">
        <v>2379</v>
      </c>
      <c r="G702" s="2" t="s">
        <v>3592</v>
      </c>
      <c r="H702" s="5" t="n">
        <v>1</v>
      </c>
      <c r="I702" s="5" t="s">
        <v>18</v>
      </c>
      <c r="J702" s="5" t="s">
        <v>121</v>
      </c>
      <c r="K702" s="5" t="s">
        <v>123</v>
      </c>
      <c r="L702" s="5" t="n">
        <v>250</v>
      </c>
      <c r="M702" s="5" t="n">
        <v>250</v>
      </c>
      <c r="N702" s="6" t="n">
        <f aca="false">L702*0.6*H702</f>
        <v>150</v>
      </c>
      <c r="O702" s="6" t="n">
        <f aca="false">M702-N702</f>
        <v>100</v>
      </c>
      <c r="P702" s="7" t="n">
        <f aca="false">IF(M702=0,0,O702/M702)</f>
        <v>0.4</v>
      </c>
    </row>
    <row r="703" customFormat="false" ht="15" hidden="false" customHeight="false" outlineLevel="0" collapsed="false">
      <c r="A703" s="3" t="n">
        <v>1934</v>
      </c>
      <c r="B703" s="3" t="s">
        <v>2715</v>
      </c>
      <c r="C703" s="3" t="s">
        <v>2714</v>
      </c>
      <c r="D703" s="3" t="s">
        <v>25</v>
      </c>
      <c r="E703" s="3" t="s">
        <v>3897</v>
      </c>
      <c r="F703" s="3" t="s">
        <v>3613</v>
      </c>
      <c r="G703" s="3" t="s">
        <v>3604</v>
      </c>
      <c r="H703" s="8" t="n">
        <v>3</v>
      </c>
      <c r="I703" s="8" t="s">
        <v>27</v>
      </c>
      <c r="J703" s="8" t="s">
        <v>121</v>
      </c>
      <c r="K703" s="8" t="s">
        <v>317</v>
      </c>
      <c r="L703" s="8" t="n">
        <v>800</v>
      </c>
      <c r="M703" s="8" t="n">
        <v>2400</v>
      </c>
      <c r="N703" s="6" t="n">
        <f aca="false">L703*0.6*H703</f>
        <v>1440</v>
      </c>
      <c r="O703" s="6" t="n">
        <f aca="false">M703-N703</f>
        <v>960</v>
      </c>
      <c r="P703" s="7" t="n">
        <f aca="false">IF(M703=0,0,O703/M703)</f>
        <v>0.4</v>
      </c>
    </row>
    <row r="704" customFormat="false" ht="15" hidden="false" customHeight="false" outlineLevel="0" collapsed="false">
      <c r="A704" s="2" t="n">
        <v>1935</v>
      </c>
      <c r="B704" s="2" t="s">
        <v>938</v>
      </c>
      <c r="C704" s="2" t="s">
        <v>1117</v>
      </c>
      <c r="D704" s="2" t="s">
        <v>16</v>
      </c>
      <c r="E704" s="2" t="s">
        <v>3774</v>
      </c>
      <c r="F704" s="2" t="s">
        <v>3603</v>
      </c>
      <c r="G704" s="2" t="s">
        <v>3604</v>
      </c>
      <c r="H704" s="5" t="n">
        <v>1</v>
      </c>
      <c r="I704" s="5" t="s">
        <v>27</v>
      </c>
      <c r="J704" s="5" t="s">
        <v>59</v>
      </c>
      <c r="K704" s="5" t="s">
        <v>61</v>
      </c>
      <c r="L704" s="5" t="n">
        <v>250</v>
      </c>
      <c r="M704" s="5" t="n">
        <v>250</v>
      </c>
      <c r="N704" s="6" t="n">
        <f aca="false">L704*0.6*H704</f>
        <v>150</v>
      </c>
      <c r="O704" s="6" t="n">
        <f aca="false">M704-N704</f>
        <v>100</v>
      </c>
      <c r="P704" s="7" t="n">
        <f aca="false">IF(M704=0,0,O704/M704)</f>
        <v>0.4</v>
      </c>
    </row>
    <row r="705" customFormat="false" ht="15" hidden="false" customHeight="false" outlineLevel="0" collapsed="false">
      <c r="A705" s="3" t="n">
        <v>1936</v>
      </c>
      <c r="B705" s="3" t="s">
        <v>2308</v>
      </c>
      <c r="C705" s="3" t="s">
        <v>2685</v>
      </c>
      <c r="D705" s="3" t="s">
        <v>25</v>
      </c>
      <c r="E705" s="3" t="s">
        <v>3687</v>
      </c>
      <c r="F705" s="3" t="s">
        <v>3625</v>
      </c>
      <c r="G705" s="3" t="s">
        <v>3592</v>
      </c>
      <c r="H705" s="8" t="n">
        <v>2</v>
      </c>
      <c r="I705" s="8" t="s">
        <v>51</v>
      </c>
      <c r="J705" s="8" t="s">
        <v>28</v>
      </c>
      <c r="K705" s="8" t="s">
        <v>30</v>
      </c>
      <c r="L705" s="8" t="n">
        <v>800</v>
      </c>
      <c r="M705" s="8" t="n">
        <v>1600</v>
      </c>
      <c r="N705" s="6" t="n">
        <f aca="false">L705*0.6*H705</f>
        <v>960</v>
      </c>
      <c r="O705" s="6" t="n">
        <f aca="false">M705-N705</f>
        <v>640</v>
      </c>
      <c r="P705" s="7" t="n">
        <f aca="false">IF(M705=0,0,O705/M705)</f>
        <v>0.4</v>
      </c>
    </row>
    <row r="706" customFormat="false" ht="15" hidden="false" customHeight="false" outlineLevel="0" collapsed="false">
      <c r="A706" s="2" t="n">
        <v>1937</v>
      </c>
      <c r="B706" s="2" t="s">
        <v>2723</v>
      </c>
      <c r="C706" s="2" t="s">
        <v>2722</v>
      </c>
      <c r="D706" s="2" t="s">
        <v>16</v>
      </c>
      <c r="E706" s="2" t="s">
        <v>3689</v>
      </c>
      <c r="F706" s="2" t="s">
        <v>3625</v>
      </c>
      <c r="G706" s="2" t="s">
        <v>3592</v>
      </c>
      <c r="H706" s="5" t="n">
        <v>3</v>
      </c>
      <c r="I706" s="5" t="s">
        <v>18</v>
      </c>
      <c r="J706" s="5" t="s">
        <v>28</v>
      </c>
      <c r="K706" s="5" t="s">
        <v>30</v>
      </c>
      <c r="L706" s="5" t="n">
        <v>250</v>
      </c>
      <c r="M706" s="5" t="n">
        <v>750</v>
      </c>
      <c r="N706" s="6" t="n">
        <f aca="false">L706*0.6*H706</f>
        <v>450</v>
      </c>
      <c r="O706" s="6" t="n">
        <f aca="false">M706-N706</f>
        <v>300</v>
      </c>
      <c r="P706" s="7" t="n">
        <f aca="false">IF(M706=0,0,O706/M706)</f>
        <v>0.4</v>
      </c>
    </row>
    <row r="707" customFormat="false" ht="15" hidden="false" customHeight="false" outlineLevel="0" collapsed="false">
      <c r="A707" s="3" t="n">
        <v>1938</v>
      </c>
      <c r="B707" s="3" t="s">
        <v>2727</v>
      </c>
      <c r="C707" s="3" t="s">
        <v>2726</v>
      </c>
      <c r="D707" s="3" t="s">
        <v>108</v>
      </c>
      <c r="E707" s="3" t="s">
        <v>3822</v>
      </c>
      <c r="F707" s="3" t="s">
        <v>3603</v>
      </c>
      <c r="G707" s="3" t="s">
        <v>3604</v>
      </c>
      <c r="H707" s="8" t="n">
        <v>3</v>
      </c>
      <c r="I707" s="8" t="s">
        <v>18</v>
      </c>
      <c r="J707" s="8" t="s">
        <v>78</v>
      </c>
      <c r="K707" s="8" t="s">
        <v>86</v>
      </c>
      <c r="L707" s="8" t="n">
        <v>1200</v>
      </c>
      <c r="M707" s="8" t="n">
        <v>3600</v>
      </c>
      <c r="N707" s="6" t="n">
        <f aca="false">L707*0.6*H707</f>
        <v>2160</v>
      </c>
      <c r="O707" s="6" t="n">
        <f aca="false">M707-N707</f>
        <v>1440</v>
      </c>
      <c r="P707" s="7" t="n">
        <f aca="false">IF(M707=0,0,O707/M707)</f>
        <v>0.4</v>
      </c>
    </row>
    <row r="708" customFormat="false" ht="15" hidden="false" customHeight="false" outlineLevel="0" collapsed="false">
      <c r="A708" s="2" t="n">
        <v>1939</v>
      </c>
      <c r="B708" s="2" t="s">
        <v>919</v>
      </c>
      <c r="C708" s="2" t="s">
        <v>2730</v>
      </c>
      <c r="D708" s="2" t="s">
        <v>16</v>
      </c>
      <c r="E708" s="2" t="s">
        <v>3849</v>
      </c>
      <c r="F708" s="2" t="s">
        <v>1756</v>
      </c>
      <c r="G708" s="2" t="s">
        <v>3595</v>
      </c>
      <c r="H708" s="5" t="n">
        <v>2</v>
      </c>
      <c r="I708" s="5" t="s">
        <v>18</v>
      </c>
      <c r="J708" s="5" t="s">
        <v>36</v>
      </c>
      <c r="K708" s="5" t="s">
        <v>170</v>
      </c>
      <c r="L708" s="5" t="n">
        <v>250</v>
      </c>
      <c r="M708" s="5" t="n">
        <v>500</v>
      </c>
      <c r="N708" s="6" t="n">
        <f aca="false">L708*0.6*H708</f>
        <v>300</v>
      </c>
      <c r="O708" s="6" t="n">
        <f aca="false">M708-N708</f>
        <v>200</v>
      </c>
      <c r="P708" s="7" t="n">
        <f aca="false">IF(M708=0,0,O708/M708)</f>
        <v>0.4</v>
      </c>
    </row>
    <row r="709" customFormat="false" ht="15" hidden="false" customHeight="false" outlineLevel="0" collapsed="false">
      <c r="A709" s="3" t="n">
        <v>1940</v>
      </c>
      <c r="B709" s="3" t="s">
        <v>911</v>
      </c>
      <c r="C709" s="3" t="s">
        <v>1396</v>
      </c>
      <c r="D709" s="3" t="s">
        <v>16</v>
      </c>
      <c r="E709" s="3" t="s">
        <v>3871</v>
      </c>
      <c r="F709" s="3" t="s">
        <v>3613</v>
      </c>
      <c r="G709" s="3" t="s">
        <v>3604</v>
      </c>
      <c r="H709" s="8" t="n">
        <v>1</v>
      </c>
      <c r="I709" s="8" t="s">
        <v>18</v>
      </c>
      <c r="J709" s="8" t="s">
        <v>43</v>
      </c>
      <c r="K709" s="8" t="s">
        <v>67</v>
      </c>
      <c r="L709" s="8" t="n">
        <v>250</v>
      </c>
      <c r="M709" s="8" t="n">
        <v>250</v>
      </c>
      <c r="N709" s="6" t="n">
        <f aca="false">L709*0.6*H709</f>
        <v>150</v>
      </c>
      <c r="O709" s="6" t="n">
        <f aca="false">M709-N709</f>
        <v>100</v>
      </c>
      <c r="P709" s="7" t="n">
        <f aca="false">IF(M709=0,0,O709/M709)</f>
        <v>0.4</v>
      </c>
    </row>
    <row r="710" customFormat="false" ht="15" hidden="false" customHeight="false" outlineLevel="0" collapsed="false">
      <c r="A710" s="2" t="n">
        <v>1941</v>
      </c>
      <c r="B710" s="2" t="s">
        <v>585</v>
      </c>
      <c r="C710" s="2" t="s">
        <v>2735</v>
      </c>
      <c r="D710" s="2" t="s">
        <v>34</v>
      </c>
      <c r="E710" s="2" t="s">
        <v>3920</v>
      </c>
      <c r="F710" s="2" t="s">
        <v>3594</v>
      </c>
      <c r="G710" s="2" t="s">
        <v>3595</v>
      </c>
      <c r="H710" s="5" t="n">
        <v>1</v>
      </c>
      <c r="I710" s="5" t="s">
        <v>27</v>
      </c>
      <c r="J710" s="5" t="s">
        <v>78</v>
      </c>
      <c r="K710" s="5" t="s">
        <v>408</v>
      </c>
      <c r="L710" s="5" t="n">
        <v>300</v>
      </c>
      <c r="M710" s="5" t="n">
        <v>300</v>
      </c>
      <c r="N710" s="6" t="n">
        <f aca="false">L710*0.6*H710</f>
        <v>180</v>
      </c>
      <c r="O710" s="6" t="n">
        <f aca="false">M710-N710</f>
        <v>120</v>
      </c>
      <c r="P710" s="7" t="n">
        <f aca="false">IF(M710=0,0,O710/M710)</f>
        <v>0.4</v>
      </c>
    </row>
    <row r="711" customFormat="false" ht="15" hidden="false" customHeight="false" outlineLevel="0" collapsed="false">
      <c r="A711" s="3" t="n">
        <v>1942</v>
      </c>
      <c r="B711" s="3" t="s">
        <v>89</v>
      </c>
      <c r="C711" s="3" t="s">
        <v>2739</v>
      </c>
      <c r="D711" s="3" t="s">
        <v>108</v>
      </c>
      <c r="E711" s="3" t="s">
        <v>3728</v>
      </c>
      <c r="F711" s="3" t="s">
        <v>2379</v>
      </c>
      <c r="G711" s="3" t="s">
        <v>3592</v>
      </c>
      <c r="H711" s="8" t="n">
        <v>1</v>
      </c>
      <c r="I711" s="8" t="s">
        <v>18</v>
      </c>
      <c r="J711" s="8" t="s">
        <v>43</v>
      </c>
      <c r="K711" s="8" t="s">
        <v>111</v>
      </c>
      <c r="L711" s="8" t="n">
        <v>1200</v>
      </c>
      <c r="M711" s="8" t="n">
        <v>1200</v>
      </c>
      <c r="N711" s="6" t="n">
        <f aca="false">L711*0.6*H711</f>
        <v>720</v>
      </c>
      <c r="O711" s="6" t="n">
        <f aca="false">M711-N711</f>
        <v>480</v>
      </c>
      <c r="P711" s="7" t="n">
        <f aca="false">IF(M711=0,0,O711/M711)</f>
        <v>0.4</v>
      </c>
    </row>
    <row r="712" customFormat="false" ht="15" hidden="false" customHeight="false" outlineLevel="0" collapsed="false">
      <c r="A712" s="2" t="n">
        <v>1943</v>
      </c>
      <c r="B712" s="2" t="s">
        <v>89</v>
      </c>
      <c r="C712" s="2" t="s">
        <v>2742</v>
      </c>
      <c r="D712" s="2" t="s">
        <v>147</v>
      </c>
      <c r="E712" s="2" t="s">
        <v>3921</v>
      </c>
      <c r="F712" s="2" t="s">
        <v>1756</v>
      </c>
      <c r="G712" s="2" t="s">
        <v>3595</v>
      </c>
      <c r="H712" s="5" t="n">
        <v>3</v>
      </c>
      <c r="I712" s="5" t="s">
        <v>51</v>
      </c>
      <c r="J712" s="5" t="s">
        <v>36</v>
      </c>
      <c r="K712" s="5" t="s">
        <v>192</v>
      </c>
      <c r="L712" s="5" t="n">
        <v>600</v>
      </c>
      <c r="M712" s="5" t="n">
        <v>1800</v>
      </c>
      <c r="N712" s="6" t="n">
        <f aca="false">L712*0.6*H712</f>
        <v>1080</v>
      </c>
      <c r="O712" s="6" t="n">
        <f aca="false">M712-N712</f>
        <v>720</v>
      </c>
      <c r="P712" s="7" t="n">
        <f aca="false">IF(M712=0,0,O712/M712)</f>
        <v>0.4</v>
      </c>
    </row>
    <row r="713" customFormat="false" ht="15" hidden="false" customHeight="false" outlineLevel="0" collapsed="false">
      <c r="A713" s="3" t="n">
        <v>1944</v>
      </c>
      <c r="B713" s="3" t="s">
        <v>2110</v>
      </c>
      <c r="C713" s="3" t="s">
        <v>1285</v>
      </c>
      <c r="D713" s="3" t="s">
        <v>16</v>
      </c>
      <c r="E713" s="3" t="s">
        <v>3752</v>
      </c>
      <c r="F713" s="3" t="s">
        <v>3606</v>
      </c>
      <c r="G713" s="3" t="s">
        <v>3600</v>
      </c>
      <c r="H713" s="8" t="n">
        <v>3</v>
      </c>
      <c r="I713" s="8" t="s">
        <v>18</v>
      </c>
      <c r="J713" s="8" t="s">
        <v>78</v>
      </c>
      <c r="K713" s="8" t="s">
        <v>80</v>
      </c>
      <c r="L713" s="8" t="n">
        <v>250</v>
      </c>
      <c r="M713" s="8" t="n">
        <v>750</v>
      </c>
      <c r="N713" s="6" t="n">
        <f aca="false">L713*0.6*H713</f>
        <v>450</v>
      </c>
      <c r="O713" s="6" t="n">
        <f aca="false">M713-N713</f>
        <v>300</v>
      </c>
      <c r="P713" s="7" t="n">
        <f aca="false">IF(M713=0,0,O713/M713)</f>
        <v>0.4</v>
      </c>
    </row>
    <row r="714" customFormat="false" ht="15" hidden="false" customHeight="false" outlineLevel="0" collapsed="false">
      <c r="A714" s="2" t="n">
        <v>1945</v>
      </c>
      <c r="B714" s="2" t="s">
        <v>2519</v>
      </c>
      <c r="C714" s="2" t="s">
        <v>1780</v>
      </c>
      <c r="D714" s="2" t="s">
        <v>25</v>
      </c>
      <c r="E714" s="2" t="s">
        <v>3893</v>
      </c>
      <c r="F714" s="2" t="s">
        <v>3613</v>
      </c>
      <c r="G714" s="2" t="s">
        <v>3604</v>
      </c>
      <c r="H714" s="5" t="n">
        <v>2</v>
      </c>
      <c r="I714" s="5" t="s">
        <v>27</v>
      </c>
      <c r="J714" s="5" t="s">
        <v>43</v>
      </c>
      <c r="K714" s="5" t="s">
        <v>45</v>
      </c>
      <c r="L714" s="5" t="n">
        <v>800</v>
      </c>
      <c r="M714" s="5" t="n">
        <v>1600</v>
      </c>
      <c r="N714" s="6" t="n">
        <f aca="false">L714*0.6*H714</f>
        <v>960</v>
      </c>
      <c r="O714" s="6" t="n">
        <f aca="false">M714-N714</f>
        <v>640</v>
      </c>
      <c r="P714" s="7" t="n">
        <f aca="false">IF(M714=0,0,O714/M714)</f>
        <v>0.4</v>
      </c>
    </row>
    <row r="715" customFormat="false" ht="15" hidden="false" customHeight="false" outlineLevel="0" collapsed="false">
      <c r="A715" s="3" t="n">
        <v>1946</v>
      </c>
      <c r="B715" s="3" t="s">
        <v>2751</v>
      </c>
      <c r="C715" s="3" t="s">
        <v>2750</v>
      </c>
      <c r="D715" s="3" t="s">
        <v>34</v>
      </c>
      <c r="E715" s="3" t="s">
        <v>3772</v>
      </c>
      <c r="F715" s="3" t="s">
        <v>3606</v>
      </c>
      <c r="G715" s="3" t="s">
        <v>3600</v>
      </c>
      <c r="H715" s="8" t="n">
        <v>3</v>
      </c>
      <c r="I715" s="8" t="s">
        <v>18</v>
      </c>
      <c r="J715" s="8" t="s">
        <v>121</v>
      </c>
      <c r="K715" s="8" t="s">
        <v>317</v>
      </c>
      <c r="L715" s="8" t="n">
        <v>300</v>
      </c>
      <c r="M715" s="8" t="n">
        <v>900</v>
      </c>
      <c r="N715" s="6" t="n">
        <f aca="false">L715*0.6*H715</f>
        <v>540</v>
      </c>
      <c r="O715" s="6" t="n">
        <f aca="false">M715-N715</f>
        <v>360</v>
      </c>
      <c r="P715" s="7" t="n">
        <f aca="false">IF(M715=0,0,O715/M715)</f>
        <v>0.4</v>
      </c>
    </row>
    <row r="716" customFormat="false" ht="15" hidden="false" customHeight="false" outlineLevel="0" collapsed="false">
      <c r="A716" s="2" t="n">
        <v>1947</v>
      </c>
      <c r="B716" s="2" t="s">
        <v>1240</v>
      </c>
      <c r="C716" s="2" t="s">
        <v>361</v>
      </c>
      <c r="D716" s="2" t="s">
        <v>25</v>
      </c>
      <c r="E716" s="2" t="s">
        <v>3835</v>
      </c>
      <c r="F716" s="2" t="s">
        <v>3594</v>
      </c>
      <c r="G716" s="2" t="s">
        <v>3595</v>
      </c>
      <c r="H716" s="5" t="n">
        <v>3</v>
      </c>
      <c r="I716" s="5" t="s">
        <v>18</v>
      </c>
      <c r="J716" s="5" t="s">
        <v>28</v>
      </c>
      <c r="K716" s="5" t="s">
        <v>30</v>
      </c>
      <c r="L716" s="5" t="n">
        <v>800</v>
      </c>
      <c r="M716" s="5" t="n">
        <v>2400</v>
      </c>
      <c r="N716" s="6" t="n">
        <f aca="false">L716*0.6*H716</f>
        <v>1440</v>
      </c>
      <c r="O716" s="6" t="n">
        <f aca="false">M716-N716</f>
        <v>960</v>
      </c>
      <c r="P716" s="7" t="n">
        <f aca="false">IF(M716=0,0,O716/M716)</f>
        <v>0.4</v>
      </c>
    </row>
    <row r="717" customFormat="false" ht="15" hidden="false" customHeight="false" outlineLevel="0" collapsed="false">
      <c r="A717" s="3" t="n">
        <v>1948</v>
      </c>
      <c r="B717" s="3" t="s">
        <v>2674</v>
      </c>
      <c r="C717" s="3" t="s">
        <v>2756</v>
      </c>
      <c r="D717" s="3" t="s">
        <v>147</v>
      </c>
      <c r="E717" s="3" t="s">
        <v>3872</v>
      </c>
      <c r="F717" s="3" t="s">
        <v>3591</v>
      </c>
      <c r="G717" s="3" t="s">
        <v>3592</v>
      </c>
      <c r="H717" s="8" t="n">
        <v>1</v>
      </c>
      <c r="I717" s="8" t="s">
        <v>18</v>
      </c>
      <c r="J717" s="8" t="s">
        <v>36</v>
      </c>
      <c r="K717" s="8" t="s">
        <v>170</v>
      </c>
      <c r="L717" s="8" t="n">
        <v>600</v>
      </c>
      <c r="M717" s="8" t="n">
        <v>600</v>
      </c>
      <c r="N717" s="6" t="n">
        <f aca="false">L717*0.6*H717</f>
        <v>360</v>
      </c>
      <c r="O717" s="6" t="n">
        <f aca="false">M717-N717</f>
        <v>240</v>
      </c>
      <c r="P717" s="7" t="n">
        <f aca="false">IF(M717=0,0,O717/M717)</f>
        <v>0.4</v>
      </c>
    </row>
    <row r="718" customFormat="false" ht="15" hidden="false" customHeight="false" outlineLevel="0" collapsed="false">
      <c r="A718" s="2" t="n">
        <v>1949</v>
      </c>
      <c r="B718" s="2" t="s">
        <v>2760</v>
      </c>
      <c r="C718" s="2" t="s">
        <v>2759</v>
      </c>
      <c r="D718" s="2" t="s">
        <v>25</v>
      </c>
      <c r="E718" s="2" t="s">
        <v>3605</v>
      </c>
      <c r="F718" s="2" t="s">
        <v>3606</v>
      </c>
      <c r="G718" s="2" t="s">
        <v>3600</v>
      </c>
      <c r="H718" s="5" t="n">
        <v>3</v>
      </c>
      <c r="I718" s="5" t="s">
        <v>51</v>
      </c>
      <c r="J718" s="5" t="s">
        <v>36</v>
      </c>
      <c r="K718" s="5" t="s">
        <v>38</v>
      </c>
      <c r="L718" s="5" t="n">
        <v>800</v>
      </c>
      <c r="M718" s="5" t="n">
        <v>2400</v>
      </c>
      <c r="N718" s="6" t="n">
        <f aca="false">L718*0.6*H718</f>
        <v>1440</v>
      </c>
      <c r="O718" s="6" t="n">
        <f aca="false">M718-N718</f>
        <v>960</v>
      </c>
      <c r="P718" s="7" t="n">
        <f aca="false">IF(M718=0,0,O718/M718)</f>
        <v>0.4</v>
      </c>
    </row>
    <row r="719" customFormat="false" ht="15" hidden="false" customHeight="false" outlineLevel="0" collapsed="false">
      <c r="A719" s="3" t="n">
        <v>1950</v>
      </c>
      <c r="B719" s="3" t="s">
        <v>761</v>
      </c>
      <c r="C719" s="3" t="s">
        <v>2686</v>
      </c>
      <c r="D719" s="3" t="s">
        <v>34</v>
      </c>
      <c r="E719" s="3" t="s">
        <v>3762</v>
      </c>
      <c r="F719" s="3" t="s">
        <v>3603</v>
      </c>
      <c r="G719" s="3" t="s">
        <v>3604</v>
      </c>
      <c r="H719" s="8" t="n">
        <v>3</v>
      </c>
      <c r="I719" s="8" t="s">
        <v>18</v>
      </c>
      <c r="J719" s="8" t="s">
        <v>78</v>
      </c>
      <c r="K719" s="8" t="s">
        <v>80</v>
      </c>
      <c r="L719" s="8" t="n">
        <v>300</v>
      </c>
      <c r="M719" s="8" t="n">
        <v>900</v>
      </c>
      <c r="N719" s="6" t="n">
        <f aca="false">L719*0.6*H719</f>
        <v>540</v>
      </c>
      <c r="O719" s="6" t="n">
        <f aca="false">M719-N719</f>
        <v>360</v>
      </c>
      <c r="P719" s="7" t="n">
        <f aca="false">IF(M719=0,0,O719/M719)</f>
        <v>0.4</v>
      </c>
    </row>
    <row r="720" customFormat="false" ht="15" hidden="false" customHeight="false" outlineLevel="0" collapsed="false">
      <c r="A720" s="2" t="n">
        <v>1951</v>
      </c>
      <c r="B720" s="2" t="s">
        <v>2765</v>
      </c>
      <c r="C720" s="2" t="s">
        <v>2314</v>
      </c>
      <c r="D720" s="2" t="s">
        <v>25</v>
      </c>
      <c r="E720" s="2" t="s">
        <v>3767</v>
      </c>
      <c r="F720" s="2" t="s">
        <v>3591</v>
      </c>
      <c r="G720" s="2" t="s">
        <v>3592</v>
      </c>
      <c r="H720" s="5" t="n">
        <v>3</v>
      </c>
      <c r="I720" s="5" t="s">
        <v>18</v>
      </c>
      <c r="J720" s="5" t="s">
        <v>121</v>
      </c>
      <c r="K720" s="5" t="s">
        <v>317</v>
      </c>
      <c r="L720" s="5" t="n">
        <v>800</v>
      </c>
      <c r="M720" s="5" t="n">
        <v>2400</v>
      </c>
      <c r="N720" s="6" t="n">
        <f aca="false">L720*0.6*H720</f>
        <v>1440</v>
      </c>
      <c r="O720" s="6" t="n">
        <f aca="false">M720-N720</f>
        <v>960</v>
      </c>
      <c r="P720" s="7" t="n">
        <f aca="false">IF(M720=0,0,O720/M720)</f>
        <v>0.4</v>
      </c>
    </row>
    <row r="721" customFormat="false" ht="15" hidden="false" customHeight="false" outlineLevel="0" collapsed="false">
      <c r="A721" s="3" t="n">
        <v>1952</v>
      </c>
      <c r="B721" s="3" t="s">
        <v>2147</v>
      </c>
      <c r="C721" s="3" t="s">
        <v>2768</v>
      </c>
      <c r="D721" s="3" t="s">
        <v>25</v>
      </c>
      <c r="E721" s="3" t="s">
        <v>3922</v>
      </c>
      <c r="F721" s="3" t="s">
        <v>1756</v>
      </c>
      <c r="G721" s="3" t="s">
        <v>3595</v>
      </c>
      <c r="H721" s="8" t="n">
        <v>1</v>
      </c>
      <c r="I721" s="8" t="s">
        <v>18</v>
      </c>
      <c r="J721" s="8" t="s">
        <v>28</v>
      </c>
      <c r="K721" s="8" t="s">
        <v>30</v>
      </c>
      <c r="L721" s="8" t="n">
        <v>800</v>
      </c>
      <c r="M721" s="8" t="n">
        <v>800</v>
      </c>
      <c r="N721" s="6" t="n">
        <f aca="false">L721*0.6*H721</f>
        <v>480</v>
      </c>
      <c r="O721" s="6" t="n">
        <f aca="false">M721-N721</f>
        <v>320</v>
      </c>
      <c r="P721" s="7" t="n">
        <f aca="false">IF(M721=0,0,O721/M721)</f>
        <v>0.4</v>
      </c>
    </row>
    <row r="722" customFormat="false" ht="15" hidden="false" customHeight="false" outlineLevel="0" collapsed="false">
      <c r="A722" s="2" t="n">
        <v>1953</v>
      </c>
      <c r="B722" s="2" t="s">
        <v>2275</v>
      </c>
      <c r="C722" s="2" t="s">
        <v>700</v>
      </c>
      <c r="D722" s="2" t="s">
        <v>49</v>
      </c>
      <c r="E722" s="2" t="s">
        <v>3611</v>
      </c>
      <c r="F722" s="2" t="s">
        <v>3591</v>
      </c>
      <c r="G722" s="2" t="s">
        <v>3592</v>
      </c>
      <c r="H722" s="5" t="n">
        <v>1</v>
      </c>
      <c r="I722" s="5" t="s">
        <v>18</v>
      </c>
      <c r="J722" s="5" t="s">
        <v>78</v>
      </c>
      <c r="K722" s="5" t="s">
        <v>86</v>
      </c>
      <c r="L722" s="5" t="n">
        <v>250</v>
      </c>
      <c r="M722" s="5" t="n">
        <v>250</v>
      </c>
      <c r="N722" s="6" t="n">
        <f aca="false">L722*0.6*H722</f>
        <v>150</v>
      </c>
      <c r="O722" s="6" t="n">
        <f aca="false">M722-N722</f>
        <v>100</v>
      </c>
      <c r="P722" s="7" t="n">
        <f aca="false">IF(M722=0,0,O722/M722)</f>
        <v>0.4</v>
      </c>
    </row>
    <row r="723" customFormat="false" ht="15" hidden="false" customHeight="false" outlineLevel="0" collapsed="false">
      <c r="A723" s="3" t="n">
        <v>1954</v>
      </c>
      <c r="B723" s="3" t="s">
        <v>841</v>
      </c>
      <c r="C723" s="3" t="s">
        <v>524</v>
      </c>
      <c r="D723" s="3" t="s">
        <v>108</v>
      </c>
      <c r="E723" s="3" t="s">
        <v>3871</v>
      </c>
      <c r="F723" s="3" t="s">
        <v>3613</v>
      </c>
      <c r="G723" s="3" t="s">
        <v>3604</v>
      </c>
      <c r="H723" s="8" t="n">
        <v>2</v>
      </c>
      <c r="I723" s="8" t="s">
        <v>51</v>
      </c>
      <c r="J723" s="8" t="s">
        <v>52</v>
      </c>
      <c r="K723" s="8" t="s">
        <v>54</v>
      </c>
      <c r="L723" s="8" t="n">
        <v>1200</v>
      </c>
      <c r="M723" s="8" t="n">
        <v>2400</v>
      </c>
      <c r="N723" s="6" t="n">
        <f aca="false">L723*0.6*H723</f>
        <v>1440</v>
      </c>
      <c r="O723" s="6" t="n">
        <f aca="false">M723-N723</f>
        <v>960</v>
      </c>
      <c r="P723" s="7" t="n">
        <f aca="false">IF(M723=0,0,O723/M723)</f>
        <v>0.4</v>
      </c>
    </row>
    <row r="724" customFormat="false" ht="15" hidden="false" customHeight="false" outlineLevel="0" collapsed="false">
      <c r="A724" s="2" t="n">
        <v>1955</v>
      </c>
      <c r="B724" s="2" t="s">
        <v>2776</v>
      </c>
      <c r="C724" s="2" t="s">
        <v>2334</v>
      </c>
      <c r="D724" s="2" t="s">
        <v>34</v>
      </c>
      <c r="E724" s="2" t="s">
        <v>3786</v>
      </c>
      <c r="F724" s="2" t="s">
        <v>3591</v>
      </c>
      <c r="G724" s="2" t="s">
        <v>3592</v>
      </c>
      <c r="H724" s="5" t="n">
        <v>2</v>
      </c>
      <c r="I724" s="5" t="s">
        <v>97</v>
      </c>
      <c r="J724" s="5" t="s">
        <v>52</v>
      </c>
      <c r="K724" s="5" t="s">
        <v>182</v>
      </c>
      <c r="L724" s="5" t="n">
        <v>300</v>
      </c>
      <c r="M724" s="5" t="n">
        <v>600</v>
      </c>
      <c r="N724" s="6" t="n">
        <f aca="false">L724*0.6*H724</f>
        <v>360</v>
      </c>
      <c r="O724" s="6" t="n">
        <f aca="false">M724-N724</f>
        <v>240</v>
      </c>
      <c r="P724" s="7" t="n">
        <f aca="false">IF(M724=0,0,O724/M724)</f>
        <v>0.4</v>
      </c>
    </row>
    <row r="725" customFormat="false" ht="15" hidden="false" customHeight="false" outlineLevel="0" collapsed="false">
      <c r="A725" s="3" t="n">
        <v>1956</v>
      </c>
      <c r="B725" s="3" t="s">
        <v>1183</v>
      </c>
      <c r="C725" s="3" t="s">
        <v>614</v>
      </c>
      <c r="D725" s="3" t="s">
        <v>34</v>
      </c>
      <c r="E725" s="3" t="s">
        <v>3622</v>
      </c>
      <c r="F725" s="3" t="s">
        <v>3599</v>
      </c>
      <c r="G725" s="3" t="s">
        <v>3600</v>
      </c>
      <c r="H725" s="8" t="n">
        <v>2</v>
      </c>
      <c r="I725" s="8" t="s">
        <v>51</v>
      </c>
      <c r="J725" s="8" t="s">
        <v>78</v>
      </c>
      <c r="K725" s="8" t="s">
        <v>408</v>
      </c>
      <c r="L725" s="8" t="n">
        <v>300</v>
      </c>
      <c r="M725" s="8" t="n">
        <v>600</v>
      </c>
      <c r="N725" s="6" t="n">
        <f aca="false">L725*0.6*H725</f>
        <v>360</v>
      </c>
      <c r="O725" s="6" t="n">
        <f aca="false">M725-N725</f>
        <v>240</v>
      </c>
      <c r="P725" s="7" t="n">
        <f aca="false">IF(M725=0,0,O725/M725)</f>
        <v>0.4</v>
      </c>
    </row>
    <row r="726" customFormat="false" ht="15" hidden="false" customHeight="false" outlineLevel="0" collapsed="false">
      <c r="A726" s="2" t="n">
        <v>1957</v>
      </c>
      <c r="B726" s="2" t="s">
        <v>2781</v>
      </c>
      <c r="C726" s="2" t="s">
        <v>2518</v>
      </c>
      <c r="D726" s="2" t="s">
        <v>16</v>
      </c>
      <c r="E726" s="2" t="s">
        <v>3714</v>
      </c>
      <c r="F726" s="2" t="s">
        <v>3603</v>
      </c>
      <c r="G726" s="2" t="s">
        <v>3604</v>
      </c>
      <c r="H726" s="5" t="n">
        <v>1</v>
      </c>
      <c r="I726" s="5" t="s">
        <v>18</v>
      </c>
      <c r="J726" s="5" t="s">
        <v>36</v>
      </c>
      <c r="K726" s="5" t="s">
        <v>192</v>
      </c>
      <c r="L726" s="5" t="n">
        <v>250</v>
      </c>
      <c r="M726" s="5" t="n">
        <v>250</v>
      </c>
      <c r="N726" s="6" t="n">
        <f aca="false">L726*0.6*H726</f>
        <v>150</v>
      </c>
      <c r="O726" s="6" t="n">
        <f aca="false">M726-N726</f>
        <v>100</v>
      </c>
      <c r="P726" s="7" t="n">
        <f aca="false">IF(M726=0,0,O726/M726)</f>
        <v>0.4</v>
      </c>
    </row>
    <row r="727" customFormat="false" ht="15" hidden="false" customHeight="false" outlineLevel="0" collapsed="false">
      <c r="A727" s="3" t="n">
        <v>1958</v>
      </c>
      <c r="B727" s="3" t="s">
        <v>675</v>
      </c>
      <c r="C727" s="3" t="s">
        <v>496</v>
      </c>
      <c r="D727" s="3" t="s">
        <v>16</v>
      </c>
      <c r="E727" s="3" t="s">
        <v>3923</v>
      </c>
      <c r="F727" s="3" t="s">
        <v>3599</v>
      </c>
      <c r="G727" s="3" t="s">
        <v>3600</v>
      </c>
      <c r="H727" s="8" t="n">
        <v>1</v>
      </c>
      <c r="I727" s="8" t="s">
        <v>51</v>
      </c>
      <c r="J727" s="8" t="s">
        <v>78</v>
      </c>
      <c r="K727" s="8" t="s">
        <v>408</v>
      </c>
      <c r="L727" s="8" t="n">
        <v>250</v>
      </c>
      <c r="M727" s="8" t="n">
        <v>250</v>
      </c>
      <c r="N727" s="6" t="n">
        <f aca="false">L727*0.6*H727</f>
        <v>150</v>
      </c>
      <c r="O727" s="6" t="n">
        <f aca="false">M727-N727</f>
        <v>100</v>
      </c>
      <c r="P727" s="7" t="n">
        <f aca="false">IF(M727=0,0,O727/M727)</f>
        <v>0.4</v>
      </c>
    </row>
    <row r="728" customFormat="false" ht="15" hidden="false" customHeight="false" outlineLevel="0" collapsed="false">
      <c r="A728" s="2" t="n">
        <v>1959</v>
      </c>
      <c r="B728" s="2" t="s">
        <v>463</v>
      </c>
      <c r="C728" s="2" t="s">
        <v>2739</v>
      </c>
      <c r="D728" s="2" t="s">
        <v>25</v>
      </c>
      <c r="E728" s="2" t="s">
        <v>3761</v>
      </c>
      <c r="F728" s="2" t="s">
        <v>3594</v>
      </c>
      <c r="G728" s="2" t="s">
        <v>3595</v>
      </c>
      <c r="H728" s="5" t="n">
        <v>3</v>
      </c>
      <c r="I728" s="5" t="s">
        <v>18</v>
      </c>
      <c r="J728" s="5" t="s">
        <v>121</v>
      </c>
      <c r="K728" s="5" t="s">
        <v>317</v>
      </c>
      <c r="L728" s="5" t="n">
        <v>800</v>
      </c>
      <c r="M728" s="5" t="n">
        <v>2400</v>
      </c>
      <c r="N728" s="6" t="n">
        <f aca="false">L728*0.6*H728</f>
        <v>1440</v>
      </c>
      <c r="O728" s="6" t="n">
        <f aca="false">M728-N728</f>
        <v>960</v>
      </c>
      <c r="P728" s="7" t="n">
        <f aca="false">IF(M728=0,0,O728/M728)</f>
        <v>0.4</v>
      </c>
    </row>
    <row r="729" customFormat="false" ht="15" hidden="false" customHeight="false" outlineLevel="0" collapsed="false">
      <c r="A729" s="3" t="n">
        <v>1960</v>
      </c>
      <c r="B729" s="3" t="s">
        <v>2790</v>
      </c>
      <c r="C729" s="3" t="s">
        <v>2789</v>
      </c>
      <c r="D729" s="3" t="s">
        <v>16</v>
      </c>
      <c r="E729" s="3" t="s">
        <v>3839</v>
      </c>
      <c r="F729" s="3" t="s">
        <v>1756</v>
      </c>
      <c r="G729" s="3" t="s">
        <v>3595</v>
      </c>
      <c r="H729" s="8" t="n">
        <v>1</v>
      </c>
      <c r="I729" s="8" t="s">
        <v>51</v>
      </c>
      <c r="J729" s="8" t="s">
        <v>59</v>
      </c>
      <c r="K729" s="8" t="s">
        <v>99</v>
      </c>
      <c r="L729" s="8" t="n">
        <v>250</v>
      </c>
      <c r="M729" s="8" t="n">
        <v>250</v>
      </c>
      <c r="N729" s="6" t="n">
        <f aca="false">L729*0.6*H729</f>
        <v>150</v>
      </c>
      <c r="O729" s="6" t="n">
        <f aca="false">M729-N729</f>
        <v>100</v>
      </c>
      <c r="P729" s="7" t="n">
        <f aca="false">IF(M729=0,0,O729/M729)</f>
        <v>0.4</v>
      </c>
    </row>
    <row r="730" customFormat="false" ht="15" hidden="false" customHeight="false" outlineLevel="0" collapsed="false">
      <c r="A730" s="2" t="n">
        <v>1961</v>
      </c>
      <c r="B730" s="2" t="s">
        <v>1667</v>
      </c>
      <c r="C730" s="2" t="s">
        <v>2793</v>
      </c>
      <c r="D730" s="2" t="s">
        <v>16</v>
      </c>
      <c r="E730" s="2" t="s">
        <v>3924</v>
      </c>
      <c r="F730" s="2" t="s">
        <v>3628</v>
      </c>
      <c r="G730" s="2" t="s">
        <v>3595</v>
      </c>
      <c r="H730" s="5" t="n">
        <v>3</v>
      </c>
      <c r="I730" s="5" t="s">
        <v>51</v>
      </c>
      <c r="J730" s="5" t="s">
        <v>43</v>
      </c>
      <c r="K730" s="5" t="s">
        <v>45</v>
      </c>
      <c r="L730" s="5" t="n">
        <v>250</v>
      </c>
      <c r="M730" s="5" t="n">
        <v>750</v>
      </c>
      <c r="N730" s="6" t="n">
        <f aca="false">L730*0.6*H730</f>
        <v>450</v>
      </c>
      <c r="O730" s="6" t="n">
        <f aca="false">M730-N730</f>
        <v>300</v>
      </c>
      <c r="P730" s="7" t="n">
        <f aca="false">IF(M730=0,0,O730/M730)</f>
        <v>0.4</v>
      </c>
    </row>
    <row r="731" customFormat="false" ht="15" hidden="false" customHeight="false" outlineLevel="0" collapsed="false">
      <c r="A731" s="3" t="n">
        <v>1962</v>
      </c>
      <c r="B731" s="3" t="s">
        <v>2371</v>
      </c>
      <c r="C731" s="3" t="s">
        <v>617</v>
      </c>
      <c r="D731" s="3" t="s">
        <v>147</v>
      </c>
      <c r="E731" s="3" t="s">
        <v>3798</v>
      </c>
      <c r="F731" s="3" t="s">
        <v>3625</v>
      </c>
      <c r="G731" s="3" t="s">
        <v>3592</v>
      </c>
      <c r="H731" s="8" t="n">
        <v>3</v>
      </c>
      <c r="I731" s="8" t="s">
        <v>97</v>
      </c>
      <c r="J731" s="8" t="s">
        <v>43</v>
      </c>
      <c r="K731" s="8" t="s">
        <v>111</v>
      </c>
      <c r="L731" s="8" t="n">
        <v>600</v>
      </c>
      <c r="M731" s="8" t="n">
        <v>1800</v>
      </c>
      <c r="N731" s="6" t="n">
        <f aca="false">L731*0.6*H731</f>
        <v>1080</v>
      </c>
      <c r="O731" s="6" t="n">
        <f aca="false">M731-N731</f>
        <v>720</v>
      </c>
      <c r="P731" s="7" t="n">
        <f aca="false">IF(M731=0,0,O731/M731)</f>
        <v>0.4</v>
      </c>
    </row>
    <row r="732" customFormat="false" ht="15" hidden="false" customHeight="false" outlineLevel="0" collapsed="false">
      <c r="A732" s="2" t="n">
        <v>1963</v>
      </c>
      <c r="B732" s="2" t="s">
        <v>2799</v>
      </c>
      <c r="C732" s="2" t="s">
        <v>1792</v>
      </c>
      <c r="D732" s="2" t="s">
        <v>49</v>
      </c>
      <c r="E732" s="2" t="s">
        <v>3902</v>
      </c>
      <c r="F732" s="2" t="s">
        <v>2379</v>
      </c>
      <c r="G732" s="2" t="s">
        <v>3592</v>
      </c>
      <c r="H732" s="5" t="n">
        <v>2</v>
      </c>
      <c r="I732" s="5" t="s">
        <v>27</v>
      </c>
      <c r="J732" s="5" t="s">
        <v>52</v>
      </c>
      <c r="K732" s="5" t="s">
        <v>182</v>
      </c>
      <c r="L732" s="5" t="n">
        <v>250</v>
      </c>
      <c r="M732" s="5" t="n">
        <v>500</v>
      </c>
      <c r="N732" s="6" t="n">
        <f aca="false">L732*0.6*H732</f>
        <v>300</v>
      </c>
      <c r="O732" s="6" t="n">
        <f aca="false">M732-N732</f>
        <v>200</v>
      </c>
      <c r="P732" s="7" t="n">
        <f aca="false">IF(M732=0,0,O732/M732)</f>
        <v>0.4</v>
      </c>
    </row>
    <row r="733" customFormat="false" ht="15" hidden="false" customHeight="false" outlineLevel="0" collapsed="false">
      <c r="A733" s="3" t="n">
        <v>1964</v>
      </c>
      <c r="B733" s="3" t="s">
        <v>2803</v>
      </c>
      <c r="C733" s="3" t="s">
        <v>2802</v>
      </c>
      <c r="D733" s="3" t="s">
        <v>16</v>
      </c>
      <c r="E733" s="3" t="s">
        <v>3759</v>
      </c>
      <c r="F733" s="3" t="s">
        <v>3603</v>
      </c>
      <c r="G733" s="3" t="s">
        <v>3604</v>
      </c>
      <c r="H733" s="8" t="n">
        <v>1</v>
      </c>
      <c r="I733" s="8" t="s">
        <v>51</v>
      </c>
      <c r="J733" s="8" t="s">
        <v>36</v>
      </c>
      <c r="K733" s="8" t="s">
        <v>192</v>
      </c>
      <c r="L733" s="8" t="n">
        <v>250</v>
      </c>
      <c r="M733" s="8" t="n">
        <v>250</v>
      </c>
      <c r="N733" s="6" t="n">
        <f aca="false">L733*0.6*H733</f>
        <v>150</v>
      </c>
      <c r="O733" s="6" t="n">
        <f aca="false">M733-N733</f>
        <v>100</v>
      </c>
      <c r="P733" s="7" t="n">
        <f aca="false">IF(M733=0,0,O733/M733)</f>
        <v>0.4</v>
      </c>
    </row>
    <row r="734" customFormat="false" ht="15" hidden="false" customHeight="false" outlineLevel="0" collapsed="false">
      <c r="A734" s="2" t="n">
        <v>1965</v>
      </c>
      <c r="B734" s="2" t="s">
        <v>367</v>
      </c>
      <c r="C734" s="2" t="s">
        <v>178</v>
      </c>
      <c r="D734" s="2" t="s">
        <v>108</v>
      </c>
      <c r="E734" s="2" t="s">
        <v>3682</v>
      </c>
      <c r="F734" s="2" t="s">
        <v>1756</v>
      </c>
      <c r="G734" s="2" t="s">
        <v>3595</v>
      </c>
      <c r="H734" s="5" t="n">
        <v>2</v>
      </c>
      <c r="I734" s="5" t="s">
        <v>18</v>
      </c>
      <c r="J734" s="5" t="s">
        <v>36</v>
      </c>
      <c r="K734" s="5" t="s">
        <v>192</v>
      </c>
      <c r="L734" s="5" t="n">
        <v>1200</v>
      </c>
      <c r="M734" s="5" t="n">
        <v>2400</v>
      </c>
      <c r="N734" s="6" t="n">
        <f aca="false">L734*0.6*H734</f>
        <v>1440</v>
      </c>
      <c r="O734" s="6" t="n">
        <f aca="false">M734-N734</f>
        <v>960</v>
      </c>
      <c r="P734" s="7" t="n">
        <f aca="false">IF(M734=0,0,O734/M734)</f>
        <v>0.4</v>
      </c>
    </row>
    <row r="735" customFormat="false" ht="15" hidden="false" customHeight="false" outlineLevel="0" collapsed="false">
      <c r="A735" s="3" t="n">
        <v>1966</v>
      </c>
      <c r="B735" s="3" t="s">
        <v>733</v>
      </c>
      <c r="C735" s="3" t="s">
        <v>885</v>
      </c>
      <c r="D735" s="3" t="s">
        <v>49</v>
      </c>
      <c r="E735" s="3" t="s">
        <v>3651</v>
      </c>
      <c r="F735" s="3" t="s">
        <v>1756</v>
      </c>
      <c r="G735" s="3" t="s">
        <v>3595</v>
      </c>
      <c r="H735" s="8" t="n">
        <v>2</v>
      </c>
      <c r="I735" s="8" t="s">
        <v>51</v>
      </c>
      <c r="J735" s="8" t="s">
        <v>28</v>
      </c>
      <c r="K735" s="8" t="s">
        <v>30</v>
      </c>
      <c r="L735" s="8" t="n">
        <v>250</v>
      </c>
      <c r="M735" s="8" t="n">
        <v>500</v>
      </c>
      <c r="N735" s="6" t="n">
        <f aca="false">L735*0.6*H735</f>
        <v>300</v>
      </c>
      <c r="O735" s="6" t="n">
        <f aca="false">M735-N735</f>
        <v>200</v>
      </c>
      <c r="P735" s="7" t="n">
        <f aca="false">IF(M735=0,0,O735/M735)</f>
        <v>0.4</v>
      </c>
    </row>
    <row r="736" customFormat="false" ht="15" hidden="false" customHeight="false" outlineLevel="0" collapsed="false">
      <c r="A736" s="2" t="n">
        <v>1967</v>
      </c>
      <c r="B736" s="2" t="s">
        <v>844</v>
      </c>
      <c r="C736" s="2" t="s">
        <v>837</v>
      </c>
      <c r="D736" s="2" t="s">
        <v>147</v>
      </c>
      <c r="E736" s="2" t="s">
        <v>3693</v>
      </c>
      <c r="F736" s="2" t="s">
        <v>3603</v>
      </c>
      <c r="G736" s="2" t="s">
        <v>3604</v>
      </c>
      <c r="H736" s="5" t="n">
        <v>3</v>
      </c>
      <c r="I736" s="5" t="s">
        <v>18</v>
      </c>
      <c r="J736" s="5" t="s">
        <v>36</v>
      </c>
      <c r="K736" s="5" t="s">
        <v>192</v>
      </c>
      <c r="L736" s="5" t="n">
        <v>600</v>
      </c>
      <c r="M736" s="5" t="n">
        <v>1800</v>
      </c>
      <c r="N736" s="6" t="n">
        <f aca="false">L736*0.6*H736</f>
        <v>1080</v>
      </c>
      <c r="O736" s="6" t="n">
        <f aca="false">M736-N736</f>
        <v>720</v>
      </c>
      <c r="P736" s="7" t="n">
        <f aca="false">IF(M736=0,0,O736/M736)</f>
        <v>0.4</v>
      </c>
    </row>
    <row r="737" customFormat="false" ht="15" hidden="false" customHeight="false" outlineLevel="0" collapsed="false">
      <c r="A737" s="3" t="n">
        <v>1968</v>
      </c>
      <c r="B737" s="3" t="s">
        <v>2812</v>
      </c>
      <c r="C737" s="3" t="s">
        <v>868</v>
      </c>
      <c r="D737" s="3" t="s">
        <v>16</v>
      </c>
      <c r="E737" s="3" t="s">
        <v>3905</v>
      </c>
      <c r="F737" s="3" t="s">
        <v>3599</v>
      </c>
      <c r="G737" s="3" t="s">
        <v>3600</v>
      </c>
      <c r="H737" s="8" t="n">
        <v>2</v>
      </c>
      <c r="I737" s="8" t="s">
        <v>97</v>
      </c>
      <c r="J737" s="8" t="s">
        <v>121</v>
      </c>
      <c r="K737" s="8" t="s">
        <v>123</v>
      </c>
      <c r="L737" s="8" t="n">
        <v>250</v>
      </c>
      <c r="M737" s="8" t="n">
        <v>500</v>
      </c>
      <c r="N737" s="6" t="n">
        <f aca="false">L737*0.6*H737</f>
        <v>300</v>
      </c>
      <c r="O737" s="6" t="n">
        <f aca="false">M737-N737</f>
        <v>200</v>
      </c>
      <c r="P737" s="7" t="n">
        <f aca="false">IF(M737=0,0,O737/M737)</f>
        <v>0.4</v>
      </c>
    </row>
    <row r="738" customFormat="false" ht="15" hidden="false" customHeight="false" outlineLevel="0" collapsed="false">
      <c r="A738" s="2" t="n">
        <v>1969</v>
      </c>
      <c r="B738" s="2" t="s">
        <v>2816</v>
      </c>
      <c r="C738" s="2" t="s">
        <v>2815</v>
      </c>
      <c r="D738" s="2" t="s">
        <v>34</v>
      </c>
      <c r="E738" s="2" t="s">
        <v>3766</v>
      </c>
      <c r="F738" s="2" t="s">
        <v>3603</v>
      </c>
      <c r="G738" s="2" t="s">
        <v>3604</v>
      </c>
      <c r="H738" s="5" t="n">
        <v>2</v>
      </c>
      <c r="I738" s="5" t="s">
        <v>18</v>
      </c>
      <c r="J738" s="5" t="s">
        <v>19</v>
      </c>
      <c r="K738" s="5" t="s">
        <v>73</v>
      </c>
      <c r="L738" s="5" t="n">
        <v>300</v>
      </c>
      <c r="M738" s="5" t="n">
        <v>600</v>
      </c>
      <c r="N738" s="6" t="n">
        <f aca="false">L738*0.6*H738</f>
        <v>360</v>
      </c>
      <c r="O738" s="6" t="n">
        <f aca="false">M738-N738</f>
        <v>240</v>
      </c>
      <c r="P738" s="7" t="n">
        <f aca="false">IF(M738=0,0,O738/M738)</f>
        <v>0.4</v>
      </c>
    </row>
    <row r="739" customFormat="false" ht="15" hidden="false" customHeight="false" outlineLevel="0" collapsed="false">
      <c r="A739" s="3" t="n">
        <v>1970</v>
      </c>
      <c r="B739" s="3" t="s">
        <v>2819</v>
      </c>
      <c r="C739" s="3" t="s">
        <v>510</v>
      </c>
      <c r="D739" s="3" t="s">
        <v>147</v>
      </c>
      <c r="E739" s="3" t="s">
        <v>3835</v>
      </c>
      <c r="F739" s="3" t="s">
        <v>3594</v>
      </c>
      <c r="G739" s="3" t="s">
        <v>3595</v>
      </c>
      <c r="H739" s="8" t="n">
        <v>3</v>
      </c>
      <c r="I739" s="8" t="s">
        <v>51</v>
      </c>
      <c r="J739" s="8" t="s">
        <v>59</v>
      </c>
      <c r="K739" s="8" t="s">
        <v>292</v>
      </c>
      <c r="L739" s="8" t="n">
        <v>600</v>
      </c>
      <c r="M739" s="8" t="n">
        <v>1800</v>
      </c>
      <c r="N739" s="6" t="n">
        <f aca="false">L739*0.6*H739</f>
        <v>1080</v>
      </c>
      <c r="O739" s="6" t="n">
        <f aca="false">M739-N739</f>
        <v>720</v>
      </c>
      <c r="P739" s="7" t="n">
        <f aca="false">IF(M739=0,0,O739/M739)</f>
        <v>0.4</v>
      </c>
    </row>
    <row r="740" customFormat="false" ht="15" hidden="false" customHeight="false" outlineLevel="0" collapsed="false">
      <c r="A740" s="2" t="n">
        <v>1971</v>
      </c>
      <c r="B740" s="2" t="s">
        <v>189</v>
      </c>
      <c r="C740" s="2" t="s">
        <v>23</v>
      </c>
      <c r="D740" s="2" t="s">
        <v>108</v>
      </c>
      <c r="E740" s="2" t="s">
        <v>3894</v>
      </c>
      <c r="F740" s="2" t="s">
        <v>3603</v>
      </c>
      <c r="G740" s="2" t="s">
        <v>3604</v>
      </c>
      <c r="H740" s="5" t="n">
        <v>2</v>
      </c>
      <c r="I740" s="5" t="s">
        <v>18</v>
      </c>
      <c r="J740" s="5" t="s">
        <v>28</v>
      </c>
      <c r="K740" s="5" t="s">
        <v>30</v>
      </c>
      <c r="L740" s="5" t="n">
        <v>1200</v>
      </c>
      <c r="M740" s="5" t="n">
        <v>2400</v>
      </c>
      <c r="N740" s="6" t="n">
        <f aca="false">L740*0.6*H740</f>
        <v>1440</v>
      </c>
      <c r="O740" s="6" t="n">
        <f aca="false">M740-N740</f>
        <v>960</v>
      </c>
      <c r="P740" s="7" t="n">
        <f aca="false">IF(M740=0,0,O740/M740)</f>
        <v>0.4</v>
      </c>
    </row>
    <row r="741" customFormat="false" ht="15" hidden="false" customHeight="false" outlineLevel="0" collapsed="false">
      <c r="A741" s="3" t="n">
        <v>1972</v>
      </c>
      <c r="B741" s="3" t="s">
        <v>1561</v>
      </c>
      <c r="C741" s="3" t="s">
        <v>2147</v>
      </c>
      <c r="D741" s="3" t="s">
        <v>34</v>
      </c>
      <c r="E741" s="3" t="s">
        <v>3925</v>
      </c>
      <c r="F741" s="3" t="s">
        <v>3613</v>
      </c>
      <c r="G741" s="3" t="s">
        <v>3604</v>
      </c>
      <c r="H741" s="8" t="n">
        <v>2</v>
      </c>
      <c r="I741" s="8" t="s">
        <v>18</v>
      </c>
      <c r="J741" s="8" t="s">
        <v>78</v>
      </c>
      <c r="K741" s="8" t="s">
        <v>86</v>
      </c>
      <c r="L741" s="8" t="n">
        <v>300</v>
      </c>
      <c r="M741" s="8" t="n">
        <v>600</v>
      </c>
      <c r="N741" s="6" t="n">
        <f aca="false">L741*0.6*H741</f>
        <v>360</v>
      </c>
      <c r="O741" s="6" t="n">
        <f aca="false">M741-N741</f>
        <v>240</v>
      </c>
      <c r="P741" s="7" t="n">
        <f aca="false">IF(M741=0,0,O741/M741)</f>
        <v>0.4</v>
      </c>
    </row>
    <row r="742" customFormat="false" ht="15" hidden="false" customHeight="false" outlineLevel="0" collapsed="false">
      <c r="A742" s="2" t="n">
        <v>1973</v>
      </c>
      <c r="B742" s="2" t="s">
        <v>205</v>
      </c>
      <c r="C742" s="2" t="s">
        <v>385</v>
      </c>
      <c r="D742" s="2" t="s">
        <v>108</v>
      </c>
      <c r="E742" s="2" t="s">
        <v>3769</v>
      </c>
      <c r="F742" s="2" t="s">
        <v>3606</v>
      </c>
      <c r="G742" s="2" t="s">
        <v>3600</v>
      </c>
      <c r="H742" s="5" t="n">
        <v>2</v>
      </c>
      <c r="I742" s="5" t="s">
        <v>51</v>
      </c>
      <c r="J742" s="5" t="s">
        <v>28</v>
      </c>
      <c r="K742" s="5" t="s">
        <v>30</v>
      </c>
      <c r="L742" s="5" t="n">
        <v>1200</v>
      </c>
      <c r="M742" s="5" t="n">
        <v>2400</v>
      </c>
      <c r="N742" s="6" t="n">
        <f aca="false">L742*0.6*H742</f>
        <v>1440</v>
      </c>
      <c r="O742" s="6" t="n">
        <f aca="false">M742-N742</f>
        <v>960</v>
      </c>
      <c r="P742" s="7" t="n">
        <f aca="false">IF(M742=0,0,O742/M742)</f>
        <v>0.4</v>
      </c>
    </row>
    <row r="743" customFormat="false" ht="15" hidden="false" customHeight="false" outlineLevel="0" collapsed="false">
      <c r="A743" s="3" t="n">
        <v>1974</v>
      </c>
      <c r="B743" s="3" t="s">
        <v>915</v>
      </c>
      <c r="C743" s="3" t="s">
        <v>983</v>
      </c>
      <c r="D743" s="3" t="s">
        <v>108</v>
      </c>
      <c r="E743" s="3" t="s">
        <v>3918</v>
      </c>
      <c r="F743" s="3" t="s">
        <v>3603</v>
      </c>
      <c r="G743" s="3" t="s">
        <v>3604</v>
      </c>
      <c r="H743" s="8" t="n">
        <v>3</v>
      </c>
      <c r="I743" s="8" t="s">
        <v>18</v>
      </c>
      <c r="J743" s="8" t="s">
        <v>121</v>
      </c>
      <c r="K743" s="8" t="s">
        <v>317</v>
      </c>
      <c r="L743" s="8" t="n">
        <v>1200</v>
      </c>
      <c r="M743" s="8" t="n">
        <v>3600</v>
      </c>
      <c r="N743" s="6" t="n">
        <f aca="false">L743*0.6*H743</f>
        <v>2160</v>
      </c>
      <c r="O743" s="6" t="n">
        <f aca="false">M743-N743</f>
        <v>1440</v>
      </c>
      <c r="P743" s="7" t="n">
        <f aca="false">IF(M743=0,0,O743/M743)</f>
        <v>0.4</v>
      </c>
    </row>
    <row r="744" customFormat="false" ht="15" hidden="false" customHeight="false" outlineLevel="0" collapsed="false">
      <c r="A744" s="2" t="n">
        <v>1975</v>
      </c>
      <c r="B744" s="2" t="s">
        <v>823</v>
      </c>
      <c r="C744" s="2" t="s">
        <v>1627</v>
      </c>
      <c r="D744" s="2" t="s">
        <v>108</v>
      </c>
      <c r="E744" s="2" t="s">
        <v>3636</v>
      </c>
      <c r="F744" s="2" t="s">
        <v>3610</v>
      </c>
      <c r="G744" s="2" t="s">
        <v>3600</v>
      </c>
      <c r="H744" s="5" t="n">
        <v>3</v>
      </c>
      <c r="I744" s="5" t="s">
        <v>51</v>
      </c>
      <c r="J744" s="5" t="s">
        <v>36</v>
      </c>
      <c r="K744" s="5" t="s">
        <v>192</v>
      </c>
      <c r="L744" s="5" t="n">
        <v>1200</v>
      </c>
      <c r="M744" s="5" t="n">
        <v>3600</v>
      </c>
      <c r="N744" s="6" t="n">
        <f aca="false">L744*0.6*H744</f>
        <v>2160</v>
      </c>
      <c r="O744" s="6" t="n">
        <f aca="false">M744-N744</f>
        <v>1440</v>
      </c>
      <c r="P744" s="7" t="n">
        <f aca="false">IF(M744=0,0,O744/M744)</f>
        <v>0.4</v>
      </c>
    </row>
    <row r="745" customFormat="false" ht="15" hidden="false" customHeight="false" outlineLevel="0" collapsed="false">
      <c r="A745" s="3" t="n">
        <v>1976</v>
      </c>
      <c r="B745" s="3" t="s">
        <v>2834</v>
      </c>
      <c r="C745" s="3" t="s">
        <v>2833</v>
      </c>
      <c r="D745" s="3" t="s">
        <v>108</v>
      </c>
      <c r="E745" s="3" t="s">
        <v>3762</v>
      </c>
      <c r="F745" s="3" t="s">
        <v>3603</v>
      </c>
      <c r="G745" s="3" t="s">
        <v>3604</v>
      </c>
      <c r="H745" s="8" t="n">
        <v>2</v>
      </c>
      <c r="I745" s="8" t="s">
        <v>97</v>
      </c>
      <c r="J745" s="8" t="s">
        <v>59</v>
      </c>
      <c r="K745" s="8" t="s">
        <v>61</v>
      </c>
      <c r="L745" s="8" t="n">
        <v>1200</v>
      </c>
      <c r="M745" s="8" t="n">
        <v>2400</v>
      </c>
      <c r="N745" s="6" t="n">
        <f aca="false">L745*0.6*H745</f>
        <v>1440</v>
      </c>
      <c r="O745" s="6" t="n">
        <f aca="false">M745-N745</f>
        <v>960</v>
      </c>
      <c r="P745" s="7" t="n">
        <f aca="false">IF(M745=0,0,O745/M745)</f>
        <v>0.4</v>
      </c>
    </row>
    <row r="746" customFormat="false" ht="15" hidden="false" customHeight="false" outlineLevel="0" collapsed="false">
      <c r="A746" s="2" t="n">
        <v>1977</v>
      </c>
      <c r="B746" s="2" t="s">
        <v>2837</v>
      </c>
      <c r="C746" s="2" t="s">
        <v>2411</v>
      </c>
      <c r="D746" s="2" t="s">
        <v>16</v>
      </c>
      <c r="E746" s="2" t="s">
        <v>3794</v>
      </c>
      <c r="F746" s="2" t="s">
        <v>3628</v>
      </c>
      <c r="G746" s="2" t="s">
        <v>3595</v>
      </c>
      <c r="H746" s="5" t="n">
        <v>2</v>
      </c>
      <c r="I746" s="5" t="s">
        <v>51</v>
      </c>
      <c r="J746" s="5" t="s">
        <v>28</v>
      </c>
      <c r="K746" s="5" t="s">
        <v>30</v>
      </c>
      <c r="L746" s="5" t="n">
        <v>250</v>
      </c>
      <c r="M746" s="5" t="n">
        <v>500</v>
      </c>
      <c r="N746" s="6" t="n">
        <f aca="false">L746*0.6*H746</f>
        <v>300</v>
      </c>
      <c r="O746" s="6" t="n">
        <f aca="false">M746-N746</f>
        <v>200</v>
      </c>
      <c r="P746" s="7" t="n">
        <f aca="false">IF(M746=0,0,O746/M746)</f>
        <v>0.4</v>
      </c>
    </row>
    <row r="747" customFormat="false" ht="15" hidden="false" customHeight="false" outlineLevel="0" collapsed="false">
      <c r="A747" s="3" t="n">
        <v>1978</v>
      </c>
      <c r="B747" s="3" t="s">
        <v>2840</v>
      </c>
      <c r="C747" s="3" t="s">
        <v>1299</v>
      </c>
      <c r="D747" s="3" t="s">
        <v>49</v>
      </c>
      <c r="E747" s="3" t="s">
        <v>3769</v>
      </c>
      <c r="F747" s="3" t="s">
        <v>3606</v>
      </c>
      <c r="G747" s="3" t="s">
        <v>3600</v>
      </c>
      <c r="H747" s="8" t="n">
        <v>2</v>
      </c>
      <c r="I747" s="8" t="s">
        <v>97</v>
      </c>
      <c r="J747" s="8" t="s">
        <v>121</v>
      </c>
      <c r="K747" s="8" t="s">
        <v>317</v>
      </c>
      <c r="L747" s="8" t="n">
        <v>250</v>
      </c>
      <c r="M747" s="8" t="n">
        <v>500</v>
      </c>
      <c r="N747" s="6" t="n">
        <f aca="false">L747*0.6*H747</f>
        <v>300</v>
      </c>
      <c r="O747" s="6" t="n">
        <f aca="false">M747-N747</f>
        <v>200</v>
      </c>
      <c r="P747" s="7" t="n">
        <f aca="false">IF(M747=0,0,O747/M747)</f>
        <v>0.4</v>
      </c>
    </row>
    <row r="748" customFormat="false" ht="15" hidden="false" customHeight="false" outlineLevel="0" collapsed="false">
      <c r="A748" s="2" t="n">
        <v>1979</v>
      </c>
      <c r="B748" s="2" t="s">
        <v>1708</v>
      </c>
      <c r="C748" s="2" t="s">
        <v>2843</v>
      </c>
      <c r="D748" s="2" t="s">
        <v>16</v>
      </c>
      <c r="E748" s="2" t="s">
        <v>3632</v>
      </c>
      <c r="F748" s="2" t="s">
        <v>1756</v>
      </c>
      <c r="G748" s="2" t="s">
        <v>3595</v>
      </c>
      <c r="H748" s="5" t="n">
        <v>3</v>
      </c>
      <c r="I748" s="5" t="s">
        <v>97</v>
      </c>
      <c r="J748" s="5" t="s">
        <v>19</v>
      </c>
      <c r="K748" s="5" t="s">
        <v>176</v>
      </c>
      <c r="L748" s="5" t="n">
        <v>250</v>
      </c>
      <c r="M748" s="5" t="n">
        <v>750</v>
      </c>
      <c r="N748" s="6" t="n">
        <f aca="false">L748*0.6*H748</f>
        <v>450</v>
      </c>
      <c r="O748" s="6" t="n">
        <f aca="false">M748-N748</f>
        <v>300</v>
      </c>
      <c r="P748" s="7" t="n">
        <f aca="false">IF(M748=0,0,O748/M748)</f>
        <v>0.4</v>
      </c>
    </row>
    <row r="749" customFormat="false" ht="15" hidden="false" customHeight="false" outlineLevel="0" collapsed="false">
      <c r="A749" s="3" t="n">
        <v>1980</v>
      </c>
      <c r="B749" s="3" t="s">
        <v>2083</v>
      </c>
      <c r="C749" s="3" t="s">
        <v>1870</v>
      </c>
      <c r="D749" s="3" t="s">
        <v>108</v>
      </c>
      <c r="E749" s="3" t="s">
        <v>3620</v>
      </c>
      <c r="F749" s="3" t="s">
        <v>2379</v>
      </c>
      <c r="G749" s="3" t="s">
        <v>3592</v>
      </c>
      <c r="H749" s="8" t="n">
        <v>3</v>
      </c>
      <c r="I749" s="8" t="s">
        <v>18</v>
      </c>
      <c r="J749" s="8" t="s">
        <v>52</v>
      </c>
      <c r="K749" s="8" t="s">
        <v>92</v>
      </c>
      <c r="L749" s="8" t="n">
        <v>1200</v>
      </c>
      <c r="M749" s="8" t="n">
        <v>3600</v>
      </c>
      <c r="N749" s="6" t="n">
        <f aca="false">L749*0.6*H749</f>
        <v>2160</v>
      </c>
      <c r="O749" s="6" t="n">
        <f aca="false">M749-N749</f>
        <v>1440</v>
      </c>
      <c r="P749" s="7" t="n">
        <f aca="false">IF(M749=0,0,O749/M749)</f>
        <v>0.4</v>
      </c>
    </row>
    <row r="750" customFormat="false" ht="15" hidden="false" customHeight="false" outlineLevel="0" collapsed="false">
      <c r="A750" s="2" t="n">
        <v>1981</v>
      </c>
      <c r="B750" s="2" t="s">
        <v>649</v>
      </c>
      <c r="C750" s="2" t="s">
        <v>2848</v>
      </c>
      <c r="D750" s="2" t="s">
        <v>108</v>
      </c>
      <c r="E750" s="2" t="s">
        <v>3639</v>
      </c>
      <c r="F750" s="2" t="s">
        <v>3610</v>
      </c>
      <c r="G750" s="2" t="s">
        <v>3600</v>
      </c>
      <c r="H750" s="5" t="n">
        <v>1</v>
      </c>
      <c r="I750" s="5" t="s">
        <v>51</v>
      </c>
      <c r="J750" s="5" t="s">
        <v>121</v>
      </c>
      <c r="K750" s="5" t="s">
        <v>317</v>
      </c>
      <c r="L750" s="5" t="n">
        <v>1200</v>
      </c>
      <c r="M750" s="5" t="n">
        <v>1200</v>
      </c>
      <c r="N750" s="6" t="n">
        <f aca="false">L750*0.6*H750</f>
        <v>720</v>
      </c>
      <c r="O750" s="6" t="n">
        <f aca="false">M750-N750</f>
        <v>480</v>
      </c>
      <c r="P750" s="7" t="n">
        <f aca="false">IF(M750=0,0,O750/M750)</f>
        <v>0.4</v>
      </c>
    </row>
    <row r="751" customFormat="false" ht="15" hidden="false" customHeight="false" outlineLevel="0" collapsed="false">
      <c r="A751" s="3" t="n">
        <v>1982</v>
      </c>
      <c r="B751" s="3" t="s">
        <v>2851</v>
      </c>
      <c r="C751" s="3" t="s">
        <v>873</v>
      </c>
      <c r="D751" s="3" t="s">
        <v>34</v>
      </c>
      <c r="E751" s="3" t="s">
        <v>3622</v>
      </c>
      <c r="F751" s="3" t="s">
        <v>3599</v>
      </c>
      <c r="G751" s="3" t="s">
        <v>3600</v>
      </c>
      <c r="H751" s="8" t="n">
        <v>2</v>
      </c>
      <c r="I751" s="8" t="s">
        <v>18</v>
      </c>
      <c r="J751" s="8" t="s">
        <v>121</v>
      </c>
      <c r="K751" s="8" t="s">
        <v>317</v>
      </c>
      <c r="L751" s="8" t="n">
        <v>300</v>
      </c>
      <c r="M751" s="8" t="n">
        <v>600</v>
      </c>
      <c r="N751" s="6" t="n">
        <f aca="false">L751*0.6*H751</f>
        <v>360</v>
      </c>
      <c r="O751" s="6" t="n">
        <f aca="false">M751-N751</f>
        <v>240</v>
      </c>
      <c r="P751" s="7" t="n">
        <f aca="false">IF(M751=0,0,O751/M751)</f>
        <v>0.4</v>
      </c>
    </row>
    <row r="752" customFormat="false" ht="15" hidden="false" customHeight="false" outlineLevel="0" collapsed="false">
      <c r="A752" s="2" t="n">
        <v>1983</v>
      </c>
      <c r="B752" s="2" t="s">
        <v>2854</v>
      </c>
      <c r="C752" s="2" t="s">
        <v>1400</v>
      </c>
      <c r="D752" s="2" t="s">
        <v>25</v>
      </c>
      <c r="E752" s="2" t="s">
        <v>3693</v>
      </c>
      <c r="F752" s="2" t="s">
        <v>3603</v>
      </c>
      <c r="G752" s="2" t="s">
        <v>3604</v>
      </c>
      <c r="H752" s="5" t="n">
        <v>3</v>
      </c>
      <c r="I752" s="5" t="s">
        <v>27</v>
      </c>
      <c r="J752" s="5" t="s">
        <v>43</v>
      </c>
      <c r="K752" s="5" t="s">
        <v>45</v>
      </c>
      <c r="L752" s="5" t="n">
        <v>800</v>
      </c>
      <c r="M752" s="5" t="n">
        <v>2400</v>
      </c>
      <c r="N752" s="6" t="n">
        <f aca="false">L752*0.6*H752</f>
        <v>1440</v>
      </c>
      <c r="O752" s="6" t="n">
        <f aca="false">M752-N752</f>
        <v>960</v>
      </c>
      <c r="P752" s="7" t="n">
        <f aca="false">IF(M752=0,0,O752/M752)</f>
        <v>0.4</v>
      </c>
    </row>
    <row r="753" customFormat="false" ht="15" hidden="false" customHeight="false" outlineLevel="0" collapsed="false">
      <c r="A753" s="3" t="n">
        <v>1984</v>
      </c>
      <c r="B753" s="3" t="s">
        <v>2858</v>
      </c>
      <c r="C753" s="3" t="s">
        <v>2857</v>
      </c>
      <c r="D753" s="3" t="s">
        <v>108</v>
      </c>
      <c r="E753" s="3" t="s">
        <v>3758</v>
      </c>
      <c r="F753" s="3" t="s">
        <v>3599</v>
      </c>
      <c r="G753" s="3" t="s">
        <v>3600</v>
      </c>
      <c r="H753" s="8" t="n">
        <v>2</v>
      </c>
      <c r="I753" s="8" t="s">
        <v>27</v>
      </c>
      <c r="J753" s="8" t="s">
        <v>59</v>
      </c>
      <c r="K753" s="8" t="s">
        <v>61</v>
      </c>
      <c r="L753" s="8" t="n">
        <v>1200</v>
      </c>
      <c r="M753" s="8" t="n">
        <v>2400</v>
      </c>
      <c r="N753" s="6" t="n">
        <f aca="false">L753*0.6*H753</f>
        <v>1440</v>
      </c>
      <c r="O753" s="6" t="n">
        <f aca="false">M753-N753</f>
        <v>960</v>
      </c>
      <c r="P753" s="7" t="n">
        <f aca="false">IF(M753=0,0,O753/M753)</f>
        <v>0.4</v>
      </c>
    </row>
    <row r="754" customFormat="false" ht="15" hidden="false" customHeight="false" outlineLevel="0" collapsed="false">
      <c r="A754" s="2" t="n">
        <v>1985</v>
      </c>
      <c r="B754" s="2" t="s">
        <v>2609</v>
      </c>
      <c r="C754" s="2" t="s">
        <v>1410</v>
      </c>
      <c r="D754" s="2" t="s">
        <v>49</v>
      </c>
      <c r="E754" s="2" t="s">
        <v>3667</v>
      </c>
      <c r="F754" s="2" t="s">
        <v>3613</v>
      </c>
      <c r="G754" s="2" t="s">
        <v>3604</v>
      </c>
      <c r="H754" s="5" t="n">
        <v>3</v>
      </c>
      <c r="I754" s="5" t="s">
        <v>18</v>
      </c>
      <c r="J754" s="5" t="s">
        <v>19</v>
      </c>
      <c r="K754" s="5" t="s">
        <v>176</v>
      </c>
      <c r="L754" s="5" t="n">
        <v>250</v>
      </c>
      <c r="M754" s="5" t="n">
        <v>750</v>
      </c>
      <c r="N754" s="6" t="n">
        <f aca="false">L754*0.6*H754</f>
        <v>450</v>
      </c>
      <c r="O754" s="6" t="n">
        <f aca="false">M754-N754</f>
        <v>300</v>
      </c>
      <c r="P754" s="7" t="n">
        <f aca="false">IF(M754=0,0,O754/M754)</f>
        <v>0.4</v>
      </c>
    </row>
    <row r="755" customFormat="false" ht="15" hidden="false" customHeight="false" outlineLevel="0" collapsed="false">
      <c r="A755" s="3" t="n">
        <v>1986</v>
      </c>
      <c r="B755" s="3" t="s">
        <v>2864</v>
      </c>
      <c r="C755" s="3" t="s">
        <v>2863</v>
      </c>
      <c r="D755" s="3" t="s">
        <v>25</v>
      </c>
      <c r="E755" s="3" t="s">
        <v>3778</v>
      </c>
      <c r="F755" s="3" t="s">
        <v>1756</v>
      </c>
      <c r="G755" s="3" t="s">
        <v>3595</v>
      </c>
      <c r="H755" s="8" t="n">
        <v>2</v>
      </c>
      <c r="I755" s="8" t="s">
        <v>51</v>
      </c>
      <c r="J755" s="8" t="s">
        <v>36</v>
      </c>
      <c r="K755" s="8" t="s">
        <v>38</v>
      </c>
      <c r="L755" s="8" t="n">
        <v>800</v>
      </c>
      <c r="M755" s="8" t="n">
        <v>1600</v>
      </c>
      <c r="N755" s="6" t="n">
        <f aca="false">L755*0.6*H755</f>
        <v>960</v>
      </c>
      <c r="O755" s="6" t="n">
        <f aca="false">M755-N755</f>
        <v>640</v>
      </c>
      <c r="P755" s="7" t="n">
        <f aca="false">IF(M755=0,0,O755/M755)</f>
        <v>0.4</v>
      </c>
    </row>
    <row r="756" customFormat="false" ht="15" hidden="false" customHeight="false" outlineLevel="0" collapsed="false">
      <c r="A756" s="2" t="n">
        <v>1987</v>
      </c>
      <c r="B756" s="2" t="s">
        <v>2868</v>
      </c>
      <c r="C756" s="2" t="s">
        <v>2867</v>
      </c>
      <c r="D756" s="2" t="s">
        <v>25</v>
      </c>
      <c r="E756" s="2" t="s">
        <v>3803</v>
      </c>
      <c r="F756" s="2" t="s">
        <v>3606</v>
      </c>
      <c r="G756" s="2" t="s">
        <v>3600</v>
      </c>
      <c r="H756" s="5" t="n">
        <v>3</v>
      </c>
      <c r="I756" s="5" t="s">
        <v>18</v>
      </c>
      <c r="J756" s="5" t="s">
        <v>28</v>
      </c>
      <c r="K756" s="5" t="s">
        <v>30</v>
      </c>
      <c r="L756" s="5" t="n">
        <v>800</v>
      </c>
      <c r="M756" s="5" t="n">
        <v>2400</v>
      </c>
      <c r="N756" s="6" t="n">
        <f aca="false">L756*0.6*H756</f>
        <v>1440</v>
      </c>
      <c r="O756" s="6" t="n">
        <f aca="false">M756-N756</f>
        <v>960</v>
      </c>
      <c r="P756" s="7" t="n">
        <f aca="false">IF(M756=0,0,O756/M756)</f>
        <v>0.4</v>
      </c>
    </row>
    <row r="757" customFormat="false" ht="15" hidden="false" customHeight="false" outlineLevel="0" collapsed="false">
      <c r="A757" s="3" t="n">
        <v>1988</v>
      </c>
      <c r="B757" s="3" t="s">
        <v>255</v>
      </c>
      <c r="C757" s="3" t="s">
        <v>2871</v>
      </c>
      <c r="D757" s="3" t="s">
        <v>147</v>
      </c>
      <c r="E757" s="3" t="s">
        <v>3886</v>
      </c>
      <c r="F757" s="3" t="s">
        <v>3610</v>
      </c>
      <c r="G757" s="3" t="s">
        <v>3600</v>
      </c>
      <c r="H757" s="8" t="n">
        <v>2</v>
      </c>
      <c r="I757" s="8" t="s">
        <v>51</v>
      </c>
      <c r="J757" s="8" t="s">
        <v>121</v>
      </c>
      <c r="K757" s="8" t="s">
        <v>317</v>
      </c>
      <c r="L757" s="8" t="n">
        <v>600</v>
      </c>
      <c r="M757" s="8" t="n">
        <v>1200</v>
      </c>
      <c r="N757" s="6" t="n">
        <f aca="false">L757*0.6*H757</f>
        <v>720</v>
      </c>
      <c r="O757" s="6" t="n">
        <f aca="false">M757-N757</f>
        <v>480</v>
      </c>
      <c r="P757" s="7" t="n">
        <f aca="false">IF(M757=0,0,O757/M757)</f>
        <v>0.4</v>
      </c>
    </row>
    <row r="758" customFormat="false" ht="15" hidden="false" customHeight="false" outlineLevel="0" collapsed="false">
      <c r="A758" s="2" t="n">
        <v>1989</v>
      </c>
      <c r="B758" s="2" t="s">
        <v>2864</v>
      </c>
      <c r="C758" s="2" t="s">
        <v>994</v>
      </c>
      <c r="D758" s="2" t="s">
        <v>147</v>
      </c>
      <c r="E758" s="2" t="s">
        <v>3906</v>
      </c>
      <c r="F758" s="2" t="s">
        <v>3610</v>
      </c>
      <c r="G758" s="2" t="s">
        <v>3600</v>
      </c>
      <c r="H758" s="5" t="n">
        <v>3</v>
      </c>
      <c r="I758" s="5" t="s">
        <v>51</v>
      </c>
      <c r="J758" s="5" t="s">
        <v>36</v>
      </c>
      <c r="K758" s="5" t="s">
        <v>170</v>
      </c>
      <c r="L758" s="5" t="n">
        <v>600</v>
      </c>
      <c r="M758" s="5" t="n">
        <v>1800</v>
      </c>
      <c r="N758" s="6" t="n">
        <f aca="false">L758*0.6*H758</f>
        <v>1080</v>
      </c>
      <c r="O758" s="6" t="n">
        <f aca="false">M758-N758</f>
        <v>720</v>
      </c>
      <c r="P758" s="7" t="n">
        <f aca="false">IF(M758=0,0,O758/M758)</f>
        <v>0.4</v>
      </c>
    </row>
    <row r="759" customFormat="false" ht="15" hidden="false" customHeight="false" outlineLevel="0" collapsed="false">
      <c r="A759" s="3" t="n">
        <v>1990</v>
      </c>
      <c r="B759" s="3" t="s">
        <v>2876</v>
      </c>
      <c r="C759" s="3" t="s">
        <v>1755</v>
      </c>
      <c r="D759" s="3" t="s">
        <v>108</v>
      </c>
      <c r="E759" s="3" t="s">
        <v>3775</v>
      </c>
      <c r="F759" s="3" t="s">
        <v>3603</v>
      </c>
      <c r="G759" s="3" t="s">
        <v>3604</v>
      </c>
      <c r="H759" s="8" t="n">
        <v>2</v>
      </c>
      <c r="I759" s="8" t="s">
        <v>18</v>
      </c>
      <c r="J759" s="8" t="s">
        <v>19</v>
      </c>
      <c r="K759" s="8" t="s">
        <v>73</v>
      </c>
      <c r="L759" s="8" t="n">
        <v>1200</v>
      </c>
      <c r="M759" s="8" t="n">
        <v>2400</v>
      </c>
      <c r="N759" s="6" t="n">
        <f aca="false">L759*0.6*H759</f>
        <v>1440</v>
      </c>
      <c r="O759" s="6" t="n">
        <f aca="false">M759-N759</f>
        <v>960</v>
      </c>
      <c r="P759" s="7" t="n">
        <f aca="false">IF(M759=0,0,O759/M759)</f>
        <v>0.4</v>
      </c>
    </row>
    <row r="760" customFormat="false" ht="15" hidden="false" customHeight="false" outlineLevel="0" collapsed="false">
      <c r="A760" s="2" t="n">
        <v>1991</v>
      </c>
      <c r="B760" s="2" t="s">
        <v>2879</v>
      </c>
      <c r="C760" s="2" t="s">
        <v>101</v>
      </c>
      <c r="D760" s="2" t="s">
        <v>34</v>
      </c>
      <c r="E760" s="2" t="s">
        <v>3860</v>
      </c>
      <c r="F760" s="2" t="s">
        <v>3591</v>
      </c>
      <c r="G760" s="2" t="s">
        <v>3592</v>
      </c>
      <c r="H760" s="5" t="n">
        <v>2</v>
      </c>
      <c r="I760" s="5" t="s">
        <v>18</v>
      </c>
      <c r="J760" s="5" t="s">
        <v>121</v>
      </c>
      <c r="K760" s="5" t="s">
        <v>317</v>
      </c>
      <c r="L760" s="5" t="n">
        <v>300</v>
      </c>
      <c r="M760" s="5" t="n">
        <v>600</v>
      </c>
      <c r="N760" s="6" t="n">
        <f aca="false">L760*0.6*H760</f>
        <v>360</v>
      </c>
      <c r="O760" s="6" t="n">
        <f aca="false">M760-N760</f>
        <v>240</v>
      </c>
      <c r="P760" s="7" t="n">
        <f aca="false">IF(M760=0,0,O760/M760)</f>
        <v>0.4</v>
      </c>
    </row>
    <row r="761" customFormat="false" ht="15" hidden="false" customHeight="false" outlineLevel="0" collapsed="false">
      <c r="A761" s="3" t="n">
        <v>1992</v>
      </c>
      <c r="B761" s="3" t="s">
        <v>2882</v>
      </c>
      <c r="C761" s="3" t="s">
        <v>1363</v>
      </c>
      <c r="D761" s="3" t="s">
        <v>49</v>
      </c>
      <c r="E761" s="3" t="s">
        <v>3819</v>
      </c>
      <c r="F761" s="3" t="s">
        <v>1756</v>
      </c>
      <c r="G761" s="3" t="s">
        <v>3595</v>
      </c>
      <c r="H761" s="8" t="n">
        <v>1</v>
      </c>
      <c r="I761" s="8" t="s">
        <v>27</v>
      </c>
      <c r="J761" s="8" t="s">
        <v>52</v>
      </c>
      <c r="K761" s="8" t="s">
        <v>54</v>
      </c>
      <c r="L761" s="8" t="n">
        <v>250</v>
      </c>
      <c r="M761" s="8" t="n">
        <v>250</v>
      </c>
      <c r="N761" s="6" t="n">
        <f aca="false">L761*0.6*H761</f>
        <v>150</v>
      </c>
      <c r="O761" s="6" t="n">
        <f aca="false">M761-N761</f>
        <v>100</v>
      </c>
      <c r="P761" s="7" t="n">
        <f aca="false">IF(M761=0,0,O761/M761)</f>
        <v>0.4</v>
      </c>
    </row>
    <row r="762" customFormat="false" ht="15" hidden="false" customHeight="false" outlineLevel="0" collapsed="false">
      <c r="A762" s="2" t="n">
        <v>1993</v>
      </c>
      <c r="B762" s="2" t="s">
        <v>915</v>
      </c>
      <c r="C762" s="2" t="s">
        <v>1063</v>
      </c>
      <c r="D762" s="2" t="s">
        <v>16</v>
      </c>
      <c r="E762" s="2" t="s">
        <v>3917</v>
      </c>
      <c r="F762" s="2" t="s">
        <v>1756</v>
      </c>
      <c r="G762" s="2" t="s">
        <v>3595</v>
      </c>
      <c r="H762" s="5" t="n">
        <v>1</v>
      </c>
      <c r="I762" s="5" t="s">
        <v>51</v>
      </c>
      <c r="J762" s="5" t="s">
        <v>52</v>
      </c>
      <c r="K762" s="5" t="s">
        <v>54</v>
      </c>
      <c r="L762" s="5" t="n">
        <v>250</v>
      </c>
      <c r="M762" s="5" t="n">
        <v>250</v>
      </c>
      <c r="N762" s="6" t="n">
        <f aca="false">L762*0.6*H762</f>
        <v>150</v>
      </c>
      <c r="O762" s="6" t="n">
        <f aca="false">M762-N762</f>
        <v>100</v>
      </c>
      <c r="P762" s="7" t="n">
        <f aca="false">IF(M762=0,0,O762/M762)</f>
        <v>0.4</v>
      </c>
    </row>
    <row r="763" customFormat="false" ht="15" hidden="false" customHeight="false" outlineLevel="0" collapsed="false">
      <c r="A763" s="3" t="n">
        <v>1994</v>
      </c>
      <c r="B763" s="3" t="s">
        <v>1198</v>
      </c>
      <c r="C763" s="3" t="s">
        <v>2150</v>
      </c>
      <c r="D763" s="3" t="s">
        <v>108</v>
      </c>
      <c r="E763" s="3" t="s">
        <v>3926</v>
      </c>
      <c r="F763" s="3" t="s">
        <v>3610</v>
      </c>
      <c r="G763" s="3" t="s">
        <v>3600</v>
      </c>
      <c r="H763" s="8" t="n">
        <v>2</v>
      </c>
      <c r="I763" s="8" t="s">
        <v>18</v>
      </c>
      <c r="J763" s="8" t="s">
        <v>78</v>
      </c>
      <c r="K763" s="8" t="s">
        <v>86</v>
      </c>
      <c r="L763" s="8" t="n">
        <v>1200</v>
      </c>
      <c r="M763" s="8" t="n">
        <v>2400</v>
      </c>
      <c r="N763" s="6" t="n">
        <f aca="false">L763*0.6*H763</f>
        <v>1440</v>
      </c>
      <c r="O763" s="6" t="n">
        <f aca="false">M763-N763</f>
        <v>960</v>
      </c>
      <c r="P763" s="7" t="n">
        <f aca="false">IF(M763=0,0,O763/M763)</f>
        <v>0.4</v>
      </c>
    </row>
    <row r="764" customFormat="false" ht="15" hidden="false" customHeight="false" outlineLevel="0" collapsed="false">
      <c r="A764" s="2" t="n">
        <v>1995</v>
      </c>
      <c r="B764" s="2" t="s">
        <v>1127</v>
      </c>
      <c r="C764" s="2" t="s">
        <v>2890</v>
      </c>
      <c r="D764" s="2" t="s">
        <v>16</v>
      </c>
      <c r="E764" s="2" t="s">
        <v>3889</v>
      </c>
      <c r="F764" s="2" t="s">
        <v>2379</v>
      </c>
      <c r="G764" s="2" t="s">
        <v>3592</v>
      </c>
      <c r="H764" s="5" t="n">
        <v>3</v>
      </c>
      <c r="I764" s="5" t="s">
        <v>18</v>
      </c>
      <c r="J764" s="5" t="s">
        <v>19</v>
      </c>
      <c r="K764" s="5" t="s">
        <v>73</v>
      </c>
      <c r="L764" s="5" t="n">
        <v>250</v>
      </c>
      <c r="M764" s="5" t="n">
        <v>750</v>
      </c>
      <c r="N764" s="6" t="n">
        <f aca="false">L764*0.6*H764</f>
        <v>450</v>
      </c>
      <c r="O764" s="6" t="n">
        <f aca="false">M764-N764</f>
        <v>300</v>
      </c>
      <c r="P764" s="7" t="n">
        <f aca="false">IF(M764=0,0,O764/M764)</f>
        <v>0.4</v>
      </c>
    </row>
    <row r="765" customFormat="false" ht="15" hidden="false" customHeight="false" outlineLevel="0" collapsed="false">
      <c r="A765" s="3" t="n">
        <v>1996</v>
      </c>
      <c r="B765" s="3" t="s">
        <v>2879</v>
      </c>
      <c r="C765" s="3" t="s">
        <v>2893</v>
      </c>
      <c r="D765" s="3" t="s">
        <v>49</v>
      </c>
      <c r="E765" s="3" t="s">
        <v>3605</v>
      </c>
      <c r="F765" s="3" t="s">
        <v>3606</v>
      </c>
      <c r="G765" s="3" t="s">
        <v>3600</v>
      </c>
      <c r="H765" s="8" t="n">
        <v>3</v>
      </c>
      <c r="I765" s="8" t="s">
        <v>51</v>
      </c>
      <c r="J765" s="8" t="s">
        <v>52</v>
      </c>
      <c r="K765" s="8" t="s">
        <v>92</v>
      </c>
      <c r="L765" s="8" t="n">
        <v>250</v>
      </c>
      <c r="M765" s="8" t="n">
        <v>750</v>
      </c>
      <c r="N765" s="6" t="n">
        <f aca="false">L765*0.6*H765</f>
        <v>450</v>
      </c>
      <c r="O765" s="6" t="n">
        <f aca="false">M765-N765</f>
        <v>300</v>
      </c>
      <c r="P765" s="7" t="n">
        <f aca="false">IF(M765=0,0,O765/M765)</f>
        <v>0.4</v>
      </c>
    </row>
    <row r="766" customFormat="false" ht="15" hidden="false" customHeight="false" outlineLevel="0" collapsed="false">
      <c r="A766" s="2" t="n">
        <v>1997</v>
      </c>
      <c r="B766" s="2" t="s">
        <v>2896</v>
      </c>
      <c r="C766" s="2" t="s">
        <v>2153</v>
      </c>
      <c r="D766" s="2" t="s">
        <v>16</v>
      </c>
      <c r="E766" s="2" t="s">
        <v>3777</v>
      </c>
      <c r="F766" s="2" t="s">
        <v>3603</v>
      </c>
      <c r="G766" s="2" t="s">
        <v>3604</v>
      </c>
      <c r="H766" s="5" t="n">
        <v>1</v>
      </c>
      <c r="I766" s="5" t="s">
        <v>51</v>
      </c>
      <c r="J766" s="5" t="s">
        <v>78</v>
      </c>
      <c r="K766" s="5" t="s">
        <v>80</v>
      </c>
      <c r="L766" s="5" t="n">
        <v>250</v>
      </c>
      <c r="M766" s="5" t="n">
        <v>250</v>
      </c>
      <c r="N766" s="6" t="n">
        <f aca="false">L766*0.6*H766</f>
        <v>150</v>
      </c>
      <c r="O766" s="6" t="n">
        <f aca="false">M766-N766</f>
        <v>100</v>
      </c>
      <c r="P766" s="7" t="n">
        <f aca="false">IF(M766=0,0,O766/M766)</f>
        <v>0.4</v>
      </c>
    </row>
    <row r="767" customFormat="false" ht="15" hidden="false" customHeight="false" outlineLevel="0" collapsed="false">
      <c r="A767" s="3" t="n">
        <v>1998</v>
      </c>
      <c r="B767" s="3" t="s">
        <v>2899</v>
      </c>
      <c r="C767" s="3" t="s">
        <v>179</v>
      </c>
      <c r="D767" s="3" t="s">
        <v>108</v>
      </c>
      <c r="E767" s="3" t="s">
        <v>3759</v>
      </c>
      <c r="F767" s="3" t="s">
        <v>3603</v>
      </c>
      <c r="G767" s="3" t="s">
        <v>3604</v>
      </c>
      <c r="H767" s="8" t="n">
        <v>3</v>
      </c>
      <c r="I767" s="8" t="s">
        <v>97</v>
      </c>
      <c r="J767" s="8" t="s">
        <v>121</v>
      </c>
      <c r="K767" s="8" t="s">
        <v>123</v>
      </c>
      <c r="L767" s="8" t="n">
        <v>1200</v>
      </c>
      <c r="M767" s="8" t="n">
        <v>3600</v>
      </c>
      <c r="N767" s="6" t="n">
        <f aca="false">L767*0.6*H767</f>
        <v>2160</v>
      </c>
      <c r="O767" s="6" t="n">
        <f aca="false">M767-N767</f>
        <v>1440</v>
      </c>
      <c r="P767" s="7" t="n">
        <f aca="false">IF(M767=0,0,O767/M767)</f>
        <v>0.4</v>
      </c>
    </row>
    <row r="768" customFormat="false" ht="15" hidden="false" customHeight="false" outlineLevel="0" collapsed="false">
      <c r="A768" s="2" t="n">
        <v>1999</v>
      </c>
      <c r="B768" s="2" t="s">
        <v>2882</v>
      </c>
      <c r="C768" s="2" t="s">
        <v>1870</v>
      </c>
      <c r="D768" s="2" t="s">
        <v>49</v>
      </c>
      <c r="E768" s="2" t="s">
        <v>3863</v>
      </c>
      <c r="F768" s="2" t="s">
        <v>1756</v>
      </c>
      <c r="G768" s="2" t="s">
        <v>3595</v>
      </c>
      <c r="H768" s="5" t="n">
        <v>3</v>
      </c>
      <c r="I768" s="5" t="s">
        <v>18</v>
      </c>
      <c r="J768" s="5" t="s">
        <v>19</v>
      </c>
      <c r="K768" s="5" t="s">
        <v>73</v>
      </c>
      <c r="L768" s="5" t="n">
        <v>250</v>
      </c>
      <c r="M768" s="5" t="n">
        <v>750</v>
      </c>
      <c r="N768" s="6" t="n">
        <f aca="false">L768*0.6*H768</f>
        <v>450</v>
      </c>
      <c r="O768" s="6" t="n">
        <f aca="false">M768-N768</f>
        <v>300</v>
      </c>
      <c r="P768" s="7" t="n">
        <f aca="false">IF(M768=0,0,O768/M768)</f>
        <v>0.4</v>
      </c>
    </row>
    <row r="769" customFormat="false" ht="15" hidden="false" customHeight="false" outlineLevel="0" collapsed="false">
      <c r="A769" s="3" t="n">
        <v>2000</v>
      </c>
      <c r="B769" s="3" t="s">
        <v>987</v>
      </c>
      <c r="C769" s="3" t="s">
        <v>2904</v>
      </c>
      <c r="D769" s="3" t="s">
        <v>108</v>
      </c>
      <c r="E769" s="3" t="s">
        <v>3711</v>
      </c>
      <c r="F769" s="3" t="s">
        <v>3610</v>
      </c>
      <c r="G769" s="3" t="s">
        <v>3600</v>
      </c>
      <c r="H769" s="8" t="n">
        <v>3</v>
      </c>
      <c r="I769" s="8" t="s">
        <v>51</v>
      </c>
      <c r="J769" s="8" t="s">
        <v>19</v>
      </c>
      <c r="K769" s="8" t="s">
        <v>176</v>
      </c>
      <c r="L769" s="8" t="n">
        <v>1200</v>
      </c>
      <c r="M769" s="8" t="n">
        <v>3600</v>
      </c>
      <c r="N769" s="6" t="n">
        <f aca="false">L769*0.6*H769</f>
        <v>2160</v>
      </c>
      <c r="O769" s="6" t="n">
        <f aca="false">M769-N769</f>
        <v>1440</v>
      </c>
      <c r="P769" s="7" t="n">
        <f aca="false">IF(M769=0,0,O769/M769)</f>
        <v>0.4</v>
      </c>
    </row>
    <row r="770" customFormat="false" ht="15" hidden="false" customHeight="false" outlineLevel="0" collapsed="false">
      <c r="A770" s="2" t="n">
        <v>2001</v>
      </c>
      <c r="B770" s="2" t="s">
        <v>1591</v>
      </c>
      <c r="C770" s="2" t="s">
        <v>264</v>
      </c>
      <c r="D770" s="2" t="s">
        <v>108</v>
      </c>
      <c r="E770" s="2" t="s">
        <v>3602</v>
      </c>
      <c r="F770" s="2" t="s">
        <v>3603</v>
      </c>
      <c r="G770" s="2" t="s">
        <v>3604</v>
      </c>
      <c r="H770" s="5" t="n">
        <v>3</v>
      </c>
      <c r="I770" s="5" t="s">
        <v>18</v>
      </c>
      <c r="J770" s="5" t="s">
        <v>36</v>
      </c>
      <c r="K770" s="5" t="s">
        <v>170</v>
      </c>
      <c r="L770" s="5" t="n">
        <v>1200</v>
      </c>
      <c r="M770" s="5" t="n">
        <v>3600</v>
      </c>
      <c r="N770" s="6" t="n">
        <f aca="false">L770*0.6*H770</f>
        <v>2160</v>
      </c>
      <c r="O770" s="6" t="n">
        <f aca="false">M770-N770</f>
        <v>1440</v>
      </c>
      <c r="P770" s="7" t="n">
        <f aca="false">IF(M770=0,0,O770/M770)</f>
        <v>0.4</v>
      </c>
    </row>
    <row r="771" customFormat="false" ht="15" hidden="false" customHeight="false" outlineLevel="0" collapsed="false">
      <c r="A771" s="3" t="n">
        <v>2002</v>
      </c>
      <c r="B771" s="3" t="s">
        <v>2042</v>
      </c>
      <c r="C771" s="3" t="s">
        <v>954</v>
      </c>
      <c r="D771" s="3" t="s">
        <v>108</v>
      </c>
      <c r="E771" s="3" t="s">
        <v>3750</v>
      </c>
      <c r="F771" s="3" t="s">
        <v>3628</v>
      </c>
      <c r="G771" s="3" t="s">
        <v>3595</v>
      </c>
      <c r="H771" s="8" t="n">
        <v>2</v>
      </c>
      <c r="I771" s="8" t="s">
        <v>51</v>
      </c>
      <c r="J771" s="8" t="s">
        <v>43</v>
      </c>
      <c r="K771" s="8" t="s">
        <v>45</v>
      </c>
      <c r="L771" s="8" t="n">
        <v>1200</v>
      </c>
      <c r="M771" s="8" t="n">
        <v>2400</v>
      </c>
      <c r="N771" s="6" t="n">
        <f aca="false">L771*0.6*H771</f>
        <v>1440</v>
      </c>
      <c r="O771" s="6" t="n">
        <f aca="false">M771-N771</f>
        <v>960</v>
      </c>
      <c r="P771" s="7" t="n">
        <f aca="false">IF(M771=0,0,O771/M771)</f>
        <v>0.4</v>
      </c>
    </row>
    <row r="772" customFormat="false" ht="15" hidden="false" customHeight="false" outlineLevel="0" collapsed="false">
      <c r="A772" s="2" t="n">
        <v>2003</v>
      </c>
      <c r="B772" s="2" t="s">
        <v>2911</v>
      </c>
      <c r="C772" s="2" t="s">
        <v>617</v>
      </c>
      <c r="D772" s="2" t="s">
        <v>25</v>
      </c>
      <c r="E772" s="2" t="s">
        <v>3702</v>
      </c>
      <c r="F772" s="2" t="s">
        <v>3610</v>
      </c>
      <c r="G772" s="2" t="s">
        <v>3600</v>
      </c>
      <c r="H772" s="5" t="n">
        <v>2</v>
      </c>
      <c r="I772" s="5" t="s">
        <v>51</v>
      </c>
      <c r="J772" s="5" t="s">
        <v>36</v>
      </c>
      <c r="K772" s="5" t="s">
        <v>170</v>
      </c>
      <c r="L772" s="5" t="n">
        <v>800</v>
      </c>
      <c r="M772" s="5" t="n">
        <v>1600</v>
      </c>
      <c r="N772" s="6" t="n">
        <f aca="false">L772*0.6*H772</f>
        <v>960</v>
      </c>
      <c r="O772" s="6" t="n">
        <f aca="false">M772-N772</f>
        <v>640</v>
      </c>
      <c r="P772" s="7" t="n">
        <f aca="false">IF(M772=0,0,O772/M772)</f>
        <v>0.4</v>
      </c>
    </row>
    <row r="773" customFormat="false" ht="15" hidden="false" customHeight="false" outlineLevel="0" collapsed="false">
      <c r="A773" s="3" t="n">
        <v>2004</v>
      </c>
      <c r="B773" s="3" t="s">
        <v>2655</v>
      </c>
      <c r="C773" s="3" t="s">
        <v>1702</v>
      </c>
      <c r="D773" s="3" t="s">
        <v>16</v>
      </c>
      <c r="E773" s="3" t="s">
        <v>3789</v>
      </c>
      <c r="F773" s="3" t="s">
        <v>3599</v>
      </c>
      <c r="G773" s="3" t="s">
        <v>3600</v>
      </c>
      <c r="H773" s="8" t="n">
        <v>1</v>
      </c>
      <c r="I773" s="8" t="s">
        <v>51</v>
      </c>
      <c r="J773" s="8" t="s">
        <v>36</v>
      </c>
      <c r="K773" s="8" t="s">
        <v>170</v>
      </c>
      <c r="L773" s="8" t="n">
        <v>250</v>
      </c>
      <c r="M773" s="8" t="n">
        <v>250</v>
      </c>
      <c r="N773" s="6" t="n">
        <f aca="false">L773*0.6*H773</f>
        <v>150</v>
      </c>
      <c r="O773" s="6" t="n">
        <f aca="false">M773-N773</f>
        <v>100</v>
      </c>
      <c r="P773" s="7" t="n">
        <f aca="false">IF(M773=0,0,O773/M773)</f>
        <v>0.4</v>
      </c>
    </row>
    <row r="774" customFormat="false" ht="15" hidden="false" customHeight="false" outlineLevel="0" collapsed="false">
      <c r="A774" s="2" t="n">
        <v>2005</v>
      </c>
      <c r="B774" s="2" t="s">
        <v>2916</v>
      </c>
      <c r="C774" s="2" t="s">
        <v>832</v>
      </c>
      <c r="D774" s="2" t="s">
        <v>147</v>
      </c>
      <c r="E774" s="2" t="s">
        <v>3927</v>
      </c>
      <c r="F774" s="2" t="s">
        <v>3608</v>
      </c>
      <c r="G774" s="2" t="s">
        <v>3604</v>
      </c>
      <c r="H774" s="5" t="n">
        <v>2</v>
      </c>
      <c r="I774" s="5" t="s">
        <v>18</v>
      </c>
      <c r="J774" s="5" t="s">
        <v>59</v>
      </c>
      <c r="K774" s="5" t="s">
        <v>61</v>
      </c>
      <c r="L774" s="5" t="n">
        <v>600</v>
      </c>
      <c r="M774" s="5" t="n">
        <v>1200</v>
      </c>
      <c r="N774" s="6" t="n">
        <f aca="false">L774*0.6*H774</f>
        <v>720</v>
      </c>
      <c r="O774" s="6" t="n">
        <f aca="false">M774-N774</f>
        <v>480</v>
      </c>
      <c r="P774" s="7" t="n">
        <f aca="false">IF(M774=0,0,O774/M774)</f>
        <v>0.4</v>
      </c>
    </row>
    <row r="775" customFormat="false" ht="15" hidden="false" customHeight="false" outlineLevel="0" collapsed="false">
      <c r="A775" s="3" t="n">
        <v>2006</v>
      </c>
      <c r="B775" s="3" t="s">
        <v>439</v>
      </c>
      <c r="C775" s="3" t="s">
        <v>2262</v>
      </c>
      <c r="D775" s="3" t="s">
        <v>49</v>
      </c>
      <c r="E775" s="3" t="s">
        <v>3605</v>
      </c>
      <c r="F775" s="3" t="s">
        <v>3606</v>
      </c>
      <c r="G775" s="3" t="s">
        <v>3600</v>
      </c>
      <c r="H775" s="8" t="n">
        <v>1</v>
      </c>
      <c r="I775" s="8" t="s">
        <v>51</v>
      </c>
      <c r="J775" s="8" t="s">
        <v>36</v>
      </c>
      <c r="K775" s="8" t="s">
        <v>170</v>
      </c>
      <c r="L775" s="8" t="n">
        <v>250</v>
      </c>
      <c r="M775" s="8" t="n">
        <v>250</v>
      </c>
      <c r="N775" s="6" t="n">
        <f aca="false">L775*0.6*H775</f>
        <v>150</v>
      </c>
      <c r="O775" s="6" t="n">
        <f aca="false">M775-N775</f>
        <v>100</v>
      </c>
      <c r="P775" s="7" t="n">
        <f aca="false">IF(M775=0,0,O775/M775)</f>
        <v>0.4</v>
      </c>
    </row>
    <row r="776" customFormat="false" ht="15" hidden="false" customHeight="false" outlineLevel="0" collapsed="false">
      <c r="A776" s="2" t="n">
        <v>2007</v>
      </c>
      <c r="B776" s="2" t="s">
        <v>2482</v>
      </c>
      <c r="C776" s="2" t="s">
        <v>954</v>
      </c>
      <c r="D776" s="2" t="s">
        <v>49</v>
      </c>
      <c r="E776" s="2" t="s">
        <v>3678</v>
      </c>
      <c r="F776" s="2" t="s">
        <v>3603</v>
      </c>
      <c r="G776" s="2" t="s">
        <v>3604</v>
      </c>
      <c r="H776" s="5" t="n">
        <v>3</v>
      </c>
      <c r="I776" s="5" t="s">
        <v>51</v>
      </c>
      <c r="J776" s="5" t="s">
        <v>36</v>
      </c>
      <c r="K776" s="5" t="s">
        <v>38</v>
      </c>
      <c r="L776" s="5" t="n">
        <v>250</v>
      </c>
      <c r="M776" s="5" t="n">
        <v>750</v>
      </c>
      <c r="N776" s="6" t="n">
        <f aca="false">L776*0.6*H776</f>
        <v>450</v>
      </c>
      <c r="O776" s="6" t="n">
        <f aca="false">M776-N776</f>
        <v>300</v>
      </c>
      <c r="P776" s="7" t="n">
        <f aca="false">IF(M776=0,0,O776/M776)</f>
        <v>0.4</v>
      </c>
    </row>
    <row r="777" customFormat="false" ht="15" hidden="false" customHeight="false" outlineLevel="0" collapsed="false">
      <c r="A777" s="3" t="n">
        <v>2008</v>
      </c>
      <c r="B777" s="3" t="s">
        <v>76</v>
      </c>
      <c r="C777" s="3" t="s">
        <v>1422</v>
      </c>
      <c r="D777" s="3" t="s">
        <v>25</v>
      </c>
      <c r="E777" s="3" t="s">
        <v>3878</v>
      </c>
      <c r="F777" s="3" t="s">
        <v>3599</v>
      </c>
      <c r="G777" s="3" t="s">
        <v>3600</v>
      </c>
      <c r="H777" s="8" t="n">
        <v>1</v>
      </c>
      <c r="I777" s="8" t="s">
        <v>51</v>
      </c>
      <c r="J777" s="8" t="s">
        <v>19</v>
      </c>
      <c r="K777" s="8" t="s">
        <v>21</v>
      </c>
      <c r="L777" s="8" t="n">
        <v>800</v>
      </c>
      <c r="M777" s="8" t="n">
        <v>800</v>
      </c>
      <c r="N777" s="6" t="n">
        <f aca="false">L777*0.6*H777</f>
        <v>480</v>
      </c>
      <c r="O777" s="6" t="n">
        <f aca="false">M777-N777</f>
        <v>320</v>
      </c>
      <c r="P777" s="7" t="n">
        <f aca="false">IF(M777=0,0,O777/M777)</f>
        <v>0.4</v>
      </c>
    </row>
    <row r="778" customFormat="false" ht="15" hidden="false" customHeight="false" outlineLevel="0" collapsed="false">
      <c r="A778" s="2" t="n">
        <v>2009</v>
      </c>
      <c r="B778" s="2" t="s">
        <v>157</v>
      </c>
      <c r="C778" s="2" t="s">
        <v>15</v>
      </c>
      <c r="D778" s="2" t="s">
        <v>147</v>
      </c>
      <c r="E778" s="2" t="s">
        <v>3928</v>
      </c>
      <c r="F778" s="2" t="s">
        <v>3613</v>
      </c>
      <c r="G778" s="2" t="s">
        <v>3604</v>
      </c>
      <c r="H778" s="5" t="n">
        <v>3</v>
      </c>
      <c r="I778" s="5" t="s">
        <v>27</v>
      </c>
      <c r="J778" s="5" t="s">
        <v>59</v>
      </c>
      <c r="K778" s="5" t="s">
        <v>61</v>
      </c>
      <c r="L778" s="5" t="n">
        <v>600</v>
      </c>
      <c r="M778" s="5" t="n">
        <v>1800</v>
      </c>
      <c r="N778" s="6" t="n">
        <f aca="false">L778*0.6*H778</f>
        <v>1080</v>
      </c>
      <c r="O778" s="6" t="n">
        <f aca="false">M778-N778</f>
        <v>720</v>
      </c>
      <c r="P778" s="7" t="n">
        <f aca="false">IF(M778=0,0,O778/M778)</f>
        <v>0.4</v>
      </c>
    </row>
    <row r="779" customFormat="false" ht="15" hidden="false" customHeight="false" outlineLevel="0" collapsed="false">
      <c r="A779" s="3" t="n">
        <v>2010</v>
      </c>
      <c r="B779" s="3" t="s">
        <v>2930</v>
      </c>
      <c r="C779" s="3" t="s">
        <v>2929</v>
      </c>
      <c r="D779" s="3" t="s">
        <v>16</v>
      </c>
      <c r="E779" s="3" t="s">
        <v>3876</v>
      </c>
      <c r="F779" s="3" t="s">
        <v>3608</v>
      </c>
      <c r="G779" s="3" t="s">
        <v>3604</v>
      </c>
      <c r="H779" s="8" t="n">
        <v>2</v>
      </c>
      <c r="I779" s="8" t="s">
        <v>51</v>
      </c>
      <c r="J779" s="8" t="s">
        <v>78</v>
      </c>
      <c r="K779" s="8" t="s">
        <v>86</v>
      </c>
      <c r="L779" s="8" t="n">
        <v>250</v>
      </c>
      <c r="M779" s="8" t="n">
        <v>500</v>
      </c>
      <c r="N779" s="6" t="n">
        <f aca="false">L779*0.6*H779</f>
        <v>300</v>
      </c>
      <c r="O779" s="6" t="n">
        <f aca="false">M779-N779</f>
        <v>200</v>
      </c>
      <c r="P779" s="7" t="n">
        <f aca="false">IF(M779=0,0,O779/M779)</f>
        <v>0.4</v>
      </c>
    </row>
    <row r="780" customFormat="false" ht="15" hidden="false" customHeight="false" outlineLevel="0" collapsed="false">
      <c r="A780" s="2" t="n">
        <v>2011</v>
      </c>
      <c r="B780" s="2" t="s">
        <v>2933</v>
      </c>
      <c r="C780" s="2" t="s">
        <v>2703</v>
      </c>
      <c r="D780" s="2" t="s">
        <v>147</v>
      </c>
      <c r="E780" s="2" t="s">
        <v>3884</v>
      </c>
      <c r="F780" s="2" t="s">
        <v>3628</v>
      </c>
      <c r="G780" s="2" t="s">
        <v>3595</v>
      </c>
      <c r="H780" s="5" t="n">
        <v>3</v>
      </c>
      <c r="I780" s="5" t="s">
        <v>18</v>
      </c>
      <c r="J780" s="5" t="s">
        <v>43</v>
      </c>
      <c r="K780" s="5" t="s">
        <v>111</v>
      </c>
      <c r="L780" s="5" t="n">
        <v>600</v>
      </c>
      <c r="M780" s="5" t="n">
        <v>1800</v>
      </c>
      <c r="N780" s="6" t="n">
        <f aca="false">L780*0.6*H780</f>
        <v>1080</v>
      </c>
      <c r="O780" s="6" t="n">
        <f aca="false">M780-N780</f>
        <v>720</v>
      </c>
      <c r="P780" s="7" t="n">
        <f aca="false">IF(M780=0,0,O780/M780)</f>
        <v>0.4</v>
      </c>
    </row>
    <row r="781" customFormat="false" ht="15" hidden="false" customHeight="false" outlineLevel="0" collapsed="false">
      <c r="A781" s="3" t="n">
        <v>2012</v>
      </c>
      <c r="B781" s="3" t="s">
        <v>552</v>
      </c>
      <c r="C781" s="3" t="s">
        <v>2867</v>
      </c>
      <c r="D781" s="3" t="s">
        <v>49</v>
      </c>
      <c r="E781" s="3" t="s">
        <v>3641</v>
      </c>
      <c r="F781" s="3" t="s">
        <v>2379</v>
      </c>
      <c r="G781" s="3" t="s">
        <v>3592</v>
      </c>
      <c r="H781" s="8" t="n">
        <v>1</v>
      </c>
      <c r="I781" s="8" t="s">
        <v>18</v>
      </c>
      <c r="J781" s="8" t="s">
        <v>121</v>
      </c>
      <c r="K781" s="8" t="s">
        <v>123</v>
      </c>
      <c r="L781" s="8" t="n">
        <v>250</v>
      </c>
      <c r="M781" s="8" t="n">
        <v>250</v>
      </c>
      <c r="N781" s="6" t="n">
        <f aca="false">L781*0.6*H781</f>
        <v>150</v>
      </c>
      <c r="O781" s="6" t="n">
        <f aca="false">M781-N781</f>
        <v>100</v>
      </c>
      <c r="P781" s="7" t="n">
        <f aca="false">IF(M781=0,0,O781/M781)</f>
        <v>0.4</v>
      </c>
    </row>
    <row r="782" customFormat="false" ht="15" hidden="false" customHeight="false" outlineLevel="0" collapsed="false">
      <c r="A782" s="2" t="n">
        <v>2013</v>
      </c>
      <c r="B782" s="2" t="s">
        <v>2938</v>
      </c>
      <c r="C782" s="2" t="s">
        <v>1806</v>
      </c>
      <c r="D782" s="2" t="s">
        <v>108</v>
      </c>
      <c r="E782" s="2" t="s">
        <v>3803</v>
      </c>
      <c r="F782" s="2" t="s">
        <v>3606</v>
      </c>
      <c r="G782" s="2" t="s">
        <v>3600</v>
      </c>
      <c r="H782" s="5" t="n">
        <v>1</v>
      </c>
      <c r="I782" s="5" t="s">
        <v>18</v>
      </c>
      <c r="J782" s="5" t="s">
        <v>43</v>
      </c>
      <c r="K782" s="5" t="s">
        <v>67</v>
      </c>
      <c r="L782" s="5" t="n">
        <v>1200</v>
      </c>
      <c r="M782" s="5" t="n">
        <v>1200</v>
      </c>
      <c r="N782" s="6" t="n">
        <f aca="false">L782*0.6*H782</f>
        <v>720</v>
      </c>
      <c r="O782" s="6" t="n">
        <f aca="false">M782-N782</f>
        <v>480</v>
      </c>
      <c r="P782" s="7" t="n">
        <f aca="false">IF(M782=0,0,O782/M782)</f>
        <v>0.4</v>
      </c>
    </row>
    <row r="783" customFormat="false" ht="15" hidden="false" customHeight="false" outlineLevel="0" collapsed="false">
      <c r="A783" s="3" t="n">
        <v>2014</v>
      </c>
      <c r="B783" s="3" t="s">
        <v>1848</v>
      </c>
      <c r="C783" s="3" t="s">
        <v>2941</v>
      </c>
      <c r="D783" s="3" t="s">
        <v>147</v>
      </c>
      <c r="E783" s="3" t="s">
        <v>3783</v>
      </c>
      <c r="F783" s="3" t="s">
        <v>3608</v>
      </c>
      <c r="G783" s="3" t="s">
        <v>3604</v>
      </c>
      <c r="H783" s="8" t="n">
        <v>2</v>
      </c>
      <c r="I783" s="8" t="s">
        <v>18</v>
      </c>
      <c r="J783" s="8" t="s">
        <v>19</v>
      </c>
      <c r="K783" s="8" t="s">
        <v>21</v>
      </c>
      <c r="L783" s="8" t="n">
        <v>600</v>
      </c>
      <c r="M783" s="8" t="n">
        <v>1200</v>
      </c>
      <c r="N783" s="6" t="n">
        <f aca="false">L783*0.6*H783</f>
        <v>720</v>
      </c>
      <c r="O783" s="6" t="n">
        <f aca="false">M783-N783</f>
        <v>480</v>
      </c>
      <c r="P783" s="7" t="n">
        <f aca="false">IF(M783=0,0,O783/M783)</f>
        <v>0.4</v>
      </c>
    </row>
    <row r="784" customFormat="false" ht="15" hidden="false" customHeight="false" outlineLevel="0" collapsed="false">
      <c r="A784" s="2" t="n">
        <v>2015</v>
      </c>
      <c r="B784" s="2" t="s">
        <v>235</v>
      </c>
      <c r="C784" s="2" t="s">
        <v>2944</v>
      </c>
      <c r="D784" s="2" t="s">
        <v>34</v>
      </c>
      <c r="E784" s="2" t="s">
        <v>3824</v>
      </c>
      <c r="F784" s="2" t="s">
        <v>2379</v>
      </c>
      <c r="G784" s="2" t="s">
        <v>3592</v>
      </c>
      <c r="H784" s="5" t="n">
        <v>3</v>
      </c>
      <c r="I784" s="5" t="s">
        <v>18</v>
      </c>
      <c r="J784" s="5" t="s">
        <v>43</v>
      </c>
      <c r="K784" s="5" t="s">
        <v>111</v>
      </c>
      <c r="L784" s="5" t="n">
        <v>300</v>
      </c>
      <c r="M784" s="5" t="n">
        <v>900</v>
      </c>
      <c r="N784" s="6" t="n">
        <f aca="false">L784*0.6*H784</f>
        <v>540</v>
      </c>
      <c r="O784" s="6" t="n">
        <f aca="false">M784-N784</f>
        <v>360</v>
      </c>
      <c r="P784" s="7" t="n">
        <f aca="false">IF(M784=0,0,O784/M784)</f>
        <v>0.4</v>
      </c>
    </row>
    <row r="785" customFormat="false" ht="15" hidden="false" customHeight="false" outlineLevel="0" collapsed="false">
      <c r="A785" s="3" t="n">
        <v>2016</v>
      </c>
      <c r="B785" s="3" t="s">
        <v>2948</v>
      </c>
      <c r="C785" s="3" t="s">
        <v>2947</v>
      </c>
      <c r="D785" s="3" t="s">
        <v>108</v>
      </c>
      <c r="E785" s="3" t="s">
        <v>3929</v>
      </c>
      <c r="F785" s="3" t="s">
        <v>3591</v>
      </c>
      <c r="G785" s="3" t="s">
        <v>3592</v>
      </c>
      <c r="H785" s="8" t="n">
        <v>3</v>
      </c>
      <c r="I785" s="8" t="s">
        <v>18</v>
      </c>
      <c r="J785" s="8" t="s">
        <v>19</v>
      </c>
      <c r="K785" s="8" t="s">
        <v>73</v>
      </c>
      <c r="L785" s="8" t="n">
        <v>1200</v>
      </c>
      <c r="M785" s="8" t="n">
        <v>3600</v>
      </c>
      <c r="N785" s="6" t="n">
        <f aca="false">L785*0.6*H785</f>
        <v>2160</v>
      </c>
      <c r="O785" s="6" t="n">
        <f aca="false">M785-N785</f>
        <v>1440</v>
      </c>
      <c r="P785" s="7" t="n">
        <f aca="false">IF(M785=0,0,O785/M785)</f>
        <v>0.4</v>
      </c>
    </row>
    <row r="786" customFormat="false" ht="15" hidden="false" customHeight="false" outlineLevel="0" collapsed="false">
      <c r="A786" s="2" t="n">
        <v>2017</v>
      </c>
      <c r="B786" s="2" t="s">
        <v>2953</v>
      </c>
      <c r="C786" s="2" t="s">
        <v>2952</v>
      </c>
      <c r="D786" s="2" t="s">
        <v>147</v>
      </c>
      <c r="E786" s="2" t="s">
        <v>3680</v>
      </c>
      <c r="F786" s="2" t="s">
        <v>3610</v>
      </c>
      <c r="G786" s="2" t="s">
        <v>3600</v>
      </c>
      <c r="H786" s="5" t="n">
        <v>2</v>
      </c>
      <c r="I786" s="5" t="s">
        <v>18</v>
      </c>
      <c r="J786" s="5" t="s">
        <v>43</v>
      </c>
      <c r="K786" s="5" t="s">
        <v>111</v>
      </c>
      <c r="L786" s="5" t="n">
        <v>600</v>
      </c>
      <c r="M786" s="5" t="n">
        <v>1200</v>
      </c>
      <c r="N786" s="6" t="n">
        <f aca="false">L786*0.6*H786</f>
        <v>720</v>
      </c>
      <c r="O786" s="6" t="n">
        <f aca="false">M786-N786</f>
        <v>480</v>
      </c>
      <c r="P786" s="7" t="n">
        <f aca="false">IF(M786=0,0,O786/M786)</f>
        <v>0.4</v>
      </c>
    </row>
    <row r="787" customFormat="false" ht="15" hidden="false" customHeight="false" outlineLevel="0" collapsed="false">
      <c r="A787" s="3" t="n">
        <v>2018</v>
      </c>
      <c r="B787" s="3" t="s">
        <v>2948</v>
      </c>
      <c r="C787" s="3" t="s">
        <v>1410</v>
      </c>
      <c r="D787" s="3" t="s">
        <v>49</v>
      </c>
      <c r="E787" s="3" t="s">
        <v>3910</v>
      </c>
      <c r="F787" s="3" t="s">
        <v>2379</v>
      </c>
      <c r="G787" s="3" t="s">
        <v>3592</v>
      </c>
      <c r="H787" s="8" t="n">
        <v>2</v>
      </c>
      <c r="I787" s="8" t="s">
        <v>18</v>
      </c>
      <c r="J787" s="8" t="s">
        <v>52</v>
      </c>
      <c r="K787" s="8" t="s">
        <v>54</v>
      </c>
      <c r="L787" s="8" t="n">
        <v>250</v>
      </c>
      <c r="M787" s="8" t="n">
        <v>500</v>
      </c>
      <c r="N787" s="6" t="n">
        <f aca="false">L787*0.6*H787</f>
        <v>300</v>
      </c>
      <c r="O787" s="6" t="n">
        <f aca="false">M787-N787</f>
        <v>200</v>
      </c>
      <c r="P787" s="7" t="n">
        <f aca="false">IF(M787=0,0,O787/M787)</f>
        <v>0.4</v>
      </c>
    </row>
    <row r="788" customFormat="false" ht="15" hidden="false" customHeight="false" outlineLevel="0" collapsed="false">
      <c r="A788" s="2" t="n">
        <v>2019</v>
      </c>
      <c r="B788" s="2" t="s">
        <v>2392</v>
      </c>
      <c r="C788" s="2" t="s">
        <v>1440</v>
      </c>
      <c r="D788" s="2" t="s">
        <v>108</v>
      </c>
      <c r="E788" s="2" t="s">
        <v>3885</v>
      </c>
      <c r="F788" s="2" t="s">
        <v>3628</v>
      </c>
      <c r="G788" s="2" t="s">
        <v>3595</v>
      </c>
      <c r="H788" s="5" t="n">
        <v>2</v>
      </c>
      <c r="I788" s="5" t="s">
        <v>18</v>
      </c>
      <c r="J788" s="5" t="s">
        <v>36</v>
      </c>
      <c r="K788" s="5" t="s">
        <v>38</v>
      </c>
      <c r="L788" s="5" t="n">
        <v>1200</v>
      </c>
      <c r="M788" s="5" t="n">
        <v>2400</v>
      </c>
      <c r="N788" s="6" t="n">
        <f aca="false">L788*0.6*H788</f>
        <v>1440</v>
      </c>
      <c r="O788" s="6" t="n">
        <f aca="false">M788-N788</f>
        <v>960</v>
      </c>
      <c r="P788" s="7" t="n">
        <f aca="false">IF(M788=0,0,O788/M788)</f>
        <v>0.4</v>
      </c>
    </row>
    <row r="789" customFormat="false" ht="15" hidden="false" customHeight="false" outlineLevel="0" collapsed="false">
      <c r="A789" s="3" t="n">
        <v>2020</v>
      </c>
      <c r="B789" s="3" t="s">
        <v>2245</v>
      </c>
      <c r="C789" s="3" t="s">
        <v>1417</v>
      </c>
      <c r="D789" s="3" t="s">
        <v>16</v>
      </c>
      <c r="E789" s="3" t="s">
        <v>3863</v>
      </c>
      <c r="F789" s="3" t="s">
        <v>1756</v>
      </c>
      <c r="G789" s="3" t="s">
        <v>3595</v>
      </c>
      <c r="H789" s="8" t="n">
        <v>1</v>
      </c>
      <c r="I789" s="8" t="s">
        <v>51</v>
      </c>
      <c r="J789" s="8" t="s">
        <v>59</v>
      </c>
      <c r="K789" s="8" t="s">
        <v>61</v>
      </c>
      <c r="L789" s="8" t="n">
        <v>250</v>
      </c>
      <c r="M789" s="8" t="n">
        <v>250</v>
      </c>
      <c r="N789" s="6" t="n">
        <f aca="false">L789*0.6*H789</f>
        <v>150</v>
      </c>
      <c r="O789" s="6" t="n">
        <f aca="false">M789-N789</f>
        <v>100</v>
      </c>
      <c r="P789" s="7" t="n">
        <f aca="false">IF(M789=0,0,O789/M789)</f>
        <v>0.4</v>
      </c>
    </row>
    <row r="790" customFormat="false" ht="15" hidden="false" customHeight="false" outlineLevel="0" collapsed="false">
      <c r="A790" s="2" t="n">
        <v>2021</v>
      </c>
      <c r="B790" s="2" t="s">
        <v>2105</v>
      </c>
      <c r="C790" s="2" t="s">
        <v>2962</v>
      </c>
      <c r="D790" s="2" t="s">
        <v>34</v>
      </c>
      <c r="E790" s="2" t="s">
        <v>3672</v>
      </c>
      <c r="F790" s="2" t="s">
        <v>3606</v>
      </c>
      <c r="G790" s="2" t="s">
        <v>3600</v>
      </c>
      <c r="H790" s="5" t="n">
        <v>1</v>
      </c>
      <c r="I790" s="5" t="s">
        <v>27</v>
      </c>
      <c r="J790" s="5" t="s">
        <v>52</v>
      </c>
      <c r="K790" s="5" t="s">
        <v>92</v>
      </c>
      <c r="L790" s="5" t="n">
        <v>300</v>
      </c>
      <c r="M790" s="5" t="n">
        <v>300</v>
      </c>
      <c r="N790" s="6" t="n">
        <f aca="false">L790*0.6*H790</f>
        <v>180</v>
      </c>
      <c r="O790" s="6" t="n">
        <f aca="false">M790-N790</f>
        <v>120</v>
      </c>
      <c r="P790" s="7" t="n">
        <f aca="false">IF(M790=0,0,O790/M790)</f>
        <v>0.4</v>
      </c>
    </row>
    <row r="791" customFormat="false" ht="15" hidden="false" customHeight="false" outlineLevel="0" collapsed="false">
      <c r="A791" s="3" t="n">
        <v>2022</v>
      </c>
      <c r="B791" s="3" t="s">
        <v>525</v>
      </c>
      <c r="C791" s="3" t="s">
        <v>2965</v>
      </c>
      <c r="D791" s="3" t="s">
        <v>25</v>
      </c>
      <c r="E791" s="3" t="s">
        <v>3664</v>
      </c>
      <c r="F791" s="3" t="s">
        <v>3628</v>
      </c>
      <c r="G791" s="3" t="s">
        <v>3595</v>
      </c>
      <c r="H791" s="8" t="n">
        <v>1</v>
      </c>
      <c r="I791" s="8" t="s">
        <v>51</v>
      </c>
      <c r="J791" s="8" t="s">
        <v>28</v>
      </c>
      <c r="K791" s="8" t="s">
        <v>30</v>
      </c>
      <c r="L791" s="8" t="n">
        <v>800</v>
      </c>
      <c r="M791" s="8" t="n">
        <v>800</v>
      </c>
      <c r="N791" s="6" t="n">
        <f aca="false">L791*0.6*H791</f>
        <v>480</v>
      </c>
      <c r="O791" s="6" t="n">
        <f aca="false">M791-N791</f>
        <v>320</v>
      </c>
      <c r="P791" s="7" t="n">
        <f aca="false">IF(M791=0,0,O791/M791)</f>
        <v>0.4</v>
      </c>
    </row>
    <row r="792" customFormat="false" ht="15" hidden="false" customHeight="false" outlineLevel="0" collapsed="false">
      <c r="A792" s="2" t="n">
        <v>2023</v>
      </c>
      <c r="B792" s="2" t="s">
        <v>2969</v>
      </c>
      <c r="C792" s="2" t="s">
        <v>2968</v>
      </c>
      <c r="D792" s="2" t="s">
        <v>147</v>
      </c>
      <c r="E792" s="2" t="s">
        <v>3865</v>
      </c>
      <c r="F792" s="2" t="s">
        <v>1756</v>
      </c>
      <c r="G792" s="2" t="s">
        <v>3595</v>
      </c>
      <c r="H792" s="5" t="n">
        <v>3</v>
      </c>
      <c r="I792" s="5" t="s">
        <v>51</v>
      </c>
      <c r="J792" s="5" t="s">
        <v>78</v>
      </c>
      <c r="K792" s="5" t="s">
        <v>80</v>
      </c>
      <c r="L792" s="5" t="n">
        <v>600</v>
      </c>
      <c r="M792" s="5" t="n">
        <v>1800</v>
      </c>
      <c r="N792" s="6" t="n">
        <f aca="false">L792*0.6*H792</f>
        <v>1080</v>
      </c>
      <c r="O792" s="6" t="n">
        <f aca="false">M792-N792</f>
        <v>720</v>
      </c>
      <c r="P792" s="7" t="n">
        <f aca="false">IF(M792=0,0,O792/M792)</f>
        <v>0.4</v>
      </c>
    </row>
    <row r="793" customFormat="false" ht="15" hidden="false" customHeight="false" outlineLevel="0" collapsed="false">
      <c r="A793" s="3" t="n">
        <v>2024</v>
      </c>
      <c r="B793" s="3" t="s">
        <v>2224</v>
      </c>
      <c r="C793" s="3" t="s">
        <v>2439</v>
      </c>
      <c r="D793" s="3" t="s">
        <v>108</v>
      </c>
      <c r="E793" s="3" t="s">
        <v>3671</v>
      </c>
      <c r="F793" s="3" t="s">
        <v>3594</v>
      </c>
      <c r="G793" s="3" t="s">
        <v>3595</v>
      </c>
      <c r="H793" s="8" t="n">
        <v>1</v>
      </c>
      <c r="I793" s="8" t="s">
        <v>97</v>
      </c>
      <c r="J793" s="8" t="s">
        <v>78</v>
      </c>
      <c r="K793" s="8" t="s">
        <v>80</v>
      </c>
      <c r="L793" s="8" t="n">
        <v>1200</v>
      </c>
      <c r="M793" s="8" t="n">
        <v>1200</v>
      </c>
      <c r="N793" s="6" t="n">
        <f aca="false">L793*0.6*H793</f>
        <v>720</v>
      </c>
      <c r="O793" s="6" t="n">
        <f aca="false">M793-N793</f>
        <v>480</v>
      </c>
      <c r="P793" s="7" t="n">
        <f aca="false">IF(M793=0,0,O793/M793)</f>
        <v>0.4</v>
      </c>
    </row>
    <row r="794" customFormat="false" ht="15" hidden="false" customHeight="false" outlineLevel="0" collapsed="false">
      <c r="A794" s="2" t="n">
        <v>2025</v>
      </c>
      <c r="B794" s="2" t="s">
        <v>1514</v>
      </c>
      <c r="C794" s="2" t="s">
        <v>2974</v>
      </c>
      <c r="D794" s="2" t="s">
        <v>108</v>
      </c>
      <c r="E794" s="2" t="s">
        <v>3661</v>
      </c>
      <c r="F794" s="2" t="s">
        <v>3599</v>
      </c>
      <c r="G794" s="2" t="s">
        <v>3600</v>
      </c>
      <c r="H794" s="5" t="n">
        <v>3</v>
      </c>
      <c r="I794" s="5" t="s">
        <v>18</v>
      </c>
      <c r="J794" s="5" t="s">
        <v>43</v>
      </c>
      <c r="K794" s="5" t="s">
        <v>45</v>
      </c>
      <c r="L794" s="5" t="n">
        <v>1200</v>
      </c>
      <c r="M794" s="5" t="n">
        <v>3600</v>
      </c>
      <c r="N794" s="6" t="n">
        <f aca="false">L794*0.6*H794</f>
        <v>2160</v>
      </c>
      <c r="O794" s="6" t="n">
        <f aca="false">M794-N794</f>
        <v>1440</v>
      </c>
      <c r="P794" s="7" t="n">
        <f aca="false">IF(M794=0,0,O794/M794)</f>
        <v>0.4</v>
      </c>
    </row>
    <row r="795" customFormat="false" ht="15" hidden="false" customHeight="false" outlineLevel="0" collapsed="false">
      <c r="A795" s="3" t="n">
        <v>2026</v>
      </c>
      <c r="B795" s="3" t="s">
        <v>2311</v>
      </c>
      <c r="C795" s="3" t="s">
        <v>1748</v>
      </c>
      <c r="D795" s="3" t="s">
        <v>147</v>
      </c>
      <c r="E795" s="3" t="s">
        <v>3898</v>
      </c>
      <c r="F795" s="3" t="s">
        <v>3594</v>
      </c>
      <c r="G795" s="3" t="s">
        <v>3595</v>
      </c>
      <c r="H795" s="8" t="n">
        <v>3</v>
      </c>
      <c r="I795" s="8" t="s">
        <v>18</v>
      </c>
      <c r="J795" s="8" t="s">
        <v>52</v>
      </c>
      <c r="K795" s="8" t="s">
        <v>92</v>
      </c>
      <c r="L795" s="8" t="n">
        <v>600</v>
      </c>
      <c r="M795" s="8" t="n">
        <v>1800</v>
      </c>
      <c r="N795" s="6" t="n">
        <f aca="false">L795*0.6*H795</f>
        <v>1080</v>
      </c>
      <c r="O795" s="6" t="n">
        <f aca="false">M795-N795</f>
        <v>720</v>
      </c>
      <c r="P795" s="7" t="n">
        <f aca="false">IF(M795=0,0,O795/M795)</f>
        <v>0.4</v>
      </c>
    </row>
    <row r="796" customFormat="false" ht="15" hidden="false" customHeight="false" outlineLevel="0" collapsed="false">
      <c r="A796" s="2" t="n">
        <v>2027</v>
      </c>
      <c r="B796" s="2" t="s">
        <v>2980</v>
      </c>
      <c r="C796" s="2" t="s">
        <v>2979</v>
      </c>
      <c r="D796" s="2" t="s">
        <v>108</v>
      </c>
      <c r="E796" s="2" t="s">
        <v>3930</v>
      </c>
      <c r="F796" s="2" t="s">
        <v>3599</v>
      </c>
      <c r="G796" s="2" t="s">
        <v>3600</v>
      </c>
      <c r="H796" s="5" t="n">
        <v>3</v>
      </c>
      <c r="I796" s="5" t="s">
        <v>18</v>
      </c>
      <c r="J796" s="5" t="s">
        <v>121</v>
      </c>
      <c r="K796" s="5" t="s">
        <v>317</v>
      </c>
      <c r="L796" s="5" t="n">
        <v>1200</v>
      </c>
      <c r="M796" s="5" t="n">
        <v>3600</v>
      </c>
      <c r="N796" s="6" t="n">
        <f aca="false">L796*0.6*H796</f>
        <v>2160</v>
      </c>
      <c r="O796" s="6" t="n">
        <f aca="false">M796-N796</f>
        <v>1440</v>
      </c>
      <c r="P796" s="7" t="n">
        <f aca="false">IF(M796=0,0,O796/M796)</f>
        <v>0.4</v>
      </c>
    </row>
    <row r="797" customFormat="false" ht="15" hidden="false" customHeight="false" outlineLevel="0" collapsed="false">
      <c r="A797" s="3" t="n">
        <v>2028</v>
      </c>
      <c r="B797" s="3" t="s">
        <v>1860</v>
      </c>
      <c r="C797" s="3" t="s">
        <v>2984</v>
      </c>
      <c r="D797" s="3" t="s">
        <v>16</v>
      </c>
      <c r="E797" s="3" t="s">
        <v>3844</v>
      </c>
      <c r="F797" s="3" t="s">
        <v>3603</v>
      </c>
      <c r="G797" s="3" t="s">
        <v>3604</v>
      </c>
      <c r="H797" s="8" t="n">
        <v>3</v>
      </c>
      <c r="I797" s="8" t="s">
        <v>18</v>
      </c>
      <c r="J797" s="8" t="s">
        <v>121</v>
      </c>
      <c r="K797" s="8" t="s">
        <v>317</v>
      </c>
      <c r="L797" s="8" t="n">
        <v>250</v>
      </c>
      <c r="M797" s="8" t="n">
        <v>750</v>
      </c>
      <c r="N797" s="6" t="n">
        <f aca="false">L797*0.6*H797</f>
        <v>450</v>
      </c>
      <c r="O797" s="6" t="n">
        <f aca="false">M797-N797</f>
        <v>300</v>
      </c>
      <c r="P797" s="7" t="n">
        <f aca="false">IF(M797=0,0,O797/M797)</f>
        <v>0.4</v>
      </c>
    </row>
    <row r="798" customFormat="false" ht="15" hidden="false" customHeight="false" outlineLevel="0" collapsed="false">
      <c r="A798" s="2" t="n">
        <v>2029</v>
      </c>
      <c r="B798" s="2" t="s">
        <v>2988</v>
      </c>
      <c r="C798" s="2" t="s">
        <v>2987</v>
      </c>
      <c r="D798" s="2" t="s">
        <v>16</v>
      </c>
      <c r="E798" s="2" t="s">
        <v>3801</v>
      </c>
      <c r="F798" s="2" t="s">
        <v>3628</v>
      </c>
      <c r="G798" s="2" t="s">
        <v>3595</v>
      </c>
      <c r="H798" s="5" t="n">
        <v>3</v>
      </c>
      <c r="I798" s="5" t="s">
        <v>51</v>
      </c>
      <c r="J798" s="5" t="s">
        <v>19</v>
      </c>
      <c r="K798" s="5" t="s">
        <v>73</v>
      </c>
      <c r="L798" s="5" t="n">
        <v>250</v>
      </c>
      <c r="M798" s="5" t="n">
        <v>750</v>
      </c>
      <c r="N798" s="6" t="n">
        <f aca="false">L798*0.6*H798</f>
        <v>450</v>
      </c>
      <c r="O798" s="6" t="n">
        <f aca="false">M798-N798</f>
        <v>300</v>
      </c>
      <c r="P798" s="7" t="n">
        <f aca="false">IF(M798=0,0,O798/M798)</f>
        <v>0.4</v>
      </c>
    </row>
    <row r="799" customFormat="false" ht="15" hidden="false" customHeight="false" outlineLevel="0" collapsed="false">
      <c r="A799" s="3" t="n">
        <v>2030</v>
      </c>
      <c r="B799" s="3" t="s">
        <v>1885</v>
      </c>
      <c r="C799" s="3" t="s">
        <v>1843</v>
      </c>
      <c r="D799" s="3" t="s">
        <v>108</v>
      </c>
      <c r="E799" s="3" t="s">
        <v>3725</v>
      </c>
      <c r="F799" s="3" t="s">
        <v>3628</v>
      </c>
      <c r="G799" s="3" t="s">
        <v>3595</v>
      </c>
      <c r="H799" s="8" t="n">
        <v>2</v>
      </c>
      <c r="I799" s="8" t="s">
        <v>51</v>
      </c>
      <c r="J799" s="8" t="s">
        <v>43</v>
      </c>
      <c r="K799" s="8" t="s">
        <v>111</v>
      </c>
      <c r="L799" s="8" t="n">
        <v>1200</v>
      </c>
      <c r="M799" s="8" t="n">
        <v>2400</v>
      </c>
      <c r="N799" s="6" t="n">
        <f aca="false">L799*0.6*H799</f>
        <v>1440</v>
      </c>
      <c r="O799" s="6" t="n">
        <f aca="false">M799-N799</f>
        <v>960</v>
      </c>
      <c r="P799" s="7" t="n">
        <f aca="false">IF(M799=0,0,O799/M799)</f>
        <v>0.4</v>
      </c>
    </row>
    <row r="800" customFormat="false" ht="15" hidden="false" customHeight="false" outlineLevel="0" collapsed="false">
      <c r="A800" s="2" t="n">
        <v>2031</v>
      </c>
      <c r="B800" s="2" t="s">
        <v>2993</v>
      </c>
      <c r="C800" s="2" t="s">
        <v>1751</v>
      </c>
      <c r="D800" s="2" t="s">
        <v>16</v>
      </c>
      <c r="E800" s="2" t="s">
        <v>3931</v>
      </c>
      <c r="F800" s="2" t="s">
        <v>3594</v>
      </c>
      <c r="G800" s="2" t="s">
        <v>3595</v>
      </c>
      <c r="H800" s="5" t="n">
        <v>1</v>
      </c>
      <c r="I800" s="5" t="s">
        <v>18</v>
      </c>
      <c r="J800" s="5" t="s">
        <v>43</v>
      </c>
      <c r="K800" s="5" t="s">
        <v>67</v>
      </c>
      <c r="L800" s="5" t="n">
        <v>250</v>
      </c>
      <c r="M800" s="5" t="n">
        <v>250</v>
      </c>
      <c r="N800" s="6" t="n">
        <f aca="false">L800*0.6*H800</f>
        <v>150</v>
      </c>
      <c r="O800" s="6" t="n">
        <f aca="false">M800-N800</f>
        <v>100</v>
      </c>
      <c r="P800" s="7" t="n">
        <f aca="false">IF(M800=0,0,O800/M800)</f>
        <v>0.4</v>
      </c>
    </row>
    <row r="801" customFormat="false" ht="15" hidden="false" customHeight="false" outlineLevel="0" collapsed="false">
      <c r="A801" s="3" t="n">
        <v>2032</v>
      </c>
      <c r="B801" s="3" t="s">
        <v>2680</v>
      </c>
      <c r="C801" s="3" t="s">
        <v>2248</v>
      </c>
      <c r="D801" s="3" t="s">
        <v>34</v>
      </c>
      <c r="E801" s="3" t="s">
        <v>3747</v>
      </c>
      <c r="F801" s="3" t="s">
        <v>3625</v>
      </c>
      <c r="G801" s="3" t="s">
        <v>3592</v>
      </c>
      <c r="H801" s="8" t="n">
        <v>3</v>
      </c>
      <c r="I801" s="8" t="s">
        <v>18</v>
      </c>
      <c r="J801" s="8" t="s">
        <v>28</v>
      </c>
      <c r="K801" s="8" t="s">
        <v>30</v>
      </c>
      <c r="L801" s="8" t="n">
        <v>300</v>
      </c>
      <c r="M801" s="8" t="n">
        <v>900</v>
      </c>
      <c r="N801" s="6" t="n">
        <f aca="false">L801*0.6*H801</f>
        <v>540</v>
      </c>
      <c r="O801" s="6" t="n">
        <f aca="false">M801-N801</f>
        <v>360</v>
      </c>
      <c r="P801" s="7" t="n">
        <f aca="false">IF(M801=0,0,O801/M801)</f>
        <v>0.4</v>
      </c>
    </row>
    <row r="802" customFormat="false" ht="15" hidden="false" customHeight="false" outlineLevel="0" collapsed="false">
      <c r="A802" s="2" t="n">
        <v>2033</v>
      </c>
      <c r="B802" s="2" t="s">
        <v>2253</v>
      </c>
      <c r="C802" s="2" t="s">
        <v>2904</v>
      </c>
      <c r="D802" s="2" t="s">
        <v>34</v>
      </c>
      <c r="E802" s="2" t="s">
        <v>3837</v>
      </c>
      <c r="F802" s="2" t="s">
        <v>3599</v>
      </c>
      <c r="G802" s="2" t="s">
        <v>3600</v>
      </c>
      <c r="H802" s="5" t="n">
        <v>2</v>
      </c>
      <c r="I802" s="5" t="s">
        <v>51</v>
      </c>
      <c r="J802" s="5" t="s">
        <v>43</v>
      </c>
      <c r="K802" s="5" t="s">
        <v>111</v>
      </c>
      <c r="L802" s="5" t="n">
        <v>300</v>
      </c>
      <c r="M802" s="5" t="n">
        <v>600</v>
      </c>
      <c r="N802" s="6" t="n">
        <f aca="false">L802*0.6*H802</f>
        <v>360</v>
      </c>
      <c r="O802" s="6" t="n">
        <f aca="false">M802-N802</f>
        <v>240</v>
      </c>
      <c r="P802" s="7" t="n">
        <f aca="false">IF(M802=0,0,O802/M802)</f>
        <v>0.4</v>
      </c>
    </row>
    <row r="803" customFormat="false" ht="15" hidden="false" customHeight="false" outlineLevel="0" collapsed="false">
      <c r="A803" s="3" t="n">
        <v>2034</v>
      </c>
      <c r="B803" s="3" t="s">
        <v>743</v>
      </c>
      <c r="C803" s="3" t="s">
        <v>2416</v>
      </c>
      <c r="D803" s="3" t="s">
        <v>25</v>
      </c>
      <c r="E803" s="3" t="s">
        <v>3789</v>
      </c>
      <c r="F803" s="3" t="s">
        <v>3599</v>
      </c>
      <c r="G803" s="3" t="s">
        <v>3600</v>
      </c>
      <c r="H803" s="8" t="n">
        <v>2</v>
      </c>
      <c r="I803" s="8" t="s">
        <v>51</v>
      </c>
      <c r="J803" s="8" t="s">
        <v>19</v>
      </c>
      <c r="K803" s="8" t="s">
        <v>176</v>
      </c>
      <c r="L803" s="8" t="n">
        <v>800</v>
      </c>
      <c r="M803" s="8" t="n">
        <v>1600</v>
      </c>
      <c r="N803" s="6" t="n">
        <f aca="false">L803*0.6*H803</f>
        <v>960</v>
      </c>
      <c r="O803" s="6" t="n">
        <f aca="false">M803-N803</f>
        <v>640</v>
      </c>
      <c r="P803" s="7" t="n">
        <f aca="false">IF(M803=0,0,O803/M803)</f>
        <v>0.4</v>
      </c>
    </row>
    <row r="804" customFormat="false" ht="15" hidden="false" customHeight="false" outlineLevel="0" collapsed="false">
      <c r="A804" s="2" t="n">
        <v>2035</v>
      </c>
      <c r="B804" s="2" t="s">
        <v>2253</v>
      </c>
      <c r="C804" s="2" t="s">
        <v>1584</v>
      </c>
      <c r="D804" s="2" t="s">
        <v>108</v>
      </c>
      <c r="E804" s="2" t="s">
        <v>3736</v>
      </c>
      <c r="F804" s="2" t="s">
        <v>3599</v>
      </c>
      <c r="G804" s="2" t="s">
        <v>3600</v>
      </c>
      <c r="H804" s="5" t="n">
        <v>2</v>
      </c>
      <c r="I804" s="5" t="s">
        <v>18</v>
      </c>
      <c r="J804" s="5" t="s">
        <v>19</v>
      </c>
      <c r="K804" s="5" t="s">
        <v>73</v>
      </c>
      <c r="L804" s="5" t="n">
        <v>1200</v>
      </c>
      <c r="M804" s="5" t="n">
        <v>2400</v>
      </c>
      <c r="N804" s="6" t="n">
        <f aca="false">L804*0.6*H804</f>
        <v>1440</v>
      </c>
      <c r="O804" s="6" t="n">
        <f aca="false">M804-N804</f>
        <v>960</v>
      </c>
      <c r="P804" s="7" t="n">
        <f aca="false">IF(M804=0,0,O804/M804)</f>
        <v>0.4</v>
      </c>
    </row>
    <row r="805" customFormat="false" ht="15" hidden="false" customHeight="false" outlineLevel="0" collapsed="false">
      <c r="A805" s="3" t="n">
        <v>2036</v>
      </c>
      <c r="B805" s="3" t="s">
        <v>3006</v>
      </c>
      <c r="C805" s="3" t="s">
        <v>3005</v>
      </c>
      <c r="D805" s="3" t="s">
        <v>108</v>
      </c>
      <c r="E805" s="3" t="s">
        <v>3932</v>
      </c>
      <c r="F805" s="3" t="s">
        <v>3594</v>
      </c>
      <c r="G805" s="3" t="s">
        <v>3595</v>
      </c>
      <c r="H805" s="8" t="n">
        <v>1</v>
      </c>
      <c r="I805" s="8" t="s">
        <v>51</v>
      </c>
      <c r="J805" s="8" t="s">
        <v>28</v>
      </c>
      <c r="K805" s="8" t="s">
        <v>30</v>
      </c>
      <c r="L805" s="8" t="n">
        <v>1200</v>
      </c>
      <c r="M805" s="8" t="n">
        <v>1200</v>
      </c>
      <c r="N805" s="6" t="n">
        <f aca="false">L805*0.6*H805</f>
        <v>720</v>
      </c>
      <c r="O805" s="6" t="n">
        <f aca="false">M805-N805</f>
        <v>480</v>
      </c>
      <c r="P805" s="7" t="n">
        <f aca="false">IF(M805=0,0,O805/M805)</f>
        <v>0.4</v>
      </c>
    </row>
    <row r="806" customFormat="false" ht="15" hidden="false" customHeight="false" outlineLevel="0" collapsed="false">
      <c r="A806" s="2" t="n">
        <v>2037</v>
      </c>
      <c r="B806" s="2" t="s">
        <v>3011</v>
      </c>
      <c r="C806" s="2" t="s">
        <v>3010</v>
      </c>
      <c r="D806" s="2" t="s">
        <v>34</v>
      </c>
      <c r="E806" s="2" t="s">
        <v>3663</v>
      </c>
      <c r="F806" s="2" t="s">
        <v>3625</v>
      </c>
      <c r="G806" s="2" t="s">
        <v>3592</v>
      </c>
      <c r="H806" s="5" t="n">
        <v>3</v>
      </c>
      <c r="I806" s="5" t="s">
        <v>51</v>
      </c>
      <c r="J806" s="5" t="s">
        <v>78</v>
      </c>
      <c r="K806" s="5" t="s">
        <v>86</v>
      </c>
      <c r="L806" s="5" t="n">
        <v>300</v>
      </c>
      <c r="M806" s="5" t="n">
        <v>900</v>
      </c>
      <c r="N806" s="6" t="n">
        <f aca="false">L806*0.6*H806</f>
        <v>540</v>
      </c>
      <c r="O806" s="6" t="n">
        <f aca="false">M806-N806</f>
        <v>360</v>
      </c>
      <c r="P806" s="7" t="n">
        <f aca="false">IF(M806=0,0,O806/M806)</f>
        <v>0.4</v>
      </c>
    </row>
    <row r="807" customFormat="false" ht="15" hidden="false" customHeight="false" outlineLevel="0" collapsed="false">
      <c r="A807" s="3" t="n">
        <v>2038</v>
      </c>
      <c r="B807" s="3" t="s">
        <v>2422</v>
      </c>
      <c r="C807" s="3" t="s">
        <v>1780</v>
      </c>
      <c r="D807" s="3" t="s">
        <v>34</v>
      </c>
      <c r="E807" s="3" t="s">
        <v>3863</v>
      </c>
      <c r="F807" s="3" t="s">
        <v>1756</v>
      </c>
      <c r="G807" s="3" t="s">
        <v>3595</v>
      </c>
      <c r="H807" s="8" t="n">
        <v>3</v>
      </c>
      <c r="I807" s="8" t="s">
        <v>18</v>
      </c>
      <c r="J807" s="8" t="s">
        <v>121</v>
      </c>
      <c r="K807" s="8" t="s">
        <v>317</v>
      </c>
      <c r="L807" s="8" t="n">
        <v>300</v>
      </c>
      <c r="M807" s="8" t="n">
        <v>900</v>
      </c>
      <c r="N807" s="6" t="n">
        <f aca="false">L807*0.6*H807</f>
        <v>540</v>
      </c>
      <c r="O807" s="6" t="n">
        <f aca="false">M807-N807</f>
        <v>360</v>
      </c>
      <c r="P807" s="7" t="n">
        <f aca="false">IF(M807=0,0,O807/M807)</f>
        <v>0.4</v>
      </c>
    </row>
    <row r="808" customFormat="false" ht="15" hidden="false" customHeight="false" outlineLevel="0" collapsed="false">
      <c r="A808" s="2" t="n">
        <v>2039</v>
      </c>
      <c r="B808" s="2" t="s">
        <v>1104</v>
      </c>
      <c r="C808" s="2" t="s">
        <v>2789</v>
      </c>
      <c r="D808" s="2" t="s">
        <v>147</v>
      </c>
      <c r="E808" s="2" t="s">
        <v>3637</v>
      </c>
      <c r="F808" s="2" t="s">
        <v>1756</v>
      </c>
      <c r="G808" s="2" t="s">
        <v>3595</v>
      </c>
      <c r="H808" s="5" t="n">
        <v>3</v>
      </c>
      <c r="I808" s="5" t="s">
        <v>51</v>
      </c>
      <c r="J808" s="5" t="s">
        <v>52</v>
      </c>
      <c r="K808" s="5" t="s">
        <v>54</v>
      </c>
      <c r="L808" s="5" t="n">
        <v>600</v>
      </c>
      <c r="M808" s="5" t="n">
        <v>1800</v>
      </c>
      <c r="N808" s="6" t="n">
        <f aca="false">L808*0.6*H808</f>
        <v>1080</v>
      </c>
      <c r="O808" s="6" t="n">
        <f aca="false">M808-N808</f>
        <v>720</v>
      </c>
      <c r="P808" s="7" t="n">
        <f aca="false">IF(M808=0,0,O808/M808)</f>
        <v>0.4</v>
      </c>
    </row>
    <row r="809" customFormat="false" ht="15" hidden="false" customHeight="false" outlineLevel="0" collapsed="false">
      <c r="A809" s="3" t="n">
        <v>2040</v>
      </c>
      <c r="B809" s="3" t="s">
        <v>652</v>
      </c>
      <c r="C809" s="3" t="s">
        <v>3018</v>
      </c>
      <c r="D809" s="3" t="s">
        <v>49</v>
      </c>
      <c r="E809" s="3" t="s">
        <v>3633</v>
      </c>
      <c r="F809" s="3" t="s">
        <v>3603</v>
      </c>
      <c r="G809" s="3" t="s">
        <v>3604</v>
      </c>
      <c r="H809" s="8" t="n">
        <v>2</v>
      </c>
      <c r="I809" s="8" t="s">
        <v>97</v>
      </c>
      <c r="J809" s="8" t="s">
        <v>36</v>
      </c>
      <c r="K809" s="8" t="s">
        <v>192</v>
      </c>
      <c r="L809" s="8" t="n">
        <v>250</v>
      </c>
      <c r="M809" s="8" t="n">
        <v>500</v>
      </c>
      <c r="N809" s="6" t="n">
        <f aca="false">L809*0.6*H809</f>
        <v>300</v>
      </c>
      <c r="O809" s="6" t="n">
        <f aca="false">M809-N809</f>
        <v>200</v>
      </c>
      <c r="P809" s="7" t="n">
        <f aca="false">IF(M809=0,0,O809/M809)</f>
        <v>0.4</v>
      </c>
    </row>
    <row r="810" customFormat="false" ht="15" hidden="false" customHeight="false" outlineLevel="0" collapsed="false">
      <c r="A810" s="2" t="n">
        <v>2041</v>
      </c>
      <c r="B810" s="2" t="s">
        <v>3022</v>
      </c>
      <c r="C810" s="2" t="s">
        <v>3021</v>
      </c>
      <c r="D810" s="2" t="s">
        <v>25</v>
      </c>
      <c r="E810" s="2" t="s">
        <v>3875</v>
      </c>
      <c r="F810" s="2" t="s">
        <v>3613</v>
      </c>
      <c r="G810" s="2" t="s">
        <v>3604</v>
      </c>
      <c r="H810" s="5" t="n">
        <v>1</v>
      </c>
      <c r="I810" s="5" t="s">
        <v>18</v>
      </c>
      <c r="J810" s="5" t="s">
        <v>59</v>
      </c>
      <c r="K810" s="5" t="s">
        <v>61</v>
      </c>
      <c r="L810" s="5" t="n">
        <v>800</v>
      </c>
      <c r="M810" s="5" t="n">
        <v>800</v>
      </c>
      <c r="N810" s="6" t="n">
        <f aca="false">L810*0.6*H810</f>
        <v>480</v>
      </c>
      <c r="O810" s="6" t="n">
        <f aca="false">M810-N810</f>
        <v>320</v>
      </c>
      <c r="P810" s="7" t="n">
        <f aca="false">IF(M810=0,0,O810/M810)</f>
        <v>0.4</v>
      </c>
    </row>
    <row r="811" customFormat="false" ht="15" hidden="false" customHeight="false" outlineLevel="0" collapsed="false">
      <c r="A811" s="3" t="n">
        <v>2042</v>
      </c>
      <c r="B811" s="3" t="s">
        <v>420</v>
      </c>
      <c r="C811" s="3" t="s">
        <v>1832</v>
      </c>
      <c r="D811" s="3" t="s">
        <v>34</v>
      </c>
      <c r="E811" s="3" t="s">
        <v>3933</v>
      </c>
      <c r="F811" s="3" t="s">
        <v>3625</v>
      </c>
      <c r="G811" s="3" t="s">
        <v>3592</v>
      </c>
      <c r="H811" s="8" t="n">
        <v>1</v>
      </c>
      <c r="I811" s="8" t="s">
        <v>18</v>
      </c>
      <c r="J811" s="8" t="s">
        <v>78</v>
      </c>
      <c r="K811" s="8" t="s">
        <v>408</v>
      </c>
      <c r="L811" s="8" t="n">
        <v>300</v>
      </c>
      <c r="M811" s="8" t="n">
        <v>300</v>
      </c>
      <c r="N811" s="6" t="n">
        <f aca="false">L811*0.6*H811</f>
        <v>180</v>
      </c>
      <c r="O811" s="6" t="n">
        <f aca="false">M811-N811</f>
        <v>120</v>
      </c>
      <c r="P811" s="7" t="n">
        <f aca="false">IF(M811=0,0,O811/M811)</f>
        <v>0.4</v>
      </c>
    </row>
    <row r="812" customFormat="false" ht="15" hidden="false" customHeight="false" outlineLevel="0" collapsed="false">
      <c r="A812" s="2" t="n">
        <v>2043</v>
      </c>
      <c r="B812" s="2" t="s">
        <v>3029</v>
      </c>
      <c r="C812" s="2" t="s">
        <v>3028</v>
      </c>
      <c r="D812" s="2" t="s">
        <v>49</v>
      </c>
      <c r="E812" s="2" t="s">
        <v>3737</v>
      </c>
      <c r="F812" s="2" t="s">
        <v>3628</v>
      </c>
      <c r="G812" s="2" t="s">
        <v>3595</v>
      </c>
      <c r="H812" s="5" t="n">
        <v>2</v>
      </c>
      <c r="I812" s="5" t="s">
        <v>27</v>
      </c>
      <c r="J812" s="5" t="s">
        <v>36</v>
      </c>
      <c r="K812" s="5" t="s">
        <v>38</v>
      </c>
      <c r="L812" s="5" t="n">
        <v>250</v>
      </c>
      <c r="M812" s="5" t="n">
        <v>500</v>
      </c>
      <c r="N812" s="6" t="n">
        <f aca="false">L812*0.6*H812</f>
        <v>300</v>
      </c>
      <c r="O812" s="6" t="n">
        <f aca="false">M812-N812</f>
        <v>200</v>
      </c>
      <c r="P812" s="7" t="n">
        <f aca="false">IF(M812=0,0,O812/M812)</f>
        <v>0.4</v>
      </c>
    </row>
    <row r="813" customFormat="false" ht="15" hidden="false" customHeight="false" outlineLevel="0" collapsed="false">
      <c r="A813" s="3" t="n">
        <v>2044</v>
      </c>
      <c r="B813" s="3" t="s">
        <v>3032</v>
      </c>
      <c r="C813" s="3" t="s">
        <v>439</v>
      </c>
      <c r="D813" s="3" t="s">
        <v>16</v>
      </c>
      <c r="E813" s="3" t="s">
        <v>3656</v>
      </c>
      <c r="F813" s="3" t="s">
        <v>3599</v>
      </c>
      <c r="G813" s="3" t="s">
        <v>3600</v>
      </c>
      <c r="H813" s="8" t="n">
        <v>2</v>
      </c>
      <c r="I813" s="8" t="s">
        <v>18</v>
      </c>
      <c r="J813" s="8" t="s">
        <v>43</v>
      </c>
      <c r="K813" s="8" t="s">
        <v>67</v>
      </c>
      <c r="L813" s="8" t="n">
        <v>250</v>
      </c>
      <c r="M813" s="8" t="n">
        <v>500</v>
      </c>
      <c r="N813" s="6" t="n">
        <f aca="false">L813*0.6*H813</f>
        <v>300</v>
      </c>
      <c r="O813" s="6" t="n">
        <f aca="false">M813-N813</f>
        <v>200</v>
      </c>
      <c r="P813" s="7" t="n">
        <f aca="false">IF(M813=0,0,O813/M813)</f>
        <v>0.4</v>
      </c>
    </row>
    <row r="814" customFormat="false" ht="15" hidden="false" customHeight="false" outlineLevel="0" collapsed="false">
      <c r="A814" s="2" t="n">
        <v>2045</v>
      </c>
      <c r="B814" s="2" t="s">
        <v>1327</v>
      </c>
      <c r="C814" s="2" t="s">
        <v>3035</v>
      </c>
      <c r="D814" s="2" t="s">
        <v>25</v>
      </c>
      <c r="E814" s="2" t="s">
        <v>3892</v>
      </c>
      <c r="F814" s="2" t="s">
        <v>3613</v>
      </c>
      <c r="G814" s="2" t="s">
        <v>3604</v>
      </c>
      <c r="H814" s="5" t="n">
        <v>3</v>
      </c>
      <c r="I814" s="5" t="s">
        <v>18</v>
      </c>
      <c r="J814" s="5" t="s">
        <v>36</v>
      </c>
      <c r="K814" s="5" t="s">
        <v>170</v>
      </c>
      <c r="L814" s="5" t="n">
        <v>800</v>
      </c>
      <c r="M814" s="5" t="n">
        <v>2400</v>
      </c>
      <c r="N814" s="6" t="n">
        <f aca="false">L814*0.6*H814</f>
        <v>1440</v>
      </c>
      <c r="O814" s="6" t="n">
        <f aca="false">M814-N814</f>
        <v>960</v>
      </c>
      <c r="P814" s="7" t="n">
        <f aca="false">IF(M814=0,0,O814/M814)</f>
        <v>0.4</v>
      </c>
    </row>
    <row r="815" customFormat="false" ht="15" hidden="false" customHeight="false" outlineLevel="0" collapsed="false">
      <c r="A815" s="3" t="n">
        <v>2046</v>
      </c>
      <c r="B815" s="3" t="s">
        <v>3038</v>
      </c>
      <c r="C815" s="3" t="s">
        <v>2174</v>
      </c>
      <c r="D815" s="3" t="s">
        <v>147</v>
      </c>
      <c r="E815" s="3" t="s">
        <v>3934</v>
      </c>
      <c r="F815" s="3" t="s">
        <v>1756</v>
      </c>
      <c r="G815" s="3" t="s">
        <v>3595</v>
      </c>
      <c r="H815" s="8" t="n">
        <v>1</v>
      </c>
      <c r="I815" s="8" t="s">
        <v>97</v>
      </c>
      <c r="J815" s="8" t="s">
        <v>43</v>
      </c>
      <c r="K815" s="8" t="s">
        <v>111</v>
      </c>
      <c r="L815" s="8" t="n">
        <v>600</v>
      </c>
      <c r="M815" s="8" t="n">
        <v>600</v>
      </c>
      <c r="N815" s="6" t="n">
        <f aca="false">L815*0.6*H815</f>
        <v>360</v>
      </c>
      <c r="O815" s="6" t="n">
        <f aca="false">M815-N815</f>
        <v>240</v>
      </c>
      <c r="P815" s="7" t="n">
        <f aca="false">IF(M815=0,0,O815/M815)</f>
        <v>0.4</v>
      </c>
    </row>
    <row r="816" customFormat="false" ht="15" hidden="false" customHeight="false" outlineLevel="0" collapsed="false">
      <c r="A816" s="2" t="n">
        <v>2047</v>
      </c>
      <c r="B816" s="2" t="s">
        <v>2070</v>
      </c>
      <c r="C816" s="2" t="s">
        <v>3042</v>
      </c>
      <c r="D816" s="2" t="s">
        <v>25</v>
      </c>
      <c r="E816" s="2" t="s">
        <v>3918</v>
      </c>
      <c r="F816" s="2" t="s">
        <v>3603</v>
      </c>
      <c r="G816" s="2" t="s">
        <v>3604</v>
      </c>
      <c r="H816" s="5" t="n">
        <v>1</v>
      </c>
      <c r="I816" s="5" t="s">
        <v>51</v>
      </c>
      <c r="J816" s="5" t="s">
        <v>36</v>
      </c>
      <c r="K816" s="5" t="s">
        <v>38</v>
      </c>
      <c r="L816" s="5" t="n">
        <v>800</v>
      </c>
      <c r="M816" s="5" t="n">
        <v>800</v>
      </c>
      <c r="N816" s="6" t="n">
        <f aca="false">L816*0.6*H816</f>
        <v>480</v>
      </c>
      <c r="O816" s="6" t="n">
        <f aca="false">M816-N816</f>
        <v>320</v>
      </c>
      <c r="P816" s="7" t="n">
        <f aca="false">IF(M816=0,0,O816/M816)</f>
        <v>0.4</v>
      </c>
    </row>
    <row r="817" customFormat="false" ht="15" hidden="false" customHeight="false" outlineLevel="0" collapsed="false">
      <c r="A817" s="3" t="n">
        <v>2048</v>
      </c>
      <c r="B817" s="3" t="s">
        <v>3045</v>
      </c>
      <c r="C817" s="3" t="s">
        <v>69</v>
      </c>
      <c r="D817" s="3" t="s">
        <v>25</v>
      </c>
      <c r="E817" s="3" t="s">
        <v>3818</v>
      </c>
      <c r="F817" s="3" t="s">
        <v>3625</v>
      </c>
      <c r="G817" s="3" t="s">
        <v>3592</v>
      </c>
      <c r="H817" s="8" t="n">
        <v>2</v>
      </c>
      <c r="I817" s="8" t="s">
        <v>97</v>
      </c>
      <c r="J817" s="8" t="s">
        <v>52</v>
      </c>
      <c r="K817" s="8" t="s">
        <v>92</v>
      </c>
      <c r="L817" s="8" t="n">
        <v>800</v>
      </c>
      <c r="M817" s="8" t="n">
        <v>1600</v>
      </c>
      <c r="N817" s="6" t="n">
        <f aca="false">L817*0.6*H817</f>
        <v>960</v>
      </c>
      <c r="O817" s="6" t="n">
        <f aca="false">M817-N817</f>
        <v>640</v>
      </c>
      <c r="P817" s="7" t="n">
        <f aca="false">IF(M817=0,0,O817/M817)</f>
        <v>0.4</v>
      </c>
    </row>
    <row r="818" customFormat="false" ht="15" hidden="false" customHeight="false" outlineLevel="0" collapsed="false">
      <c r="A818" s="2" t="n">
        <v>2049</v>
      </c>
      <c r="B818" s="2" t="s">
        <v>3048</v>
      </c>
      <c r="C818" s="2" t="s">
        <v>781</v>
      </c>
      <c r="D818" s="2" t="s">
        <v>108</v>
      </c>
      <c r="E818" s="2" t="s">
        <v>3650</v>
      </c>
      <c r="F818" s="2" t="s">
        <v>3591</v>
      </c>
      <c r="G818" s="2" t="s">
        <v>3592</v>
      </c>
      <c r="H818" s="5" t="n">
        <v>2</v>
      </c>
      <c r="I818" s="5" t="s">
        <v>51</v>
      </c>
      <c r="J818" s="5" t="s">
        <v>52</v>
      </c>
      <c r="K818" s="5" t="s">
        <v>92</v>
      </c>
      <c r="L818" s="5" t="n">
        <v>1200</v>
      </c>
      <c r="M818" s="5" t="n">
        <v>2400</v>
      </c>
      <c r="N818" s="6" t="n">
        <f aca="false">L818*0.6*H818</f>
        <v>1440</v>
      </c>
      <c r="O818" s="6" t="n">
        <f aca="false">M818-N818</f>
        <v>960</v>
      </c>
      <c r="P818" s="7" t="n">
        <f aca="false">IF(M818=0,0,O818/M818)</f>
        <v>0.4</v>
      </c>
    </row>
    <row r="819" customFormat="false" ht="15" hidden="false" customHeight="false" outlineLevel="0" collapsed="false">
      <c r="A819" s="3" t="n">
        <v>2050</v>
      </c>
      <c r="B819" s="3" t="s">
        <v>3052</v>
      </c>
      <c r="C819" s="3" t="s">
        <v>3051</v>
      </c>
      <c r="D819" s="3" t="s">
        <v>108</v>
      </c>
      <c r="E819" s="3" t="s">
        <v>3667</v>
      </c>
      <c r="F819" s="3" t="s">
        <v>3613</v>
      </c>
      <c r="G819" s="3" t="s">
        <v>3604</v>
      </c>
      <c r="H819" s="8" t="n">
        <v>2</v>
      </c>
      <c r="I819" s="8" t="s">
        <v>27</v>
      </c>
      <c r="J819" s="8" t="s">
        <v>52</v>
      </c>
      <c r="K819" s="8" t="s">
        <v>54</v>
      </c>
      <c r="L819" s="8" t="n">
        <v>1200</v>
      </c>
      <c r="M819" s="8" t="n">
        <v>2400</v>
      </c>
      <c r="N819" s="6" t="n">
        <f aca="false">L819*0.6*H819</f>
        <v>1440</v>
      </c>
      <c r="O819" s="6" t="n">
        <f aca="false">M819-N819</f>
        <v>960</v>
      </c>
      <c r="P819" s="7" t="n">
        <f aca="false">IF(M819=0,0,O819/M819)</f>
        <v>0.4</v>
      </c>
    </row>
    <row r="820" customFormat="false" ht="15" hidden="false" customHeight="false" outlineLevel="0" collapsed="false">
      <c r="A820" s="2" t="n">
        <v>2051</v>
      </c>
      <c r="B820" s="2" t="s">
        <v>2700</v>
      </c>
      <c r="C820" s="2" t="s">
        <v>3055</v>
      </c>
      <c r="D820" s="2" t="s">
        <v>16</v>
      </c>
      <c r="E820" s="2" t="s">
        <v>3639</v>
      </c>
      <c r="F820" s="2" t="s">
        <v>3610</v>
      </c>
      <c r="G820" s="2" t="s">
        <v>3600</v>
      </c>
      <c r="H820" s="5" t="n">
        <v>1</v>
      </c>
      <c r="I820" s="5" t="s">
        <v>18</v>
      </c>
      <c r="J820" s="5" t="s">
        <v>28</v>
      </c>
      <c r="K820" s="5" t="s">
        <v>30</v>
      </c>
      <c r="L820" s="5" t="n">
        <v>250</v>
      </c>
      <c r="M820" s="5" t="n">
        <v>250</v>
      </c>
      <c r="N820" s="6" t="n">
        <f aca="false">L820*0.6*H820</f>
        <v>150</v>
      </c>
      <c r="O820" s="6" t="n">
        <f aca="false">M820-N820</f>
        <v>100</v>
      </c>
      <c r="P820" s="7" t="n">
        <f aca="false">IF(M820=0,0,O820/M820)</f>
        <v>0.4</v>
      </c>
    </row>
    <row r="821" customFormat="false" ht="15" hidden="false" customHeight="false" outlineLevel="0" collapsed="false">
      <c r="A821" s="3" t="n">
        <v>2052</v>
      </c>
      <c r="B821" s="3" t="s">
        <v>3058</v>
      </c>
      <c r="C821" s="3" t="s">
        <v>467</v>
      </c>
      <c r="D821" s="3" t="s">
        <v>49</v>
      </c>
      <c r="E821" s="3" t="s">
        <v>3622</v>
      </c>
      <c r="F821" s="3" t="s">
        <v>3599</v>
      </c>
      <c r="G821" s="3" t="s">
        <v>3600</v>
      </c>
      <c r="H821" s="8" t="n">
        <v>3</v>
      </c>
      <c r="I821" s="8" t="s">
        <v>18</v>
      </c>
      <c r="J821" s="8" t="s">
        <v>59</v>
      </c>
      <c r="K821" s="8" t="s">
        <v>99</v>
      </c>
      <c r="L821" s="8" t="n">
        <v>250</v>
      </c>
      <c r="M821" s="8" t="n">
        <v>750</v>
      </c>
      <c r="N821" s="6" t="n">
        <f aca="false">L821*0.6*H821</f>
        <v>450</v>
      </c>
      <c r="O821" s="6" t="n">
        <f aca="false">M821-N821</f>
        <v>300</v>
      </c>
      <c r="P821" s="7" t="n">
        <f aca="false">IF(M821=0,0,O821/M821)</f>
        <v>0.4</v>
      </c>
    </row>
    <row r="822" customFormat="false" ht="15" hidden="false" customHeight="false" outlineLevel="0" collapsed="false">
      <c r="A822" s="2" t="n">
        <v>2053</v>
      </c>
      <c r="B822" s="2" t="s">
        <v>3062</v>
      </c>
      <c r="C822" s="2" t="s">
        <v>3061</v>
      </c>
      <c r="D822" s="2" t="s">
        <v>25</v>
      </c>
      <c r="E822" s="2" t="s">
        <v>3680</v>
      </c>
      <c r="F822" s="2" t="s">
        <v>3610</v>
      </c>
      <c r="G822" s="2" t="s">
        <v>3600</v>
      </c>
      <c r="H822" s="5" t="n">
        <v>1</v>
      </c>
      <c r="I822" s="5" t="s">
        <v>27</v>
      </c>
      <c r="J822" s="5" t="s">
        <v>52</v>
      </c>
      <c r="K822" s="5" t="s">
        <v>54</v>
      </c>
      <c r="L822" s="5" t="n">
        <v>800</v>
      </c>
      <c r="M822" s="5" t="n">
        <v>800</v>
      </c>
      <c r="N822" s="6" t="n">
        <f aca="false">L822*0.6*H822</f>
        <v>480</v>
      </c>
      <c r="O822" s="6" t="n">
        <f aca="false">M822-N822</f>
        <v>320</v>
      </c>
      <c r="P822" s="7" t="n">
        <f aca="false">IF(M822=0,0,O822/M822)</f>
        <v>0.4</v>
      </c>
    </row>
    <row r="823" customFormat="false" ht="15" hidden="false" customHeight="false" outlineLevel="0" collapsed="false">
      <c r="A823" s="3" t="n">
        <v>2054</v>
      </c>
      <c r="B823" s="3" t="s">
        <v>2135</v>
      </c>
      <c r="C823" s="3" t="s">
        <v>3065</v>
      </c>
      <c r="D823" s="3" t="s">
        <v>49</v>
      </c>
      <c r="E823" s="3" t="s">
        <v>3730</v>
      </c>
      <c r="F823" s="3" t="s">
        <v>3594</v>
      </c>
      <c r="G823" s="3" t="s">
        <v>3595</v>
      </c>
      <c r="H823" s="8" t="n">
        <v>1</v>
      </c>
      <c r="I823" s="8" t="s">
        <v>51</v>
      </c>
      <c r="J823" s="8" t="s">
        <v>78</v>
      </c>
      <c r="K823" s="8" t="s">
        <v>408</v>
      </c>
      <c r="L823" s="8" t="n">
        <v>250</v>
      </c>
      <c r="M823" s="8" t="n">
        <v>250</v>
      </c>
      <c r="N823" s="6" t="n">
        <f aca="false">L823*0.6*H823</f>
        <v>150</v>
      </c>
      <c r="O823" s="6" t="n">
        <f aca="false">M823-N823</f>
        <v>100</v>
      </c>
      <c r="P823" s="7" t="n">
        <f aca="false">IF(M823=0,0,O823/M823)</f>
        <v>0.4</v>
      </c>
    </row>
    <row r="824" customFormat="false" ht="15" hidden="false" customHeight="false" outlineLevel="0" collapsed="false">
      <c r="A824" s="2" t="n">
        <v>2055</v>
      </c>
      <c r="B824" s="2" t="s">
        <v>1714</v>
      </c>
      <c r="C824" s="2" t="s">
        <v>3068</v>
      </c>
      <c r="D824" s="2" t="s">
        <v>34</v>
      </c>
      <c r="E824" s="2" t="s">
        <v>3889</v>
      </c>
      <c r="F824" s="2" t="s">
        <v>2379</v>
      </c>
      <c r="G824" s="2" t="s">
        <v>3592</v>
      </c>
      <c r="H824" s="5" t="n">
        <v>1</v>
      </c>
      <c r="I824" s="5" t="s">
        <v>18</v>
      </c>
      <c r="J824" s="5" t="s">
        <v>43</v>
      </c>
      <c r="K824" s="5" t="s">
        <v>45</v>
      </c>
      <c r="L824" s="5" t="n">
        <v>300</v>
      </c>
      <c r="M824" s="5" t="n">
        <v>300</v>
      </c>
      <c r="N824" s="6" t="n">
        <f aca="false">L824*0.6*H824</f>
        <v>180</v>
      </c>
      <c r="O824" s="6" t="n">
        <f aca="false">M824-N824</f>
        <v>120</v>
      </c>
      <c r="P824" s="7" t="n">
        <f aca="false">IF(M824=0,0,O824/M824)</f>
        <v>0.4</v>
      </c>
    </row>
    <row r="825" customFormat="false" ht="15" hidden="false" customHeight="false" outlineLevel="0" collapsed="false">
      <c r="A825" s="3" t="n">
        <v>2056</v>
      </c>
      <c r="B825" s="3" t="s">
        <v>1585</v>
      </c>
      <c r="C825" s="3" t="s">
        <v>1698</v>
      </c>
      <c r="D825" s="3" t="s">
        <v>49</v>
      </c>
      <c r="E825" s="3" t="s">
        <v>3687</v>
      </c>
      <c r="F825" s="3" t="s">
        <v>3625</v>
      </c>
      <c r="G825" s="3" t="s">
        <v>3592</v>
      </c>
      <c r="H825" s="8" t="n">
        <v>2</v>
      </c>
      <c r="I825" s="8" t="s">
        <v>18</v>
      </c>
      <c r="J825" s="8" t="s">
        <v>78</v>
      </c>
      <c r="K825" s="8" t="s">
        <v>408</v>
      </c>
      <c r="L825" s="8" t="n">
        <v>250</v>
      </c>
      <c r="M825" s="8" t="n">
        <v>500</v>
      </c>
      <c r="N825" s="6" t="n">
        <f aca="false">L825*0.6*H825</f>
        <v>300</v>
      </c>
      <c r="O825" s="6" t="n">
        <f aca="false">M825-N825</f>
        <v>200</v>
      </c>
      <c r="P825" s="7" t="n">
        <f aca="false">IF(M825=0,0,O825/M825)</f>
        <v>0.4</v>
      </c>
    </row>
    <row r="826" customFormat="false" ht="15" hidden="false" customHeight="false" outlineLevel="0" collapsed="false">
      <c r="A826" s="2" t="n">
        <v>2057</v>
      </c>
      <c r="B826" s="2" t="s">
        <v>229</v>
      </c>
      <c r="C826" s="2" t="s">
        <v>1905</v>
      </c>
      <c r="D826" s="2" t="s">
        <v>34</v>
      </c>
      <c r="E826" s="2" t="s">
        <v>3844</v>
      </c>
      <c r="F826" s="2" t="s">
        <v>3603</v>
      </c>
      <c r="G826" s="2" t="s">
        <v>3604</v>
      </c>
      <c r="H826" s="5" t="n">
        <v>2</v>
      </c>
      <c r="I826" s="5" t="s">
        <v>51</v>
      </c>
      <c r="J826" s="5" t="s">
        <v>52</v>
      </c>
      <c r="K826" s="5" t="s">
        <v>92</v>
      </c>
      <c r="L826" s="5" t="n">
        <v>300</v>
      </c>
      <c r="M826" s="5" t="n">
        <v>600</v>
      </c>
      <c r="N826" s="6" t="n">
        <f aca="false">L826*0.6*H826</f>
        <v>360</v>
      </c>
      <c r="O826" s="6" t="n">
        <f aca="false">M826-N826</f>
        <v>240</v>
      </c>
      <c r="P826" s="7" t="n">
        <f aca="false">IF(M826=0,0,O826/M826)</f>
        <v>0.4</v>
      </c>
    </row>
    <row r="827" customFormat="false" ht="15" hidden="false" customHeight="false" outlineLevel="0" collapsed="false">
      <c r="A827" s="3" t="n">
        <v>2058</v>
      </c>
      <c r="B827" s="3" t="s">
        <v>3076</v>
      </c>
      <c r="C827" s="3" t="s">
        <v>3075</v>
      </c>
      <c r="D827" s="3" t="s">
        <v>108</v>
      </c>
      <c r="E827" s="3" t="s">
        <v>3623</v>
      </c>
      <c r="F827" s="3" t="s">
        <v>2379</v>
      </c>
      <c r="G827" s="3" t="s">
        <v>3592</v>
      </c>
      <c r="H827" s="8" t="n">
        <v>1</v>
      </c>
      <c r="I827" s="8" t="s">
        <v>51</v>
      </c>
      <c r="J827" s="8" t="s">
        <v>36</v>
      </c>
      <c r="K827" s="8" t="s">
        <v>192</v>
      </c>
      <c r="L827" s="8" t="n">
        <v>1200</v>
      </c>
      <c r="M827" s="8" t="n">
        <v>1200</v>
      </c>
      <c r="N827" s="6" t="n">
        <f aca="false">L827*0.6*H827</f>
        <v>720</v>
      </c>
      <c r="O827" s="6" t="n">
        <f aca="false">M827-N827</f>
        <v>480</v>
      </c>
      <c r="P827" s="7" t="n">
        <f aca="false">IF(M827=0,0,O827/M827)</f>
        <v>0.4</v>
      </c>
    </row>
    <row r="828" customFormat="false" ht="15" hidden="false" customHeight="false" outlineLevel="0" collapsed="false">
      <c r="A828" s="2" t="n">
        <v>2059</v>
      </c>
      <c r="B828" s="2" t="s">
        <v>99</v>
      </c>
      <c r="C828" s="2" t="s">
        <v>2374</v>
      </c>
      <c r="D828" s="2" t="s">
        <v>49</v>
      </c>
      <c r="E828" s="2" t="s">
        <v>3915</v>
      </c>
      <c r="F828" s="2" t="s">
        <v>3613</v>
      </c>
      <c r="G828" s="2" t="s">
        <v>3604</v>
      </c>
      <c r="H828" s="5" t="n">
        <v>2</v>
      </c>
      <c r="I828" s="5" t="s">
        <v>18</v>
      </c>
      <c r="J828" s="5" t="s">
        <v>36</v>
      </c>
      <c r="K828" s="5" t="s">
        <v>170</v>
      </c>
      <c r="L828" s="5" t="n">
        <v>250</v>
      </c>
      <c r="M828" s="5" t="n">
        <v>500</v>
      </c>
      <c r="N828" s="6" t="n">
        <f aca="false">L828*0.6*H828</f>
        <v>300</v>
      </c>
      <c r="O828" s="6" t="n">
        <f aca="false">M828-N828</f>
        <v>200</v>
      </c>
      <c r="P828" s="7" t="n">
        <f aca="false">IF(M828=0,0,O828/M828)</f>
        <v>0.4</v>
      </c>
    </row>
    <row r="829" customFormat="false" ht="15" hidden="false" customHeight="false" outlineLevel="0" collapsed="false">
      <c r="A829" s="3" t="n">
        <v>2060</v>
      </c>
      <c r="B829" s="3" t="s">
        <v>950</v>
      </c>
      <c r="C829" s="3" t="s">
        <v>1363</v>
      </c>
      <c r="D829" s="3" t="s">
        <v>49</v>
      </c>
      <c r="E829" s="3" t="s">
        <v>3781</v>
      </c>
      <c r="F829" s="3" t="s">
        <v>3610</v>
      </c>
      <c r="G829" s="3" t="s">
        <v>3600</v>
      </c>
      <c r="H829" s="8" t="n">
        <v>1</v>
      </c>
      <c r="I829" s="8" t="s">
        <v>97</v>
      </c>
      <c r="J829" s="8" t="s">
        <v>43</v>
      </c>
      <c r="K829" s="8" t="s">
        <v>45</v>
      </c>
      <c r="L829" s="8" t="n">
        <v>250</v>
      </c>
      <c r="M829" s="8" t="n">
        <v>250</v>
      </c>
      <c r="N829" s="6" t="n">
        <f aca="false">L829*0.6*H829</f>
        <v>150</v>
      </c>
      <c r="O829" s="6" t="n">
        <f aca="false">M829-N829</f>
        <v>100</v>
      </c>
      <c r="P829" s="7" t="n">
        <f aca="false">IF(M829=0,0,O829/M829)</f>
        <v>0.4</v>
      </c>
    </row>
    <row r="830" customFormat="false" ht="15" hidden="false" customHeight="false" outlineLevel="0" collapsed="false">
      <c r="A830" s="2" t="n">
        <v>2061</v>
      </c>
      <c r="B830" s="2" t="s">
        <v>3083</v>
      </c>
      <c r="C830" s="2" t="s">
        <v>366</v>
      </c>
      <c r="D830" s="2" t="s">
        <v>108</v>
      </c>
      <c r="E830" s="2" t="s">
        <v>3843</v>
      </c>
      <c r="F830" s="2" t="s">
        <v>3603</v>
      </c>
      <c r="G830" s="2" t="s">
        <v>3604</v>
      </c>
      <c r="H830" s="5" t="n">
        <v>1</v>
      </c>
      <c r="I830" s="5" t="s">
        <v>27</v>
      </c>
      <c r="J830" s="5" t="s">
        <v>52</v>
      </c>
      <c r="K830" s="5" t="s">
        <v>92</v>
      </c>
      <c r="L830" s="5" t="n">
        <v>1200</v>
      </c>
      <c r="M830" s="5" t="n">
        <v>1200</v>
      </c>
      <c r="N830" s="6" t="n">
        <f aca="false">L830*0.6*H830</f>
        <v>720</v>
      </c>
      <c r="O830" s="6" t="n">
        <f aca="false">M830-N830</f>
        <v>480</v>
      </c>
      <c r="P830" s="7" t="n">
        <f aca="false">IF(M830=0,0,O830/M830)</f>
        <v>0.4</v>
      </c>
    </row>
    <row r="831" customFormat="false" ht="15" hidden="false" customHeight="false" outlineLevel="0" collapsed="false">
      <c r="A831" s="3" t="n">
        <v>2062</v>
      </c>
      <c r="B831" s="3" t="s">
        <v>3087</v>
      </c>
      <c r="C831" s="3" t="s">
        <v>3086</v>
      </c>
      <c r="D831" s="3" t="s">
        <v>108</v>
      </c>
      <c r="E831" s="3" t="s">
        <v>3674</v>
      </c>
      <c r="F831" s="3" t="s">
        <v>3594</v>
      </c>
      <c r="G831" s="3" t="s">
        <v>3595</v>
      </c>
      <c r="H831" s="8" t="n">
        <v>1</v>
      </c>
      <c r="I831" s="8" t="s">
        <v>51</v>
      </c>
      <c r="J831" s="8" t="s">
        <v>19</v>
      </c>
      <c r="K831" s="8" t="s">
        <v>21</v>
      </c>
      <c r="L831" s="8" t="n">
        <v>1200</v>
      </c>
      <c r="M831" s="8" t="n">
        <v>1200</v>
      </c>
      <c r="N831" s="6" t="n">
        <f aca="false">L831*0.6*H831</f>
        <v>720</v>
      </c>
      <c r="O831" s="6" t="n">
        <f aca="false">M831-N831</f>
        <v>480</v>
      </c>
      <c r="P831" s="7" t="n">
        <f aca="false">IF(M831=0,0,O831/M831)</f>
        <v>0.4</v>
      </c>
    </row>
    <row r="832" customFormat="false" ht="15" hidden="false" customHeight="false" outlineLevel="0" collapsed="false">
      <c r="A832" s="2" t="n">
        <v>2063</v>
      </c>
      <c r="B832" s="2" t="s">
        <v>3090</v>
      </c>
      <c r="C832" s="2" t="s">
        <v>428</v>
      </c>
      <c r="D832" s="2" t="s">
        <v>25</v>
      </c>
      <c r="E832" s="2" t="s">
        <v>3935</v>
      </c>
      <c r="F832" s="2" t="s">
        <v>2379</v>
      </c>
      <c r="G832" s="2" t="s">
        <v>3592</v>
      </c>
      <c r="H832" s="5" t="n">
        <v>3</v>
      </c>
      <c r="I832" s="5" t="s">
        <v>51</v>
      </c>
      <c r="J832" s="5" t="s">
        <v>36</v>
      </c>
      <c r="K832" s="5" t="s">
        <v>38</v>
      </c>
      <c r="L832" s="5" t="n">
        <v>800</v>
      </c>
      <c r="M832" s="5" t="n">
        <v>2400</v>
      </c>
      <c r="N832" s="6" t="n">
        <f aca="false">L832*0.6*H832</f>
        <v>1440</v>
      </c>
      <c r="O832" s="6" t="n">
        <f aca="false">M832-N832</f>
        <v>960</v>
      </c>
      <c r="P832" s="7" t="n">
        <f aca="false">IF(M832=0,0,O832/M832)</f>
        <v>0.4</v>
      </c>
    </row>
    <row r="833" customFormat="false" ht="15" hidden="false" customHeight="false" outlineLevel="0" collapsed="false">
      <c r="A833" s="3" t="n">
        <v>2064</v>
      </c>
      <c r="B833" s="3" t="s">
        <v>1741</v>
      </c>
      <c r="C833" s="3" t="s">
        <v>2374</v>
      </c>
      <c r="D833" s="3" t="s">
        <v>108</v>
      </c>
      <c r="E833" s="3" t="s">
        <v>3774</v>
      </c>
      <c r="F833" s="3" t="s">
        <v>3603</v>
      </c>
      <c r="G833" s="3" t="s">
        <v>3604</v>
      </c>
      <c r="H833" s="8" t="n">
        <v>2</v>
      </c>
      <c r="I833" s="8" t="s">
        <v>51</v>
      </c>
      <c r="J833" s="8" t="s">
        <v>36</v>
      </c>
      <c r="K833" s="8" t="s">
        <v>192</v>
      </c>
      <c r="L833" s="8" t="n">
        <v>1200</v>
      </c>
      <c r="M833" s="8" t="n">
        <v>2400</v>
      </c>
      <c r="N833" s="6" t="n">
        <f aca="false">L833*0.6*H833</f>
        <v>1440</v>
      </c>
      <c r="O833" s="6" t="n">
        <f aca="false">M833-N833</f>
        <v>960</v>
      </c>
      <c r="P833" s="7" t="n">
        <f aca="false">IF(M833=0,0,O833/M833)</f>
        <v>0.4</v>
      </c>
    </row>
    <row r="834" customFormat="false" ht="15" hidden="false" customHeight="false" outlineLevel="0" collapsed="false">
      <c r="A834" s="2" t="n">
        <v>2065</v>
      </c>
      <c r="B834" s="2" t="s">
        <v>3096</v>
      </c>
      <c r="C834" s="2" t="s">
        <v>1741</v>
      </c>
      <c r="D834" s="2" t="s">
        <v>25</v>
      </c>
      <c r="E834" s="2" t="s">
        <v>3710</v>
      </c>
      <c r="F834" s="2" t="s">
        <v>3594</v>
      </c>
      <c r="G834" s="2" t="s">
        <v>3595</v>
      </c>
      <c r="H834" s="5" t="n">
        <v>1</v>
      </c>
      <c r="I834" s="5" t="s">
        <v>18</v>
      </c>
      <c r="J834" s="5" t="s">
        <v>52</v>
      </c>
      <c r="K834" s="5" t="s">
        <v>92</v>
      </c>
      <c r="L834" s="5" t="n">
        <v>800</v>
      </c>
      <c r="M834" s="5" t="n">
        <v>800</v>
      </c>
      <c r="N834" s="6" t="n">
        <f aca="false">L834*0.6*H834</f>
        <v>480</v>
      </c>
      <c r="O834" s="6" t="n">
        <f aca="false">M834-N834</f>
        <v>320</v>
      </c>
      <c r="P834" s="7" t="n">
        <f aca="false">IF(M834=0,0,O834/M834)</f>
        <v>0.4</v>
      </c>
    </row>
    <row r="835" customFormat="false" ht="15" hidden="false" customHeight="false" outlineLevel="0" collapsed="false">
      <c r="A835" s="3" t="n">
        <v>2066</v>
      </c>
      <c r="B835" s="3" t="s">
        <v>429</v>
      </c>
      <c r="C835" s="3" t="s">
        <v>1541</v>
      </c>
      <c r="D835" s="3" t="s">
        <v>108</v>
      </c>
      <c r="E835" s="3" t="s">
        <v>3773</v>
      </c>
      <c r="F835" s="3" t="s">
        <v>1756</v>
      </c>
      <c r="G835" s="3" t="s">
        <v>3595</v>
      </c>
      <c r="H835" s="8" t="n">
        <v>3</v>
      </c>
      <c r="I835" s="8" t="s">
        <v>27</v>
      </c>
      <c r="J835" s="8" t="s">
        <v>121</v>
      </c>
      <c r="K835" s="8" t="s">
        <v>123</v>
      </c>
      <c r="L835" s="8" t="n">
        <v>1200</v>
      </c>
      <c r="M835" s="8" t="n">
        <v>3600</v>
      </c>
      <c r="N835" s="6" t="n">
        <f aca="false">L835*0.6*H835</f>
        <v>2160</v>
      </c>
      <c r="O835" s="6" t="n">
        <f aca="false">M835-N835</f>
        <v>1440</v>
      </c>
      <c r="P835" s="7" t="n">
        <f aca="false">IF(M835=0,0,O835/M835)</f>
        <v>0.4</v>
      </c>
    </row>
    <row r="836" customFormat="false" ht="15" hidden="false" customHeight="false" outlineLevel="0" collapsed="false">
      <c r="A836" s="2" t="n">
        <v>2067</v>
      </c>
      <c r="B836" s="2" t="s">
        <v>3102</v>
      </c>
      <c r="C836" s="2" t="s">
        <v>3101</v>
      </c>
      <c r="D836" s="2" t="s">
        <v>108</v>
      </c>
      <c r="E836" s="2" t="s">
        <v>3708</v>
      </c>
      <c r="F836" s="2" t="s">
        <v>3608</v>
      </c>
      <c r="G836" s="2" t="s">
        <v>3604</v>
      </c>
      <c r="H836" s="5" t="n">
        <v>1</v>
      </c>
      <c r="I836" s="5" t="s">
        <v>97</v>
      </c>
      <c r="J836" s="5" t="s">
        <v>19</v>
      </c>
      <c r="K836" s="5" t="s">
        <v>176</v>
      </c>
      <c r="L836" s="5" t="n">
        <v>1200</v>
      </c>
      <c r="M836" s="5" t="n">
        <v>1200</v>
      </c>
      <c r="N836" s="6" t="n">
        <f aca="false">L836*0.6*H836</f>
        <v>720</v>
      </c>
      <c r="O836" s="6" t="n">
        <f aca="false">M836-N836</f>
        <v>480</v>
      </c>
      <c r="P836" s="7" t="n">
        <f aca="false">IF(M836=0,0,O836/M836)</f>
        <v>0.4</v>
      </c>
    </row>
    <row r="837" customFormat="false" ht="15" hidden="false" customHeight="false" outlineLevel="0" collapsed="false">
      <c r="A837" s="3" t="n">
        <v>2068</v>
      </c>
      <c r="B837" s="3" t="s">
        <v>3106</v>
      </c>
      <c r="C837" s="3" t="s">
        <v>3105</v>
      </c>
      <c r="D837" s="3" t="s">
        <v>49</v>
      </c>
      <c r="E837" s="3" t="s">
        <v>3860</v>
      </c>
      <c r="F837" s="3" t="s">
        <v>3591</v>
      </c>
      <c r="G837" s="3" t="s">
        <v>3592</v>
      </c>
      <c r="H837" s="8" t="n">
        <v>1</v>
      </c>
      <c r="I837" s="8" t="s">
        <v>18</v>
      </c>
      <c r="J837" s="8" t="s">
        <v>19</v>
      </c>
      <c r="K837" s="8" t="s">
        <v>73</v>
      </c>
      <c r="L837" s="8" t="n">
        <v>250</v>
      </c>
      <c r="M837" s="8" t="n">
        <v>250</v>
      </c>
      <c r="N837" s="6" t="n">
        <f aca="false">L837*0.6*H837</f>
        <v>150</v>
      </c>
      <c r="O837" s="6" t="n">
        <f aca="false">M837-N837</f>
        <v>100</v>
      </c>
      <c r="P837" s="7" t="n">
        <f aca="false">IF(M837=0,0,O837/M837)</f>
        <v>0.4</v>
      </c>
    </row>
    <row r="838" customFormat="false" ht="15" hidden="false" customHeight="false" outlineLevel="0" collapsed="false">
      <c r="A838" s="2" t="n">
        <v>2069</v>
      </c>
      <c r="B838" s="2" t="s">
        <v>3109</v>
      </c>
      <c r="C838" s="2" t="s">
        <v>1874</v>
      </c>
      <c r="D838" s="2" t="s">
        <v>108</v>
      </c>
      <c r="E838" s="2" t="s">
        <v>3910</v>
      </c>
      <c r="F838" s="2" t="s">
        <v>2379</v>
      </c>
      <c r="G838" s="2" t="s">
        <v>3592</v>
      </c>
      <c r="H838" s="5" t="n">
        <v>1</v>
      </c>
      <c r="I838" s="5" t="s">
        <v>51</v>
      </c>
      <c r="J838" s="5" t="s">
        <v>28</v>
      </c>
      <c r="K838" s="5" t="s">
        <v>30</v>
      </c>
      <c r="L838" s="5" t="n">
        <v>1200</v>
      </c>
      <c r="M838" s="5" t="n">
        <v>1200</v>
      </c>
      <c r="N838" s="6" t="n">
        <f aca="false">L838*0.6*H838</f>
        <v>720</v>
      </c>
      <c r="O838" s="6" t="n">
        <f aca="false">M838-N838</f>
        <v>480</v>
      </c>
      <c r="P838" s="7" t="n">
        <f aca="false">IF(M838=0,0,O838/M838)</f>
        <v>0.4</v>
      </c>
    </row>
    <row r="839" customFormat="false" ht="15" hidden="false" customHeight="false" outlineLevel="0" collapsed="false">
      <c r="A839" s="3" t="n">
        <v>2070</v>
      </c>
      <c r="B839" s="3" t="s">
        <v>89</v>
      </c>
      <c r="C839" s="3" t="s">
        <v>3112</v>
      </c>
      <c r="D839" s="3" t="s">
        <v>25</v>
      </c>
      <c r="E839" s="3" t="s">
        <v>3725</v>
      </c>
      <c r="F839" s="3" t="s">
        <v>3628</v>
      </c>
      <c r="G839" s="3" t="s">
        <v>3595</v>
      </c>
      <c r="H839" s="8" t="n">
        <v>1</v>
      </c>
      <c r="I839" s="8" t="s">
        <v>51</v>
      </c>
      <c r="J839" s="8" t="s">
        <v>19</v>
      </c>
      <c r="K839" s="8" t="s">
        <v>176</v>
      </c>
      <c r="L839" s="8" t="n">
        <v>800</v>
      </c>
      <c r="M839" s="8" t="n">
        <v>800</v>
      </c>
      <c r="N839" s="6" t="n">
        <f aca="false">L839*0.6*H839</f>
        <v>480</v>
      </c>
      <c r="O839" s="6" t="n">
        <f aca="false">M839-N839</f>
        <v>320</v>
      </c>
      <c r="P839" s="7" t="n">
        <f aca="false">IF(M839=0,0,O839/M839)</f>
        <v>0.4</v>
      </c>
    </row>
    <row r="840" customFormat="false" ht="15" hidden="false" customHeight="false" outlineLevel="0" collapsed="false">
      <c r="A840" s="2" t="n">
        <v>2071</v>
      </c>
      <c r="B840" s="2" t="s">
        <v>189</v>
      </c>
      <c r="C840" s="2" t="s">
        <v>3115</v>
      </c>
      <c r="D840" s="2" t="s">
        <v>108</v>
      </c>
      <c r="E840" s="2" t="s">
        <v>3632</v>
      </c>
      <c r="F840" s="2" t="s">
        <v>1756</v>
      </c>
      <c r="G840" s="2" t="s">
        <v>3595</v>
      </c>
      <c r="H840" s="5" t="n">
        <v>2</v>
      </c>
      <c r="I840" s="5" t="s">
        <v>51</v>
      </c>
      <c r="J840" s="5" t="s">
        <v>19</v>
      </c>
      <c r="K840" s="5" t="s">
        <v>176</v>
      </c>
      <c r="L840" s="5" t="n">
        <v>1200</v>
      </c>
      <c r="M840" s="5" t="n">
        <v>2400</v>
      </c>
      <c r="N840" s="6" t="n">
        <f aca="false">L840*0.6*H840</f>
        <v>1440</v>
      </c>
      <c r="O840" s="6" t="n">
        <f aca="false">M840-N840</f>
        <v>960</v>
      </c>
      <c r="P840" s="7" t="n">
        <f aca="false">IF(M840=0,0,O840/M840)</f>
        <v>0.4</v>
      </c>
    </row>
    <row r="841" customFormat="false" ht="15" hidden="false" customHeight="false" outlineLevel="0" collapsed="false">
      <c r="A841" s="3" t="n">
        <v>2072</v>
      </c>
      <c r="B841" s="3" t="s">
        <v>179</v>
      </c>
      <c r="C841" s="3" t="s">
        <v>534</v>
      </c>
      <c r="D841" s="3" t="s">
        <v>108</v>
      </c>
      <c r="E841" s="3" t="s">
        <v>3792</v>
      </c>
      <c r="F841" s="3" t="s">
        <v>3608</v>
      </c>
      <c r="G841" s="3" t="s">
        <v>3604</v>
      </c>
      <c r="H841" s="8" t="n">
        <v>2</v>
      </c>
      <c r="I841" s="8" t="s">
        <v>51</v>
      </c>
      <c r="J841" s="8" t="s">
        <v>59</v>
      </c>
      <c r="K841" s="8" t="s">
        <v>99</v>
      </c>
      <c r="L841" s="8" t="n">
        <v>1200</v>
      </c>
      <c r="M841" s="8" t="n">
        <v>2400</v>
      </c>
      <c r="N841" s="6" t="n">
        <f aca="false">L841*0.6*H841</f>
        <v>1440</v>
      </c>
      <c r="O841" s="6" t="n">
        <f aca="false">M841-N841</f>
        <v>960</v>
      </c>
      <c r="P841" s="7" t="n">
        <f aca="false">IF(M841=0,0,O841/M841)</f>
        <v>0.4</v>
      </c>
    </row>
    <row r="842" customFormat="false" ht="15" hidden="false" customHeight="false" outlineLevel="0" collapsed="false">
      <c r="A842" s="2" t="n">
        <v>2073</v>
      </c>
      <c r="B842" s="2" t="s">
        <v>3120</v>
      </c>
      <c r="C842" s="2" t="s">
        <v>1691</v>
      </c>
      <c r="D842" s="2" t="s">
        <v>16</v>
      </c>
      <c r="E842" s="2" t="s">
        <v>3698</v>
      </c>
      <c r="F842" s="2" t="s">
        <v>3599</v>
      </c>
      <c r="G842" s="2" t="s">
        <v>3600</v>
      </c>
      <c r="H842" s="5" t="n">
        <v>3</v>
      </c>
      <c r="I842" s="5" t="s">
        <v>18</v>
      </c>
      <c r="J842" s="5" t="s">
        <v>36</v>
      </c>
      <c r="K842" s="5" t="s">
        <v>192</v>
      </c>
      <c r="L842" s="5" t="n">
        <v>250</v>
      </c>
      <c r="M842" s="5" t="n">
        <v>750</v>
      </c>
      <c r="N842" s="6" t="n">
        <f aca="false">L842*0.6*H842</f>
        <v>450</v>
      </c>
      <c r="O842" s="6" t="n">
        <f aca="false">M842-N842</f>
        <v>300</v>
      </c>
      <c r="P842" s="7" t="n">
        <f aca="false">IF(M842=0,0,O842/M842)</f>
        <v>0.4</v>
      </c>
    </row>
    <row r="843" customFormat="false" ht="15" hidden="false" customHeight="false" outlineLevel="0" collapsed="false">
      <c r="A843" s="3" t="n">
        <v>2074</v>
      </c>
      <c r="B843" s="3" t="s">
        <v>1875</v>
      </c>
      <c r="C843" s="3" t="s">
        <v>1479</v>
      </c>
      <c r="D843" s="3" t="s">
        <v>16</v>
      </c>
      <c r="E843" s="3" t="s">
        <v>3647</v>
      </c>
      <c r="F843" s="3" t="s">
        <v>3610</v>
      </c>
      <c r="G843" s="3" t="s">
        <v>3600</v>
      </c>
      <c r="H843" s="8" t="n">
        <v>2</v>
      </c>
      <c r="I843" s="8" t="s">
        <v>27</v>
      </c>
      <c r="J843" s="8" t="s">
        <v>43</v>
      </c>
      <c r="K843" s="8" t="s">
        <v>45</v>
      </c>
      <c r="L843" s="8" t="n">
        <v>250</v>
      </c>
      <c r="M843" s="8" t="n">
        <v>500</v>
      </c>
      <c r="N843" s="6" t="n">
        <f aca="false">L843*0.6*H843</f>
        <v>300</v>
      </c>
      <c r="O843" s="6" t="n">
        <f aca="false">M843-N843</f>
        <v>200</v>
      </c>
      <c r="P843" s="7" t="n">
        <f aca="false">IF(M843=0,0,O843/M843)</f>
        <v>0.4</v>
      </c>
    </row>
    <row r="844" customFormat="false" ht="15" hidden="false" customHeight="false" outlineLevel="0" collapsed="false">
      <c r="A844" s="2" t="n">
        <v>2075</v>
      </c>
      <c r="B844" s="2" t="s">
        <v>3125</v>
      </c>
      <c r="C844" s="2" t="s">
        <v>1691</v>
      </c>
      <c r="D844" s="2" t="s">
        <v>147</v>
      </c>
      <c r="E844" s="2" t="s">
        <v>3936</v>
      </c>
      <c r="F844" s="2" t="s">
        <v>3628</v>
      </c>
      <c r="G844" s="2" t="s">
        <v>3595</v>
      </c>
      <c r="H844" s="5" t="n">
        <v>2</v>
      </c>
      <c r="I844" s="5" t="s">
        <v>97</v>
      </c>
      <c r="J844" s="5" t="s">
        <v>121</v>
      </c>
      <c r="K844" s="5" t="s">
        <v>317</v>
      </c>
      <c r="L844" s="5" t="n">
        <v>600</v>
      </c>
      <c r="M844" s="5" t="n">
        <v>1200</v>
      </c>
      <c r="N844" s="6" t="n">
        <f aca="false">L844*0.6*H844</f>
        <v>720</v>
      </c>
      <c r="O844" s="6" t="n">
        <f aca="false">M844-N844</f>
        <v>480</v>
      </c>
      <c r="P844" s="7" t="n">
        <f aca="false">IF(M844=0,0,O844/M844)</f>
        <v>0.4</v>
      </c>
    </row>
    <row r="845" customFormat="false" ht="15" hidden="false" customHeight="false" outlineLevel="0" collapsed="false">
      <c r="A845" s="3" t="n">
        <v>2076</v>
      </c>
      <c r="B845" s="3" t="s">
        <v>2488</v>
      </c>
      <c r="C845" s="3" t="s">
        <v>3129</v>
      </c>
      <c r="D845" s="3" t="s">
        <v>147</v>
      </c>
      <c r="E845" s="3" t="s">
        <v>3737</v>
      </c>
      <c r="F845" s="3" t="s">
        <v>3628</v>
      </c>
      <c r="G845" s="3" t="s">
        <v>3595</v>
      </c>
      <c r="H845" s="8" t="n">
        <v>3</v>
      </c>
      <c r="I845" s="8" t="s">
        <v>51</v>
      </c>
      <c r="J845" s="8" t="s">
        <v>36</v>
      </c>
      <c r="K845" s="8" t="s">
        <v>170</v>
      </c>
      <c r="L845" s="8" t="n">
        <v>600</v>
      </c>
      <c r="M845" s="8" t="n">
        <v>1800</v>
      </c>
      <c r="N845" s="6" t="n">
        <f aca="false">L845*0.6*H845</f>
        <v>1080</v>
      </c>
      <c r="O845" s="6" t="n">
        <f aca="false">M845-N845</f>
        <v>720</v>
      </c>
      <c r="P845" s="7" t="n">
        <f aca="false">IF(M845=0,0,O845/M845)</f>
        <v>0.4</v>
      </c>
    </row>
    <row r="846" customFormat="false" ht="15" hidden="false" customHeight="false" outlineLevel="0" collapsed="false">
      <c r="A846" s="2" t="n">
        <v>2077</v>
      </c>
      <c r="B846" s="2" t="s">
        <v>3133</v>
      </c>
      <c r="C846" s="2" t="s">
        <v>3132</v>
      </c>
      <c r="D846" s="2" t="s">
        <v>34</v>
      </c>
      <c r="E846" s="2" t="s">
        <v>3845</v>
      </c>
      <c r="F846" s="2" t="s">
        <v>3594</v>
      </c>
      <c r="G846" s="2" t="s">
        <v>3595</v>
      </c>
      <c r="H846" s="5" t="n">
        <v>2</v>
      </c>
      <c r="I846" s="5" t="s">
        <v>18</v>
      </c>
      <c r="J846" s="5" t="s">
        <v>36</v>
      </c>
      <c r="K846" s="5" t="s">
        <v>170</v>
      </c>
      <c r="L846" s="5" t="n">
        <v>300</v>
      </c>
      <c r="M846" s="5" t="n">
        <v>600</v>
      </c>
      <c r="N846" s="6" t="n">
        <f aca="false">L846*0.6*H846</f>
        <v>360</v>
      </c>
      <c r="O846" s="6" t="n">
        <f aca="false">M846-N846</f>
        <v>240</v>
      </c>
      <c r="P846" s="7" t="n">
        <f aca="false">IF(M846=0,0,O846/M846)</f>
        <v>0.4</v>
      </c>
    </row>
    <row r="847" customFormat="false" ht="15" hidden="false" customHeight="false" outlineLevel="0" collapsed="false">
      <c r="A847" s="3" t="n">
        <v>2078</v>
      </c>
      <c r="B847" s="3" t="s">
        <v>1699</v>
      </c>
      <c r="C847" s="3" t="s">
        <v>1007</v>
      </c>
      <c r="D847" s="3" t="s">
        <v>108</v>
      </c>
      <c r="E847" s="3" t="s">
        <v>3643</v>
      </c>
      <c r="F847" s="3" t="s">
        <v>3591</v>
      </c>
      <c r="G847" s="3" t="s">
        <v>3592</v>
      </c>
      <c r="H847" s="8" t="n">
        <v>1</v>
      </c>
      <c r="I847" s="8" t="s">
        <v>97</v>
      </c>
      <c r="J847" s="8" t="s">
        <v>78</v>
      </c>
      <c r="K847" s="8" t="s">
        <v>80</v>
      </c>
      <c r="L847" s="8" t="n">
        <v>1200</v>
      </c>
      <c r="M847" s="8" t="n">
        <v>1200</v>
      </c>
      <c r="N847" s="6" t="n">
        <f aca="false">L847*0.6*H847</f>
        <v>720</v>
      </c>
      <c r="O847" s="6" t="n">
        <f aca="false">M847-N847</f>
        <v>480</v>
      </c>
      <c r="P847" s="7" t="n">
        <f aca="false">IF(M847=0,0,O847/M847)</f>
        <v>0.4</v>
      </c>
    </row>
    <row r="848" customFormat="false" ht="15" hidden="false" customHeight="false" outlineLevel="0" collapsed="false">
      <c r="A848" s="2" t="n">
        <v>2079</v>
      </c>
      <c r="B848" s="2" t="s">
        <v>1848</v>
      </c>
      <c r="C848" s="2" t="s">
        <v>3138</v>
      </c>
      <c r="D848" s="2" t="s">
        <v>147</v>
      </c>
      <c r="E848" s="2" t="s">
        <v>3741</v>
      </c>
      <c r="F848" s="2" t="s">
        <v>2379</v>
      </c>
      <c r="G848" s="2" t="s">
        <v>3592</v>
      </c>
      <c r="H848" s="5" t="n">
        <v>2</v>
      </c>
      <c r="I848" s="5" t="s">
        <v>27</v>
      </c>
      <c r="J848" s="5" t="s">
        <v>59</v>
      </c>
      <c r="K848" s="5" t="s">
        <v>61</v>
      </c>
      <c r="L848" s="5" t="n">
        <v>600</v>
      </c>
      <c r="M848" s="5" t="n">
        <v>1200</v>
      </c>
      <c r="N848" s="6" t="n">
        <f aca="false">L848*0.6*H848</f>
        <v>720</v>
      </c>
      <c r="O848" s="6" t="n">
        <f aca="false">M848-N848</f>
        <v>480</v>
      </c>
      <c r="P848" s="7" t="n">
        <f aca="false">IF(M848=0,0,O848/M848)</f>
        <v>0.4</v>
      </c>
    </row>
    <row r="849" customFormat="false" ht="15" hidden="false" customHeight="false" outlineLevel="0" collapsed="false">
      <c r="A849" s="3" t="n">
        <v>2080</v>
      </c>
      <c r="B849" s="3" t="s">
        <v>3141</v>
      </c>
      <c r="C849" s="3" t="s">
        <v>1180</v>
      </c>
      <c r="D849" s="3" t="s">
        <v>34</v>
      </c>
      <c r="E849" s="3" t="s">
        <v>3621</v>
      </c>
      <c r="F849" s="3" t="s">
        <v>3613</v>
      </c>
      <c r="G849" s="3" t="s">
        <v>3604</v>
      </c>
      <c r="H849" s="8" t="n">
        <v>3</v>
      </c>
      <c r="I849" s="8" t="s">
        <v>51</v>
      </c>
      <c r="J849" s="8" t="s">
        <v>43</v>
      </c>
      <c r="K849" s="8" t="s">
        <v>67</v>
      </c>
      <c r="L849" s="8" t="n">
        <v>300</v>
      </c>
      <c r="M849" s="8" t="n">
        <v>900</v>
      </c>
      <c r="N849" s="6" t="n">
        <f aca="false">L849*0.6*H849</f>
        <v>540</v>
      </c>
      <c r="O849" s="6" t="n">
        <f aca="false">M849-N849</f>
        <v>360</v>
      </c>
      <c r="P849" s="7" t="n">
        <f aca="false">IF(M849=0,0,O849/M849)</f>
        <v>0.4</v>
      </c>
    </row>
    <row r="850" customFormat="false" ht="15" hidden="false" customHeight="false" outlineLevel="0" collapsed="false">
      <c r="A850" s="2" t="n">
        <v>2081</v>
      </c>
      <c r="B850" s="2" t="s">
        <v>305</v>
      </c>
      <c r="C850" s="2" t="s">
        <v>3144</v>
      </c>
      <c r="D850" s="2" t="s">
        <v>49</v>
      </c>
      <c r="E850" s="2" t="s">
        <v>3733</v>
      </c>
      <c r="F850" s="2" t="s">
        <v>3610</v>
      </c>
      <c r="G850" s="2" t="s">
        <v>3600</v>
      </c>
      <c r="H850" s="5" t="n">
        <v>1</v>
      </c>
      <c r="I850" s="5" t="s">
        <v>27</v>
      </c>
      <c r="J850" s="5" t="s">
        <v>19</v>
      </c>
      <c r="K850" s="5" t="s">
        <v>21</v>
      </c>
      <c r="L850" s="5" t="n">
        <v>250</v>
      </c>
      <c r="M850" s="5" t="n">
        <v>250</v>
      </c>
      <c r="N850" s="6" t="n">
        <f aca="false">L850*0.6*H850</f>
        <v>150</v>
      </c>
      <c r="O850" s="6" t="n">
        <f aca="false">M850-N850</f>
        <v>100</v>
      </c>
      <c r="P850" s="7" t="n">
        <f aca="false">IF(M850=0,0,O850/M850)</f>
        <v>0.4</v>
      </c>
    </row>
    <row r="851" customFormat="false" ht="15" hidden="false" customHeight="false" outlineLevel="0" collapsed="false">
      <c r="A851" s="3" t="n">
        <v>2082</v>
      </c>
      <c r="B851" s="3" t="s">
        <v>3147</v>
      </c>
      <c r="C851" s="3" t="s">
        <v>1986</v>
      </c>
      <c r="D851" s="3" t="s">
        <v>108</v>
      </c>
      <c r="E851" s="3" t="s">
        <v>3709</v>
      </c>
      <c r="F851" s="3" t="s">
        <v>3594</v>
      </c>
      <c r="G851" s="3" t="s">
        <v>3595</v>
      </c>
      <c r="H851" s="8" t="n">
        <v>2</v>
      </c>
      <c r="I851" s="8" t="s">
        <v>51</v>
      </c>
      <c r="J851" s="8" t="s">
        <v>36</v>
      </c>
      <c r="K851" s="8" t="s">
        <v>170</v>
      </c>
      <c r="L851" s="8" t="n">
        <v>1200</v>
      </c>
      <c r="M851" s="8" t="n">
        <v>2400</v>
      </c>
      <c r="N851" s="6" t="n">
        <f aca="false">L851*0.6*H851</f>
        <v>1440</v>
      </c>
      <c r="O851" s="6" t="n">
        <f aca="false">M851-N851</f>
        <v>960</v>
      </c>
      <c r="P851" s="7" t="n">
        <f aca="false">IF(M851=0,0,O851/M851)</f>
        <v>0.4</v>
      </c>
    </row>
    <row r="852" customFormat="false" ht="15" hidden="false" customHeight="false" outlineLevel="0" collapsed="false">
      <c r="A852" s="2" t="n">
        <v>2083</v>
      </c>
      <c r="B852" s="2" t="s">
        <v>733</v>
      </c>
      <c r="C852" s="2" t="s">
        <v>3150</v>
      </c>
      <c r="D852" s="2" t="s">
        <v>108</v>
      </c>
      <c r="E852" s="2" t="s">
        <v>3883</v>
      </c>
      <c r="F852" s="2" t="s">
        <v>3606</v>
      </c>
      <c r="G852" s="2" t="s">
        <v>3600</v>
      </c>
      <c r="H852" s="5" t="n">
        <v>2</v>
      </c>
      <c r="I852" s="5" t="s">
        <v>97</v>
      </c>
      <c r="J852" s="5" t="s">
        <v>78</v>
      </c>
      <c r="K852" s="5" t="s">
        <v>408</v>
      </c>
      <c r="L852" s="5" t="n">
        <v>1200</v>
      </c>
      <c r="M852" s="5" t="n">
        <v>2400</v>
      </c>
      <c r="N852" s="6" t="n">
        <f aca="false">L852*0.6*H852</f>
        <v>1440</v>
      </c>
      <c r="O852" s="6" t="n">
        <f aca="false">M852-N852</f>
        <v>960</v>
      </c>
      <c r="P852" s="7" t="n">
        <f aca="false">IF(M852=0,0,O852/M852)</f>
        <v>0.4</v>
      </c>
    </row>
    <row r="853" customFormat="false" ht="15" hidden="false" customHeight="false" outlineLevel="0" collapsed="false">
      <c r="A853" s="3" t="n">
        <v>2084</v>
      </c>
      <c r="B853" s="3" t="s">
        <v>1221</v>
      </c>
      <c r="C853" s="3" t="s">
        <v>3153</v>
      </c>
      <c r="D853" s="3" t="s">
        <v>16</v>
      </c>
      <c r="E853" s="3" t="s">
        <v>3722</v>
      </c>
      <c r="F853" s="3" t="s">
        <v>3613</v>
      </c>
      <c r="G853" s="3" t="s">
        <v>3604</v>
      </c>
      <c r="H853" s="8" t="n">
        <v>3</v>
      </c>
      <c r="I853" s="8" t="s">
        <v>18</v>
      </c>
      <c r="J853" s="8" t="s">
        <v>52</v>
      </c>
      <c r="K853" s="8" t="s">
        <v>92</v>
      </c>
      <c r="L853" s="8" t="n">
        <v>250</v>
      </c>
      <c r="M853" s="8" t="n">
        <v>750</v>
      </c>
      <c r="N853" s="6" t="n">
        <f aca="false">L853*0.6*H853</f>
        <v>450</v>
      </c>
      <c r="O853" s="6" t="n">
        <f aca="false">M853-N853</f>
        <v>300</v>
      </c>
      <c r="P853" s="7" t="n">
        <f aca="false">IF(M853=0,0,O853/M853)</f>
        <v>0.4</v>
      </c>
    </row>
    <row r="854" customFormat="false" ht="15" hidden="false" customHeight="false" outlineLevel="0" collapsed="false">
      <c r="A854" s="2" t="n">
        <v>2085</v>
      </c>
      <c r="B854" s="2" t="s">
        <v>3157</v>
      </c>
      <c r="C854" s="2" t="s">
        <v>3156</v>
      </c>
      <c r="D854" s="2" t="s">
        <v>16</v>
      </c>
      <c r="E854" s="2" t="s">
        <v>3867</v>
      </c>
      <c r="F854" s="2" t="s">
        <v>3608</v>
      </c>
      <c r="G854" s="2" t="s">
        <v>3604</v>
      </c>
      <c r="H854" s="5" t="n">
        <v>3</v>
      </c>
      <c r="I854" s="5" t="s">
        <v>27</v>
      </c>
      <c r="J854" s="5" t="s">
        <v>19</v>
      </c>
      <c r="K854" s="5" t="s">
        <v>21</v>
      </c>
      <c r="L854" s="5" t="n">
        <v>250</v>
      </c>
      <c r="M854" s="5" t="n">
        <v>750</v>
      </c>
      <c r="N854" s="6" t="n">
        <f aca="false">L854*0.6*H854</f>
        <v>450</v>
      </c>
      <c r="O854" s="6" t="n">
        <f aca="false">M854-N854</f>
        <v>300</v>
      </c>
      <c r="P854" s="7" t="n">
        <f aca="false">IF(M854=0,0,O854/M854)</f>
        <v>0.4</v>
      </c>
    </row>
    <row r="855" customFormat="false" ht="15" hidden="false" customHeight="false" outlineLevel="0" collapsed="false">
      <c r="A855" s="3" t="n">
        <v>2086</v>
      </c>
      <c r="B855" s="3" t="s">
        <v>2969</v>
      </c>
      <c r="C855" s="3" t="s">
        <v>978</v>
      </c>
      <c r="D855" s="3" t="s">
        <v>147</v>
      </c>
      <c r="E855" s="3" t="s">
        <v>3807</v>
      </c>
      <c r="F855" s="3" t="s">
        <v>3591</v>
      </c>
      <c r="G855" s="3" t="s">
        <v>3592</v>
      </c>
      <c r="H855" s="8" t="n">
        <v>3</v>
      </c>
      <c r="I855" s="8" t="s">
        <v>51</v>
      </c>
      <c r="J855" s="8" t="s">
        <v>43</v>
      </c>
      <c r="K855" s="8" t="s">
        <v>67</v>
      </c>
      <c r="L855" s="8" t="n">
        <v>600</v>
      </c>
      <c r="M855" s="8" t="n">
        <v>1800</v>
      </c>
      <c r="N855" s="6" t="n">
        <f aca="false">L855*0.6*H855</f>
        <v>1080</v>
      </c>
      <c r="O855" s="6" t="n">
        <f aca="false">M855-N855</f>
        <v>720</v>
      </c>
      <c r="P855" s="7" t="n">
        <f aca="false">IF(M855=0,0,O855/M855)</f>
        <v>0.4</v>
      </c>
    </row>
    <row r="856" customFormat="false" ht="15" hidden="false" customHeight="false" outlineLevel="0" collapsed="false">
      <c r="A856" s="2" t="n">
        <v>2087</v>
      </c>
      <c r="B856" s="2" t="s">
        <v>734</v>
      </c>
      <c r="C856" s="2" t="s">
        <v>3105</v>
      </c>
      <c r="D856" s="2" t="s">
        <v>49</v>
      </c>
      <c r="E856" s="2" t="s">
        <v>3854</v>
      </c>
      <c r="F856" s="2" t="s">
        <v>3591</v>
      </c>
      <c r="G856" s="2" t="s">
        <v>3592</v>
      </c>
      <c r="H856" s="5" t="n">
        <v>1</v>
      </c>
      <c r="I856" s="5" t="s">
        <v>18</v>
      </c>
      <c r="J856" s="5" t="s">
        <v>52</v>
      </c>
      <c r="K856" s="5" t="s">
        <v>92</v>
      </c>
      <c r="L856" s="5" t="n">
        <v>250</v>
      </c>
      <c r="M856" s="5" t="n">
        <v>250</v>
      </c>
      <c r="N856" s="6" t="n">
        <f aca="false">L856*0.6*H856</f>
        <v>150</v>
      </c>
      <c r="O856" s="6" t="n">
        <f aca="false">M856-N856</f>
        <v>100</v>
      </c>
      <c r="P856" s="7" t="n">
        <f aca="false">IF(M856=0,0,O856/M856)</f>
        <v>0.4</v>
      </c>
    </row>
    <row r="857" customFormat="false" ht="15" hidden="false" customHeight="false" outlineLevel="0" collapsed="false">
      <c r="A857" s="3" t="n">
        <v>2088</v>
      </c>
      <c r="B857" s="3" t="s">
        <v>3165</v>
      </c>
      <c r="C857" s="3" t="s">
        <v>3164</v>
      </c>
      <c r="D857" s="3" t="s">
        <v>16</v>
      </c>
      <c r="E857" s="3" t="s">
        <v>3683</v>
      </c>
      <c r="F857" s="3" t="s">
        <v>1756</v>
      </c>
      <c r="G857" s="3" t="s">
        <v>3595</v>
      </c>
      <c r="H857" s="8" t="n">
        <v>2</v>
      </c>
      <c r="I857" s="8" t="s">
        <v>18</v>
      </c>
      <c r="J857" s="8" t="s">
        <v>43</v>
      </c>
      <c r="K857" s="8" t="s">
        <v>45</v>
      </c>
      <c r="L857" s="8" t="n">
        <v>250</v>
      </c>
      <c r="M857" s="8" t="n">
        <v>500</v>
      </c>
      <c r="N857" s="6" t="n">
        <f aca="false">L857*0.6*H857</f>
        <v>300</v>
      </c>
      <c r="O857" s="6" t="n">
        <f aca="false">M857-N857</f>
        <v>200</v>
      </c>
      <c r="P857" s="7" t="n">
        <f aca="false">IF(M857=0,0,O857/M857)</f>
        <v>0.4</v>
      </c>
    </row>
    <row r="858" customFormat="false" ht="15" hidden="false" customHeight="false" outlineLevel="0" collapsed="false">
      <c r="A858" s="2" t="n">
        <v>2089</v>
      </c>
      <c r="B858" s="2" t="s">
        <v>3168</v>
      </c>
      <c r="C858" s="2" t="s">
        <v>1759</v>
      </c>
      <c r="D858" s="2" t="s">
        <v>16</v>
      </c>
      <c r="E858" s="2" t="s">
        <v>3821</v>
      </c>
      <c r="F858" s="2" t="s">
        <v>3591</v>
      </c>
      <c r="G858" s="2" t="s">
        <v>3592</v>
      </c>
      <c r="H858" s="5" t="n">
        <v>1</v>
      </c>
      <c r="I858" s="5" t="s">
        <v>97</v>
      </c>
      <c r="J858" s="5" t="s">
        <v>43</v>
      </c>
      <c r="K858" s="5" t="s">
        <v>111</v>
      </c>
      <c r="L858" s="5" t="n">
        <v>250</v>
      </c>
      <c r="M858" s="5" t="n">
        <v>250</v>
      </c>
      <c r="N858" s="6" t="n">
        <f aca="false">L858*0.6*H858</f>
        <v>150</v>
      </c>
      <c r="O858" s="6" t="n">
        <f aca="false">M858-N858</f>
        <v>100</v>
      </c>
      <c r="P858" s="7" t="n">
        <f aca="false">IF(M858=0,0,O858/M858)</f>
        <v>0.4</v>
      </c>
    </row>
    <row r="859" customFormat="false" ht="15" hidden="false" customHeight="false" outlineLevel="0" collapsed="false">
      <c r="A859" s="3" t="n">
        <v>2090</v>
      </c>
      <c r="B859" s="3" t="s">
        <v>2715</v>
      </c>
      <c r="C859" s="3" t="s">
        <v>3171</v>
      </c>
      <c r="D859" s="3" t="s">
        <v>25</v>
      </c>
      <c r="E859" s="3" t="s">
        <v>3673</v>
      </c>
      <c r="F859" s="3" t="s">
        <v>3610</v>
      </c>
      <c r="G859" s="3" t="s">
        <v>3600</v>
      </c>
      <c r="H859" s="8" t="n">
        <v>2</v>
      </c>
      <c r="I859" s="8" t="s">
        <v>18</v>
      </c>
      <c r="J859" s="8" t="s">
        <v>19</v>
      </c>
      <c r="K859" s="8" t="s">
        <v>73</v>
      </c>
      <c r="L859" s="8" t="n">
        <v>800</v>
      </c>
      <c r="M859" s="8" t="n">
        <v>1600</v>
      </c>
      <c r="N859" s="6" t="n">
        <f aca="false">L859*0.6*H859</f>
        <v>960</v>
      </c>
      <c r="O859" s="6" t="n">
        <f aca="false">M859-N859</f>
        <v>640</v>
      </c>
      <c r="P859" s="7" t="n">
        <f aca="false">IF(M859=0,0,O859/M859)</f>
        <v>0.4</v>
      </c>
    </row>
    <row r="860" customFormat="false" ht="15" hidden="false" customHeight="false" outlineLevel="0" collapsed="false">
      <c r="A860" s="2" t="n">
        <v>1588</v>
      </c>
      <c r="B860" s="2" t="s">
        <v>1558</v>
      </c>
      <c r="C860" s="2" t="s">
        <v>1557</v>
      </c>
      <c r="D860" s="2" t="s">
        <v>34</v>
      </c>
      <c r="E860" s="2" t="s">
        <v>3615</v>
      </c>
      <c r="F860" s="2" t="s">
        <v>3613</v>
      </c>
      <c r="G860" s="2" t="s">
        <v>3604</v>
      </c>
      <c r="H860" s="5" t="n">
        <v>2</v>
      </c>
      <c r="I860" s="5" t="s">
        <v>51</v>
      </c>
      <c r="J860" s="5" t="s">
        <v>52</v>
      </c>
      <c r="K860" s="5" t="s">
        <v>182</v>
      </c>
      <c r="L860" s="5" t="n">
        <v>300</v>
      </c>
      <c r="M860" s="5" t="n">
        <v>600</v>
      </c>
      <c r="N860" s="6" t="n">
        <f aca="false">L860*0.6*H860</f>
        <v>360</v>
      </c>
      <c r="O860" s="6" t="n">
        <f aca="false">M860-N860</f>
        <v>240</v>
      </c>
      <c r="P860" s="7" t="n">
        <f aca="false">IF(M860=0,0,O860/M860)</f>
        <v>0.4</v>
      </c>
    </row>
    <row r="861" customFormat="false" ht="15" hidden="false" customHeight="false" outlineLevel="0" collapsed="false">
      <c r="A861" s="3" t="n">
        <v>2091</v>
      </c>
      <c r="B861" s="3" t="s">
        <v>358</v>
      </c>
      <c r="C861" s="3" t="s">
        <v>3176</v>
      </c>
      <c r="D861" s="3" t="s">
        <v>108</v>
      </c>
      <c r="E861" s="3" t="s">
        <v>3654</v>
      </c>
      <c r="F861" s="3" t="s">
        <v>3608</v>
      </c>
      <c r="G861" s="3" t="s">
        <v>3604</v>
      </c>
      <c r="H861" s="8" t="n">
        <v>2</v>
      </c>
      <c r="I861" s="8" t="s">
        <v>97</v>
      </c>
      <c r="J861" s="8" t="s">
        <v>28</v>
      </c>
      <c r="K861" s="8" t="s">
        <v>30</v>
      </c>
      <c r="L861" s="8" t="n">
        <v>1200</v>
      </c>
      <c r="M861" s="8" t="n">
        <v>2400</v>
      </c>
      <c r="N861" s="6" t="n">
        <f aca="false">L861*0.6*H861</f>
        <v>1440</v>
      </c>
      <c r="O861" s="6" t="n">
        <f aca="false">M861-N861</f>
        <v>960</v>
      </c>
      <c r="P861" s="7" t="n">
        <f aca="false">IF(M861=0,0,O861/M861)</f>
        <v>0.4</v>
      </c>
    </row>
    <row r="862" customFormat="false" ht="15" hidden="false" customHeight="false" outlineLevel="0" collapsed="false">
      <c r="A862" s="2" t="n">
        <v>2092</v>
      </c>
      <c r="B862" s="2" t="s">
        <v>3180</v>
      </c>
      <c r="C862" s="2" t="s">
        <v>3179</v>
      </c>
      <c r="D862" s="2" t="s">
        <v>16</v>
      </c>
      <c r="E862" s="2" t="s">
        <v>3937</v>
      </c>
      <c r="F862" s="2" t="s">
        <v>3613</v>
      </c>
      <c r="G862" s="2" t="s">
        <v>3604</v>
      </c>
      <c r="H862" s="5" t="n">
        <v>2</v>
      </c>
      <c r="I862" s="5" t="s">
        <v>18</v>
      </c>
      <c r="J862" s="5" t="s">
        <v>28</v>
      </c>
      <c r="K862" s="5" t="s">
        <v>30</v>
      </c>
      <c r="L862" s="5" t="n">
        <v>250</v>
      </c>
      <c r="M862" s="5" t="n">
        <v>500</v>
      </c>
      <c r="N862" s="6" t="n">
        <f aca="false">L862*0.6*H862</f>
        <v>300</v>
      </c>
      <c r="O862" s="6" t="n">
        <f aca="false">M862-N862</f>
        <v>200</v>
      </c>
      <c r="P862" s="7" t="n">
        <f aca="false">IF(M862=0,0,O862/M862)</f>
        <v>0.4</v>
      </c>
    </row>
    <row r="863" customFormat="false" ht="15" hidden="false" customHeight="false" outlineLevel="0" collapsed="false">
      <c r="A863" s="3" t="n">
        <v>2093</v>
      </c>
      <c r="B863" s="3" t="s">
        <v>1347</v>
      </c>
      <c r="C863" s="3" t="s">
        <v>3184</v>
      </c>
      <c r="D863" s="3" t="s">
        <v>49</v>
      </c>
      <c r="E863" s="3" t="s">
        <v>3800</v>
      </c>
      <c r="F863" s="3" t="s">
        <v>3599</v>
      </c>
      <c r="G863" s="3" t="s">
        <v>3600</v>
      </c>
      <c r="H863" s="8" t="n">
        <v>2</v>
      </c>
      <c r="I863" s="8" t="s">
        <v>18</v>
      </c>
      <c r="J863" s="8" t="s">
        <v>59</v>
      </c>
      <c r="K863" s="8" t="s">
        <v>99</v>
      </c>
      <c r="L863" s="8" t="n">
        <v>250</v>
      </c>
      <c r="M863" s="8" t="n">
        <v>500</v>
      </c>
      <c r="N863" s="6" t="n">
        <f aca="false">L863*0.6*H863</f>
        <v>300</v>
      </c>
      <c r="O863" s="6" t="n">
        <f aca="false">M863-N863</f>
        <v>200</v>
      </c>
      <c r="P863" s="7" t="n">
        <f aca="false">IF(M863=0,0,O863/M863)</f>
        <v>0.4</v>
      </c>
    </row>
    <row r="864" customFormat="false" ht="15" hidden="false" customHeight="false" outlineLevel="0" collapsed="false">
      <c r="A864" s="2" t="n">
        <v>2094</v>
      </c>
      <c r="B864" s="2" t="s">
        <v>2476</v>
      </c>
      <c r="C864" s="2" t="s">
        <v>760</v>
      </c>
      <c r="D864" s="2" t="s">
        <v>34</v>
      </c>
      <c r="E864" s="2" t="s">
        <v>3634</v>
      </c>
      <c r="F864" s="2" t="s">
        <v>3610</v>
      </c>
      <c r="G864" s="2" t="s">
        <v>3600</v>
      </c>
      <c r="H864" s="5" t="n">
        <v>1</v>
      </c>
      <c r="I864" s="5" t="s">
        <v>18</v>
      </c>
      <c r="J864" s="5" t="s">
        <v>59</v>
      </c>
      <c r="K864" s="5" t="s">
        <v>61</v>
      </c>
      <c r="L864" s="5" t="n">
        <v>300</v>
      </c>
      <c r="M864" s="5" t="n">
        <v>300</v>
      </c>
      <c r="N864" s="6" t="n">
        <f aca="false">L864*0.6*H864</f>
        <v>180</v>
      </c>
      <c r="O864" s="6" t="n">
        <f aca="false">M864-N864</f>
        <v>120</v>
      </c>
      <c r="P864" s="7" t="n">
        <f aca="false">IF(M864=0,0,O864/M864)</f>
        <v>0.4</v>
      </c>
    </row>
    <row r="865" customFormat="false" ht="15" hidden="false" customHeight="false" outlineLevel="0" collapsed="false">
      <c r="A865" s="3" t="n">
        <v>2095</v>
      </c>
      <c r="B865" s="3" t="s">
        <v>1522</v>
      </c>
      <c r="C865" s="3" t="s">
        <v>3189</v>
      </c>
      <c r="D865" s="3" t="s">
        <v>16</v>
      </c>
      <c r="E865" s="3" t="s">
        <v>3620</v>
      </c>
      <c r="F865" s="3" t="s">
        <v>2379</v>
      </c>
      <c r="G865" s="3" t="s">
        <v>3592</v>
      </c>
      <c r="H865" s="8" t="n">
        <v>2</v>
      </c>
      <c r="I865" s="8" t="s">
        <v>18</v>
      </c>
      <c r="J865" s="8" t="s">
        <v>28</v>
      </c>
      <c r="K865" s="8" t="s">
        <v>30</v>
      </c>
      <c r="L865" s="8" t="n">
        <v>250</v>
      </c>
      <c r="M865" s="8" t="n">
        <v>500</v>
      </c>
      <c r="N865" s="6" t="n">
        <f aca="false">L865*0.6*H865</f>
        <v>300</v>
      </c>
      <c r="O865" s="6" t="n">
        <f aca="false">M865-N865</f>
        <v>200</v>
      </c>
      <c r="P865" s="7" t="n">
        <f aca="false">IF(M865=0,0,O865/M865)</f>
        <v>0.4</v>
      </c>
    </row>
    <row r="866" customFormat="false" ht="15" hidden="false" customHeight="false" outlineLevel="0" collapsed="false">
      <c r="A866" s="2" t="n">
        <v>2096</v>
      </c>
      <c r="B866" s="2" t="s">
        <v>752</v>
      </c>
      <c r="C866" s="2" t="s">
        <v>1618</v>
      </c>
      <c r="D866" s="2" t="s">
        <v>16</v>
      </c>
      <c r="E866" s="2" t="s">
        <v>3745</v>
      </c>
      <c r="F866" s="2" t="s">
        <v>3599</v>
      </c>
      <c r="G866" s="2" t="s">
        <v>3600</v>
      </c>
      <c r="H866" s="5" t="n">
        <v>1</v>
      </c>
      <c r="I866" s="5" t="s">
        <v>18</v>
      </c>
      <c r="J866" s="5" t="s">
        <v>78</v>
      </c>
      <c r="K866" s="5" t="s">
        <v>86</v>
      </c>
      <c r="L866" s="5" t="n">
        <v>250</v>
      </c>
      <c r="M866" s="5" t="n">
        <v>250</v>
      </c>
      <c r="N866" s="6" t="n">
        <f aca="false">L866*0.6*H866</f>
        <v>150</v>
      </c>
      <c r="O866" s="6" t="n">
        <f aca="false">M866-N866</f>
        <v>100</v>
      </c>
      <c r="P866" s="7" t="n">
        <f aca="false">IF(M866=0,0,O866/M866)</f>
        <v>0.4</v>
      </c>
    </row>
    <row r="867" customFormat="false" ht="15" hidden="false" customHeight="false" outlineLevel="0" collapsed="false">
      <c r="A867" s="3" t="n">
        <v>2097</v>
      </c>
      <c r="B867" s="3" t="s">
        <v>1363</v>
      </c>
      <c r="C867" s="3" t="s">
        <v>135</v>
      </c>
      <c r="D867" s="3" t="s">
        <v>34</v>
      </c>
      <c r="E867" s="3" t="s">
        <v>3890</v>
      </c>
      <c r="F867" s="3" t="s">
        <v>3606</v>
      </c>
      <c r="G867" s="3" t="s">
        <v>3600</v>
      </c>
      <c r="H867" s="8" t="n">
        <v>2</v>
      </c>
      <c r="I867" s="8" t="s">
        <v>97</v>
      </c>
      <c r="J867" s="8" t="s">
        <v>78</v>
      </c>
      <c r="K867" s="8" t="s">
        <v>80</v>
      </c>
      <c r="L867" s="8" t="n">
        <v>300</v>
      </c>
      <c r="M867" s="8" t="n">
        <v>600</v>
      </c>
      <c r="N867" s="6" t="n">
        <f aca="false">L867*0.6*H867</f>
        <v>360</v>
      </c>
      <c r="O867" s="6" t="n">
        <f aca="false">M867-N867</f>
        <v>240</v>
      </c>
      <c r="P867" s="7" t="n">
        <f aca="false">IF(M867=0,0,O867/M867)</f>
        <v>0.4</v>
      </c>
    </row>
    <row r="868" customFormat="false" ht="15" hidden="false" customHeight="false" outlineLevel="0" collapsed="false">
      <c r="A868" s="2" t="n">
        <v>2098</v>
      </c>
      <c r="B868" s="2" t="s">
        <v>1960</v>
      </c>
      <c r="C868" s="2" t="s">
        <v>1549</v>
      </c>
      <c r="D868" s="2" t="s">
        <v>108</v>
      </c>
      <c r="E868" s="2" t="s">
        <v>3695</v>
      </c>
      <c r="F868" s="2" t="s">
        <v>1756</v>
      </c>
      <c r="G868" s="2" t="s">
        <v>3595</v>
      </c>
      <c r="H868" s="5" t="n">
        <v>1</v>
      </c>
      <c r="I868" s="5" t="s">
        <v>18</v>
      </c>
      <c r="J868" s="5" t="s">
        <v>28</v>
      </c>
      <c r="K868" s="5" t="s">
        <v>30</v>
      </c>
      <c r="L868" s="5" t="n">
        <v>1200</v>
      </c>
      <c r="M868" s="5" t="n">
        <v>1200</v>
      </c>
      <c r="N868" s="6" t="n">
        <f aca="false">L868*0.6*H868</f>
        <v>720</v>
      </c>
      <c r="O868" s="6" t="n">
        <f aca="false">M868-N868</f>
        <v>480</v>
      </c>
      <c r="P868" s="7" t="n">
        <f aca="false">IF(M868=0,0,O868/M868)</f>
        <v>0.4</v>
      </c>
    </row>
    <row r="869" customFormat="false" ht="15" hidden="false" customHeight="false" outlineLevel="0" collapsed="false">
      <c r="A869" s="3" t="n">
        <v>2099</v>
      </c>
      <c r="B869" s="3" t="s">
        <v>3198</v>
      </c>
      <c r="C869" s="3" t="s">
        <v>1740</v>
      </c>
      <c r="D869" s="3" t="s">
        <v>25</v>
      </c>
      <c r="E869" s="3" t="s">
        <v>3863</v>
      </c>
      <c r="F869" s="3" t="s">
        <v>1756</v>
      </c>
      <c r="G869" s="3" t="s">
        <v>3595</v>
      </c>
      <c r="H869" s="8" t="n">
        <v>2</v>
      </c>
      <c r="I869" s="8" t="s">
        <v>97</v>
      </c>
      <c r="J869" s="8" t="s">
        <v>52</v>
      </c>
      <c r="K869" s="8" t="s">
        <v>92</v>
      </c>
      <c r="L869" s="8" t="n">
        <v>800</v>
      </c>
      <c r="M869" s="8" t="n">
        <v>1600</v>
      </c>
      <c r="N869" s="6" t="n">
        <f aca="false">L869*0.6*H869</f>
        <v>960</v>
      </c>
      <c r="O869" s="6" t="n">
        <f aca="false">M869-N869</f>
        <v>640</v>
      </c>
      <c r="P869" s="7" t="n">
        <f aca="false">IF(M869=0,0,O869/M869)</f>
        <v>0.4</v>
      </c>
    </row>
    <row r="870" customFormat="false" ht="15" hidden="false" customHeight="false" outlineLevel="0" collapsed="false">
      <c r="A870" s="2" t="n">
        <v>2100</v>
      </c>
      <c r="B870" s="2" t="s">
        <v>1643</v>
      </c>
      <c r="C870" s="2" t="s">
        <v>1801</v>
      </c>
      <c r="D870" s="2" t="s">
        <v>108</v>
      </c>
      <c r="E870" s="2" t="s">
        <v>3928</v>
      </c>
      <c r="F870" s="2" t="s">
        <v>3613</v>
      </c>
      <c r="G870" s="2" t="s">
        <v>3604</v>
      </c>
      <c r="H870" s="5" t="n">
        <v>3</v>
      </c>
      <c r="I870" s="5" t="s">
        <v>27</v>
      </c>
      <c r="J870" s="5" t="s">
        <v>59</v>
      </c>
      <c r="K870" s="5" t="s">
        <v>99</v>
      </c>
      <c r="L870" s="5" t="n">
        <v>1200</v>
      </c>
      <c r="M870" s="5" t="n">
        <v>3600</v>
      </c>
      <c r="N870" s="6" t="n">
        <f aca="false">L870*0.6*H870</f>
        <v>2160</v>
      </c>
      <c r="O870" s="6" t="n">
        <f aca="false">M870-N870</f>
        <v>1440</v>
      </c>
      <c r="P870" s="7" t="n">
        <f aca="false">IF(M870=0,0,O870/M870)</f>
        <v>0.4</v>
      </c>
    </row>
    <row r="871" customFormat="false" ht="15" hidden="false" customHeight="false" outlineLevel="0" collapsed="false">
      <c r="A871" s="3" t="n">
        <v>2101</v>
      </c>
      <c r="B871" s="3" t="s">
        <v>3203</v>
      </c>
      <c r="C871" s="3" t="s">
        <v>788</v>
      </c>
      <c r="D871" s="3" t="s">
        <v>108</v>
      </c>
      <c r="E871" s="3" t="s">
        <v>3860</v>
      </c>
      <c r="F871" s="3" t="s">
        <v>3591</v>
      </c>
      <c r="G871" s="3" t="s">
        <v>3592</v>
      </c>
      <c r="H871" s="8" t="n">
        <v>1</v>
      </c>
      <c r="I871" s="8" t="s">
        <v>51</v>
      </c>
      <c r="J871" s="8" t="s">
        <v>59</v>
      </c>
      <c r="K871" s="8" t="s">
        <v>61</v>
      </c>
      <c r="L871" s="8" t="n">
        <v>1200</v>
      </c>
      <c r="M871" s="8" t="n">
        <v>1200</v>
      </c>
      <c r="N871" s="6" t="n">
        <f aca="false">L871*0.6*H871</f>
        <v>720</v>
      </c>
      <c r="O871" s="6" t="n">
        <f aca="false">M871-N871</f>
        <v>480</v>
      </c>
      <c r="P871" s="7" t="n">
        <f aca="false">IF(M871=0,0,O871/M871)</f>
        <v>0.4</v>
      </c>
    </row>
    <row r="872" customFormat="false" ht="15" hidden="false" customHeight="false" outlineLevel="0" collapsed="false">
      <c r="A872" s="2" t="n">
        <v>2102</v>
      </c>
      <c r="B872" s="2" t="s">
        <v>357</v>
      </c>
      <c r="C872" s="2" t="s">
        <v>3206</v>
      </c>
      <c r="D872" s="2" t="s">
        <v>34</v>
      </c>
      <c r="E872" s="2" t="s">
        <v>3804</v>
      </c>
      <c r="F872" s="2" t="s">
        <v>3625</v>
      </c>
      <c r="G872" s="2" t="s">
        <v>3592</v>
      </c>
      <c r="H872" s="5" t="n">
        <v>3</v>
      </c>
      <c r="I872" s="5" t="s">
        <v>18</v>
      </c>
      <c r="J872" s="5" t="s">
        <v>43</v>
      </c>
      <c r="K872" s="5" t="s">
        <v>45</v>
      </c>
      <c r="L872" s="5" t="n">
        <v>300</v>
      </c>
      <c r="M872" s="5" t="n">
        <v>900</v>
      </c>
      <c r="N872" s="6" t="n">
        <f aca="false">L872*0.6*H872</f>
        <v>540</v>
      </c>
      <c r="O872" s="6" t="n">
        <f aca="false">M872-N872</f>
        <v>360</v>
      </c>
      <c r="P872" s="7" t="n">
        <f aca="false">IF(M872=0,0,O872/M872)</f>
        <v>0.4</v>
      </c>
    </row>
    <row r="873" customFormat="false" ht="15" hidden="false" customHeight="false" outlineLevel="0" collapsed="false">
      <c r="A873" s="3" t="n">
        <v>2103</v>
      </c>
      <c r="B873" s="3" t="s">
        <v>3209</v>
      </c>
      <c r="C873" s="3" t="s">
        <v>324</v>
      </c>
      <c r="D873" s="3" t="s">
        <v>108</v>
      </c>
      <c r="E873" s="3" t="s">
        <v>3634</v>
      </c>
      <c r="F873" s="3" t="s">
        <v>3610</v>
      </c>
      <c r="G873" s="3" t="s">
        <v>3600</v>
      </c>
      <c r="H873" s="8" t="n">
        <v>1</v>
      </c>
      <c r="I873" s="8" t="s">
        <v>51</v>
      </c>
      <c r="J873" s="8" t="s">
        <v>78</v>
      </c>
      <c r="K873" s="8" t="s">
        <v>80</v>
      </c>
      <c r="L873" s="8" t="n">
        <v>1200</v>
      </c>
      <c r="M873" s="8" t="n">
        <v>1200</v>
      </c>
      <c r="N873" s="6" t="n">
        <f aca="false">L873*0.6*H873</f>
        <v>720</v>
      </c>
      <c r="O873" s="6" t="n">
        <f aca="false">M873-N873</f>
        <v>480</v>
      </c>
      <c r="P873" s="7" t="n">
        <f aca="false">IF(M873=0,0,O873/M873)</f>
        <v>0.4</v>
      </c>
    </row>
    <row r="874" customFormat="false" ht="15" hidden="false" customHeight="false" outlineLevel="0" collapsed="false">
      <c r="A874" s="2" t="n">
        <v>2104</v>
      </c>
      <c r="B874" s="2" t="s">
        <v>2574</v>
      </c>
      <c r="C874" s="2" t="s">
        <v>1195</v>
      </c>
      <c r="D874" s="2" t="s">
        <v>49</v>
      </c>
      <c r="E874" s="2" t="s">
        <v>3820</v>
      </c>
      <c r="F874" s="2" t="s">
        <v>3591</v>
      </c>
      <c r="G874" s="2" t="s">
        <v>3592</v>
      </c>
      <c r="H874" s="5" t="n">
        <v>1</v>
      </c>
      <c r="I874" s="5" t="s">
        <v>18</v>
      </c>
      <c r="J874" s="5" t="s">
        <v>36</v>
      </c>
      <c r="K874" s="5" t="s">
        <v>192</v>
      </c>
      <c r="L874" s="5" t="n">
        <v>250</v>
      </c>
      <c r="M874" s="5" t="n">
        <v>250</v>
      </c>
      <c r="N874" s="6" t="n">
        <f aca="false">L874*0.6*H874</f>
        <v>150</v>
      </c>
      <c r="O874" s="6" t="n">
        <f aca="false">M874-N874</f>
        <v>100</v>
      </c>
      <c r="P874" s="7" t="n">
        <f aca="false">IF(M874=0,0,O874/M874)</f>
        <v>0.4</v>
      </c>
    </row>
    <row r="875" customFormat="false" ht="15" hidden="false" customHeight="false" outlineLevel="0" collapsed="false">
      <c r="A875" s="3" t="n">
        <v>2105</v>
      </c>
      <c r="B875" s="3" t="s">
        <v>3214</v>
      </c>
      <c r="C875" s="3" t="s">
        <v>1436</v>
      </c>
      <c r="D875" s="3" t="s">
        <v>108</v>
      </c>
      <c r="E875" s="3" t="s">
        <v>3694</v>
      </c>
      <c r="F875" s="3" t="s">
        <v>3603</v>
      </c>
      <c r="G875" s="3" t="s">
        <v>3604</v>
      </c>
      <c r="H875" s="8" t="n">
        <v>3</v>
      </c>
      <c r="I875" s="8" t="s">
        <v>27</v>
      </c>
      <c r="J875" s="8" t="s">
        <v>78</v>
      </c>
      <c r="K875" s="8" t="s">
        <v>408</v>
      </c>
      <c r="L875" s="8" t="n">
        <v>1200</v>
      </c>
      <c r="M875" s="8" t="n">
        <v>3600</v>
      </c>
      <c r="N875" s="6" t="n">
        <f aca="false">L875*0.6*H875</f>
        <v>2160</v>
      </c>
      <c r="O875" s="6" t="n">
        <f aca="false">M875-N875</f>
        <v>1440</v>
      </c>
      <c r="P875" s="7" t="n">
        <f aca="false">IF(M875=0,0,O875/M875)</f>
        <v>0.4</v>
      </c>
    </row>
    <row r="876" customFormat="false" ht="15" hidden="false" customHeight="false" outlineLevel="0" collapsed="false">
      <c r="A876" s="2" t="n">
        <v>2106</v>
      </c>
      <c r="B876" s="2" t="s">
        <v>1956</v>
      </c>
      <c r="C876" s="2" t="s">
        <v>3217</v>
      </c>
      <c r="D876" s="2" t="s">
        <v>34</v>
      </c>
      <c r="E876" s="2" t="s">
        <v>3834</v>
      </c>
      <c r="F876" s="2" t="s">
        <v>3606</v>
      </c>
      <c r="G876" s="2" t="s">
        <v>3600</v>
      </c>
      <c r="H876" s="5" t="n">
        <v>1</v>
      </c>
      <c r="I876" s="5" t="s">
        <v>97</v>
      </c>
      <c r="J876" s="5" t="s">
        <v>78</v>
      </c>
      <c r="K876" s="5" t="s">
        <v>80</v>
      </c>
      <c r="L876" s="5" t="n">
        <v>300</v>
      </c>
      <c r="M876" s="5" t="n">
        <v>300</v>
      </c>
      <c r="N876" s="6" t="n">
        <f aca="false">L876*0.6*H876</f>
        <v>180</v>
      </c>
      <c r="O876" s="6" t="n">
        <f aca="false">M876-N876</f>
        <v>120</v>
      </c>
      <c r="P876" s="7" t="n">
        <f aca="false">IF(M876=0,0,O876/M876)</f>
        <v>0.4</v>
      </c>
    </row>
    <row r="877" customFormat="false" ht="15" hidden="false" customHeight="false" outlineLevel="0" collapsed="false">
      <c r="A877" s="3" t="n">
        <v>2107</v>
      </c>
      <c r="B877" s="3" t="s">
        <v>3220</v>
      </c>
      <c r="C877" s="3" t="s">
        <v>1935</v>
      </c>
      <c r="D877" s="3" t="s">
        <v>16</v>
      </c>
      <c r="E877" s="3" t="s">
        <v>3657</v>
      </c>
      <c r="F877" s="3" t="s">
        <v>1756</v>
      </c>
      <c r="G877" s="3" t="s">
        <v>3595</v>
      </c>
      <c r="H877" s="8" t="n">
        <v>3</v>
      </c>
      <c r="I877" s="8" t="s">
        <v>27</v>
      </c>
      <c r="J877" s="8" t="s">
        <v>28</v>
      </c>
      <c r="K877" s="8" t="s">
        <v>30</v>
      </c>
      <c r="L877" s="8" t="n">
        <v>250</v>
      </c>
      <c r="M877" s="8" t="n">
        <v>750</v>
      </c>
      <c r="N877" s="6" t="n">
        <f aca="false">L877*0.6*H877</f>
        <v>450</v>
      </c>
      <c r="O877" s="6" t="n">
        <f aca="false">M877-N877</f>
        <v>300</v>
      </c>
      <c r="P877" s="7" t="n">
        <f aca="false">IF(M877=0,0,O877/M877)</f>
        <v>0.4</v>
      </c>
    </row>
    <row r="878" customFormat="false" ht="15" hidden="false" customHeight="false" outlineLevel="0" collapsed="false">
      <c r="A878" s="2" t="n">
        <v>2108</v>
      </c>
      <c r="B878" s="2" t="s">
        <v>3224</v>
      </c>
      <c r="C878" s="2" t="s">
        <v>3223</v>
      </c>
      <c r="D878" s="2" t="s">
        <v>49</v>
      </c>
      <c r="E878" s="2" t="s">
        <v>3938</v>
      </c>
      <c r="F878" s="2" t="s">
        <v>1756</v>
      </c>
      <c r="G878" s="2" t="s">
        <v>3595</v>
      </c>
      <c r="H878" s="5" t="n">
        <v>3</v>
      </c>
      <c r="I878" s="5" t="s">
        <v>51</v>
      </c>
      <c r="J878" s="5" t="s">
        <v>28</v>
      </c>
      <c r="K878" s="5" t="s">
        <v>30</v>
      </c>
      <c r="L878" s="5" t="n">
        <v>250</v>
      </c>
      <c r="M878" s="5" t="n">
        <v>750</v>
      </c>
      <c r="N878" s="6" t="n">
        <f aca="false">L878*0.6*H878</f>
        <v>450</v>
      </c>
      <c r="O878" s="6" t="n">
        <f aca="false">M878-N878</f>
        <v>300</v>
      </c>
      <c r="P878" s="7" t="n">
        <f aca="false">IF(M878=0,0,O878/M878)</f>
        <v>0.4</v>
      </c>
    </row>
    <row r="879" customFormat="false" ht="15" hidden="false" customHeight="false" outlineLevel="0" collapsed="false">
      <c r="A879" s="3" t="n">
        <v>2109</v>
      </c>
      <c r="B879" s="3" t="s">
        <v>3228</v>
      </c>
      <c r="C879" s="3" t="s">
        <v>853</v>
      </c>
      <c r="D879" s="3" t="s">
        <v>147</v>
      </c>
      <c r="E879" s="3" t="s">
        <v>3694</v>
      </c>
      <c r="F879" s="3" t="s">
        <v>3603</v>
      </c>
      <c r="G879" s="3" t="s">
        <v>3604</v>
      </c>
      <c r="H879" s="8" t="n">
        <v>3</v>
      </c>
      <c r="I879" s="8" t="s">
        <v>18</v>
      </c>
      <c r="J879" s="8" t="s">
        <v>28</v>
      </c>
      <c r="K879" s="8" t="s">
        <v>30</v>
      </c>
      <c r="L879" s="8" t="n">
        <v>600</v>
      </c>
      <c r="M879" s="8" t="n">
        <v>1800</v>
      </c>
      <c r="N879" s="6" t="n">
        <f aca="false">L879*0.6*H879</f>
        <v>1080</v>
      </c>
      <c r="O879" s="6" t="n">
        <f aca="false">M879-N879</f>
        <v>720</v>
      </c>
      <c r="P879" s="7" t="n">
        <f aca="false">IF(M879=0,0,O879/M879)</f>
        <v>0.4</v>
      </c>
    </row>
    <row r="880" customFormat="false" ht="15" hidden="false" customHeight="false" outlineLevel="0" collapsed="false">
      <c r="A880" s="2" t="n">
        <v>2110</v>
      </c>
      <c r="B880" s="2" t="s">
        <v>1074</v>
      </c>
      <c r="C880" s="2" t="s">
        <v>1247</v>
      </c>
      <c r="D880" s="2" t="s">
        <v>108</v>
      </c>
      <c r="E880" s="2" t="s">
        <v>3844</v>
      </c>
      <c r="F880" s="2" t="s">
        <v>3603</v>
      </c>
      <c r="G880" s="2" t="s">
        <v>3604</v>
      </c>
      <c r="H880" s="5" t="n">
        <v>1</v>
      </c>
      <c r="I880" s="5" t="s">
        <v>51</v>
      </c>
      <c r="J880" s="5" t="s">
        <v>19</v>
      </c>
      <c r="K880" s="5" t="s">
        <v>176</v>
      </c>
      <c r="L880" s="5" t="n">
        <v>1200</v>
      </c>
      <c r="M880" s="5" t="n">
        <v>1200</v>
      </c>
      <c r="N880" s="6" t="n">
        <f aca="false">L880*0.6*H880</f>
        <v>720</v>
      </c>
      <c r="O880" s="6" t="n">
        <f aca="false">M880-N880</f>
        <v>480</v>
      </c>
      <c r="P880" s="7" t="n">
        <f aca="false">IF(M880=0,0,O880/M880)</f>
        <v>0.4</v>
      </c>
    </row>
    <row r="881" customFormat="false" ht="15" hidden="false" customHeight="false" outlineLevel="0" collapsed="false">
      <c r="A881" s="3" t="n">
        <v>2111</v>
      </c>
      <c r="B881" s="3" t="s">
        <v>3234</v>
      </c>
      <c r="C881" s="3" t="s">
        <v>3233</v>
      </c>
      <c r="D881" s="3" t="s">
        <v>108</v>
      </c>
      <c r="E881" s="3" t="s">
        <v>3935</v>
      </c>
      <c r="F881" s="3" t="s">
        <v>2379</v>
      </c>
      <c r="G881" s="3" t="s">
        <v>3592</v>
      </c>
      <c r="H881" s="8" t="n">
        <v>3</v>
      </c>
      <c r="I881" s="8" t="s">
        <v>97</v>
      </c>
      <c r="J881" s="8" t="s">
        <v>52</v>
      </c>
      <c r="K881" s="8" t="s">
        <v>54</v>
      </c>
      <c r="L881" s="8" t="n">
        <v>1200</v>
      </c>
      <c r="M881" s="8" t="n">
        <v>3600</v>
      </c>
      <c r="N881" s="6" t="n">
        <f aca="false">L881*0.6*H881</f>
        <v>2160</v>
      </c>
      <c r="O881" s="6" t="n">
        <f aca="false">M881-N881</f>
        <v>1440</v>
      </c>
      <c r="P881" s="7" t="n">
        <f aca="false">IF(M881=0,0,O881/M881)</f>
        <v>0.4</v>
      </c>
    </row>
    <row r="882" customFormat="false" ht="15" hidden="false" customHeight="false" outlineLevel="0" collapsed="false">
      <c r="A882" s="2" t="n">
        <v>2112</v>
      </c>
      <c r="B882" s="2" t="s">
        <v>3238</v>
      </c>
      <c r="C882" s="2" t="s">
        <v>3237</v>
      </c>
      <c r="D882" s="2" t="s">
        <v>49</v>
      </c>
      <c r="E882" s="2" t="s">
        <v>3674</v>
      </c>
      <c r="F882" s="2" t="s">
        <v>3594</v>
      </c>
      <c r="G882" s="2" t="s">
        <v>3595</v>
      </c>
      <c r="H882" s="5" t="n">
        <v>2</v>
      </c>
      <c r="I882" s="5" t="s">
        <v>51</v>
      </c>
      <c r="J882" s="5" t="s">
        <v>19</v>
      </c>
      <c r="K882" s="5" t="s">
        <v>176</v>
      </c>
      <c r="L882" s="5" t="n">
        <v>250</v>
      </c>
      <c r="M882" s="5" t="n">
        <v>500</v>
      </c>
      <c r="N882" s="6" t="n">
        <f aca="false">L882*0.6*H882</f>
        <v>300</v>
      </c>
      <c r="O882" s="6" t="n">
        <f aca="false">M882-N882</f>
        <v>200</v>
      </c>
      <c r="P882" s="7" t="n">
        <f aca="false">IF(M882=0,0,O882/M882)</f>
        <v>0.4</v>
      </c>
    </row>
    <row r="883" customFormat="false" ht="15" hidden="false" customHeight="false" outlineLevel="0" collapsed="false">
      <c r="A883" s="3" t="n">
        <v>2113</v>
      </c>
      <c r="B883" s="3" t="s">
        <v>3242</v>
      </c>
      <c r="C883" s="3" t="s">
        <v>3241</v>
      </c>
      <c r="D883" s="3" t="s">
        <v>108</v>
      </c>
      <c r="E883" s="3" t="s">
        <v>3758</v>
      </c>
      <c r="F883" s="3" t="s">
        <v>3599</v>
      </c>
      <c r="G883" s="3" t="s">
        <v>3600</v>
      </c>
      <c r="H883" s="8" t="n">
        <v>1</v>
      </c>
      <c r="I883" s="8" t="s">
        <v>51</v>
      </c>
      <c r="J883" s="8" t="s">
        <v>43</v>
      </c>
      <c r="K883" s="8" t="s">
        <v>111</v>
      </c>
      <c r="L883" s="8" t="n">
        <v>1200</v>
      </c>
      <c r="M883" s="8" t="n">
        <v>1200</v>
      </c>
      <c r="N883" s="6" t="n">
        <f aca="false">L883*0.6*H883</f>
        <v>720</v>
      </c>
      <c r="O883" s="6" t="n">
        <f aca="false">M883-N883</f>
        <v>480</v>
      </c>
      <c r="P883" s="7" t="n">
        <f aca="false">IF(M883=0,0,O883/M883)</f>
        <v>0.4</v>
      </c>
    </row>
    <row r="884" customFormat="false" ht="15" hidden="false" customHeight="false" outlineLevel="0" collapsed="false">
      <c r="A884" s="2" t="n">
        <v>2114</v>
      </c>
      <c r="B884" s="2" t="s">
        <v>597</v>
      </c>
      <c r="C884" s="2" t="s">
        <v>1915</v>
      </c>
      <c r="D884" s="2" t="s">
        <v>16</v>
      </c>
      <c r="E884" s="2" t="s">
        <v>3825</v>
      </c>
      <c r="F884" s="2" t="s">
        <v>3591</v>
      </c>
      <c r="G884" s="2" t="s">
        <v>3592</v>
      </c>
      <c r="H884" s="5" t="n">
        <v>1</v>
      </c>
      <c r="I884" s="5" t="s">
        <v>18</v>
      </c>
      <c r="J884" s="5" t="s">
        <v>36</v>
      </c>
      <c r="K884" s="5" t="s">
        <v>38</v>
      </c>
      <c r="L884" s="5" t="n">
        <v>250</v>
      </c>
      <c r="M884" s="5" t="n">
        <v>250</v>
      </c>
      <c r="N884" s="6" t="n">
        <f aca="false">L884*0.6*H884</f>
        <v>150</v>
      </c>
      <c r="O884" s="6" t="n">
        <f aca="false">M884-N884</f>
        <v>100</v>
      </c>
      <c r="P884" s="7" t="n">
        <f aca="false">IF(M884=0,0,O884/M884)</f>
        <v>0.4</v>
      </c>
    </row>
    <row r="885" customFormat="false" ht="15" hidden="false" customHeight="false" outlineLevel="0" collapsed="false">
      <c r="A885" s="3" t="n">
        <v>2115</v>
      </c>
      <c r="B885" s="3" t="s">
        <v>2526</v>
      </c>
      <c r="C885" s="3" t="s">
        <v>1231</v>
      </c>
      <c r="D885" s="3" t="s">
        <v>34</v>
      </c>
      <c r="E885" s="3" t="s">
        <v>3736</v>
      </c>
      <c r="F885" s="3" t="s">
        <v>3599</v>
      </c>
      <c r="G885" s="3" t="s">
        <v>3600</v>
      </c>
      <c r="H885" s="8" t="n">
        <v>2</v>
      </c>
      <c r="I885" s="8" t="s">
        <v>18</v>
      </c>
      <c r="J885" s="8" t="s">
        <v>52</v>
      </c>
      <c r="K885" s="8" t="s">
        <v>182</v>
      </c>
      <c r="L885" s="8" t="n">
        <v>300</v>
      </c>
      <c r="M885" s="8" t="n">
        <v>600</v>
      </c>
      <c r="N885" s="6" t="n">
        <f aca="false">L885*0.6*H885</f>
        <v>360</v>
      </c>
      <c r="O885" s="6" t="n">
        <f aca="false">M885-N885</f>
        <v>240</v>
      </c>
      <c r="P885" s="7" t="n">
        <f aca="false">IF(M885=0,0,O885/M885)</f>
        <v>0.4</v>
      </c>
    </row>
    <row r="886" customFormat="false" ht="15" hidden="false" customHeight="false" outlineLevel="0" collapsed="false">
      <c r="A886" s="2" t="n">
        <v>2116</v>
      </c>
      <c r="B886" s="2" t="s">
        <v>3250</v>
      </c>
      <c r="C886" s="2" t="s">
        <v>3249</v>
      </c>
      <c r="D886" s="2" t="s">
        <v>108</v>
      </c>
      <c r="E886" s="2" t="s">
        <v>3637</v>
      </c>
      <c r="F886" s="2" t="s">
        <v>1756</v>
      </c>
      <c r="G886" s="2" t="s">
        <v>3595</v>
      </c>
      <c r="H886" s="5" t="n">
        <v>2</v>
      </c>
      <c r="I886" s="5" t="s">
        <v>18</v>
      </c>
      <c r="J886" s="5" t="s">
        <v>36</v>
      </c>
      <c r="K886" s="5" t="s">
        <v>192</v>
      </c>
      <c r="L886" s="5" t="n">
        <v>1200</v>
      </c>
      <c r="M886" s="5" t="n">
        <v>2400</v>
      </c>
      <c r="N886" s="6" t="n">
        <f aca="false">L886*0.6*H886</f>
        <v>1440</v>
      </c>
      <c r="O886" s="6" t="n">
        <f aca="false">M886-N886</f>
        <v>960</v>
      </c>
      <c r="P886" s="7" t="n">
        <f aca="false">IF(M886=0,0,O886/M886)</f>
        <v>0.4</v>
      </c>
    </row>
    <row r="887" customFormat="false" ht="15" hidden="false" customHeight="false" outlineLevel="0" collapsed="false">
      <c r="A887" s="3" t="n">
        <v>2117</v>
      </c>
      <c r="B887" s="3" t="s">
        <v>2938</v>
      </c>
      <c r="C887" s="3" t="s">
        <v>3253</v>
      </c>
      <c r="D887" s="3" t="s">
        <v>16</v>
      </c>
      <c r="E887" s="3" t="s">
        <v>3636</v>
      </c>
      <c r="F887" s="3" t="s">
        <v>3610</v>
      </c>
      <c r="G887" s="3" t="s">
        <v>3600</v>
      </c>
      <c r="H887" s="8" t="n">
        <v>2</v>
      </c>
      <c r="I887" s="8" t="s">
        <v>97</v>
      </c>
      <c r="J887" s="8" t="s">
        <v>43</v>
      </c>
      <c r="K887" s="8" t="s">
        <v>111</v>
      </c>
      <c r="L887" s="8" t="n">
        <v>250</v>
      </c>
      <c r="M887" s="8" t="n">
        <v>500</v>
      </c>
      <c r="N887" s="6" t="n">
        <f aca="false">L887*0.6*H887</f>
        <v>300</v>
      </c>
      <c r="O887" s="6" t="n">
        <f aca="false">M887-N887</f>
        <v>200</v>
      </c>
      <c r="P887" s="7" t="n">
        <f aca="false">IF(M887=0,0,O887/M887)</f>
        <v>0.4</v>
      </c>
    </row>
    <row r="888" customFormat="false" ht="15" hidden="false" customHeight="false" outlineLevel="0" collapsed="false">
      <c r="A888" s="2" t="n">
        <v>2118</v>
      </c>
      <c r="B888" s="2" t="s">
        <v>2042</v>
      </c>
      <c r="C888" s="2" t="s">
        <v>3256</v>
      </c>
      <c r="D888" s="2" t="s">
        <v>147</v>
      </c>
      <c r="E888" s="2" t="s">
        <v>3689</v>
      </c>
      <c r="F888" s="2" t="s">
        <v>3625</v>
      </c>
      <c r="G888" s="2" t="s">
        <v>3592</v>
      </c>
      <c r="H888" s="5" t="n">
        <v>1</v>
      </c>
      <c r="I888" s="5" t="s">
        <v>27</v>
      </c>
      <c r="J888" s="5" t="s">
        <v>78</v>
      </c>
      <c r="K888" s="5" t="s">
        <v>408</v>
      </c>
      <c r="L888" s="5" t="n">
        <v>600</v>
      </c>
      <c r="M888" s="5" t="n">
        <v>600</v>
      </c>
      <c r="N888" s="6" t="n">
        <f aca="false">L888*0.6*H888</f>
        <v>360</v>
      </c>
      <c r="O888" s="6" t="n">
        <f aca="false">M888-N888</f>
        <v>240</v>
      </c>
      <c r="P888" s="7" t="n">
        <f aca="false">IF(M888=0,0,O888/M888)</f>
        <v>0.4</v>
      </c>
    </row>
    <row r="889" customFormat="false" ht="15" hidden="false" customHeight="false" outlineLevel="0" collapsed="false">
      <c r="A889" s="3" t="n">
        <v>2119</v>
      </c>
      <c r="B889" s="3" t="s">
        <v>520</v>
      </c>
      <c r="C889" s="3" t="s">
        <v>1721</v>
      </c>
      <c r="D889" s="3" t="s">
        <v>49</v>
      </c>
      <c r="E889" s="3" t="s">
        <v>3667</v>
      </c>
      <c r="F889" s="3" t="s">
        <v>3613</v>
      </c>
      <c r="G889" s="3" t="s">
        <v>3604</v>
      </c>
      <c r="H889" s="8" t="n">
        <v>3</v>
      </c>
      <c r="I889" s="8" t="s">
        <v>27</v>
      </c>
      <c r="J889" s="8" t="s">
        <v>36</v>
      </c>
      <c r="K889" s="8" t="s">
        <v>38</v>
      </c>
      <c r="L889" s="8" t="n">
        <v>250</v>
      </c>
      <c r="M889" s="8" t="n">
        <v>750</v>
      </c>
      <c r="N889" s="6" t="n">
        <f aca="false">L889*0.6*H889</f>
        <v>450</v>
      </c>
      <c r="O889" s="6" t="n">
        <f aca="false">M889-N889</f>
        <v>300</v>
      </c>
      <c r="P889" s="7" t="n">
        <f aca="false">IF(M889=0,0,O889/M889)</f>
        <v>0.4</v>
      </c>
    </row>
    <row r="890" customFormat="false" ht="15" hidden="false" customHeight="false" outlineLevel="0" collapsed="false">
      <c r="A890" s="2" t="n">
        <v>2120</v>
      </c>
      <c r="B890" s="2" t="s">
        <v>3261</v>
      </c>
      <c r="C890" s="2" t="s">
        <v>467</v>
      </c>
      <c r="D890" s="2" t="s">
        <v>108</v>
      </c>
      <c r="E890" s="2" t="s">
        <v>3658</v>
      </c>
      <c r="F890" s="2" t="s">
        <v>3606</v>
      </c>
      <c r="G890" s="2" t="s">
        <v>3600</v>
      </c>
      <c r="H890" s="5" t="n">
        <v>2</v>
      </c>
      <c r="I890" s="5" t="s">
        <v>51</v>
      </c>
      <c r="J890" s="5" t="s">
        <v>36</v>
      </c>
      <c r="K890" s="5" t="s">
        <v>170</v>
      </c>
      <c r="L890" s="5" t="n">
        <v>1200</v>
      </c>
      <c r="M890" s="5" t="n">
        <v>2400</v>
      </c>
      <c r="N890" s="6" t="n">
        <f aca="false">L890*0.6*H890</f>
        <v>1440</v>
      </c>
      <c r="O890" s="6" t="n">
        <f aca="false">M890-N890</f>
        <v>960</v>
      </c>
      <c r="P890" s="7" t="n">
        <f aca="false">IF(M890=0,0,O890/M890)</f>
        <v>0.4</v>
      </c>
    </row>
    <row r="891" customFormat="false" ht="15" hidden="false" customHeight="false" outlineLevel="0" collapsed="false">
      <c r="A891" s="3" t="n">
        <v>2121</v>
      </c>
      <c r="B891" s="3" t="s">
        <v>1823</v>
      </c>
      <c r="C891" s="3" t="s">
        <v>135</v>
      </c>
      <c r="D891" s="3" t="s">
        <v>34</v>
      </c>
      <c r="E891" s="3" t="s">
        <v>3806</v>
      </c>
      <c r="F891" s="3" t="s">
        <v>3608</v>
      </c>
      <c r="G891" s="3" t="s">
        <v>3604</v>
      </c>
      <c r="H891" s="8" t="n">
        <v>2</v>
      </c>
      <c r="I891" s="8" t="s">
        <v>18</v>
      </c>
      <c r="J891" s="8" t="s">
        <v>78</v>
      </c>
      <c r="K891" s="8" t="s">
        <v>80</v>
      </c>
      <c r="L891" s="8" t="n">
        <v>300</v>
      </c>
      <c r="M891" s="8" t="n">
        <v>600</v>
      </c>
      <c r="N891" s="6" t="n">
        <f aca="false">L891*0.6*H891</f>
        <v>360</v>
      </c>
      <c r="O891" s="6" t="n">
        <f aca="false">M891-N891</f>
        <v>240</v>
      </c>
      <c r="P891" s="7" t="n">
        <f aca="false">IF(M891=0,0,O891/M891)</f>
        <v>0.4</v>
      </c>
    </row>
    <row r="892" customFormat="false" ht="15" hidden="false" customHeight="false" outlineLevel="0" collapsed="false">
      <c r="A892" s="2" t="n">
        <v>2122</v>
      </c>
      <c r="B892" s="2" t="s">
        <v>3267</v>
      </c>
      <c r="C892" s="2" t="s">
        <v>3266</v>
      </c>
      <c r="D892" s="2" t="s">
        <v>34</v>
      </c>
      <c r="E892" s="2" t="s">
        <v>3839</v>
      </c>
      <c r="F892" s="2" t="s">
        <v>1756</v>
      </c>
      <c r="G892" s="2" t="s">
        <v>3595</v>
      </c>
      <c r="H892" s="5" t="n">
        <v>3</v>
      </c>
      <c r="I892" s="5" t="s">
        <v>18</v>
      </c>
      <c r="J892" s="5" t="s">
        <v>43</v>
      </c>
      <c r="K892" s="5" t="s">
        <v>111</v>
      </c>
      <c r="L892" s="5" t="n">
        <v>300</v>
      </c>
      <c r="M892" s="5" t="n">
        <v>900</v>
      </c>
      <c r="N892" s="6" t="n">
        <f aca="false">L892*0.6*H892</f>
        <v>540</v>
      </c>
      <c r="O892" s="6" t="n">
        <f aca="false">M892-N892</f>
        <v>360</v>
      </c>
      <c r="P892" s="7" t="n">
        <f aca="false">IF(M892=0,0,O892/M892)</f>
        <v>0.4</v>
      </c>
    </row>
    <row r="893" customFormat="false" ht="15" hidden="false" customHeight="false" outlineLevel="0" collapsed="false">
      <c r="A893" s="3" t="n">
        <v>2123</v>
      </c>
      <c r="B893" s="3" t="s">
        <v>3271</v>
      </c>
      <c r="C893" s="3" t="s">
        <v>3270</v>
      </c>
      <c r="D893" s="3" t="s">
        <v>108</v>
      </c>
      <c r="E893" s="3" t="s">
        <v>3721</v>
      </c>
      <c r="F893" s="3" t="s">
        <v>3610</v>
      </c>
      <c r="G893" s="3" t="s">
        <v>3600</v>
      </c>
      <c r="H893" s="8" t="n">
        <v>3</v>
      </c>
      <c r="I893" s="8" t="s">
        <v>18</v>
      </c>
      <c r="J893" s="8" t="s">
        <v>28</v>
      </c>
      <c r="K893" s="8" t="s">
        <v>30</v>
      </c>
      <c r="L893" s="8" t="n">
        <v>1200</v>
      </c>
      <c r="M893" s="8" t="n">
        <v>3600</v>
      </c>
      <c r="N893" s="6" t="n">
        <f aca="false">L893*0.6*H893</f>
        <v>2160</v>
      </c>
      <c r="O893" s="6" t="n">
        <f aca="false">M893-N893</f>
        <v>1440</v>
      </c>
      <c r="P893" s="7" t="n">
        <f aca="false">IF(M893=0,0,O893/M893)</f>
        <v>0.4</v>
      </c>
    </row>
    <row r="894" customFormat="false" ht="15" hidden="false" customHeight="false" outlineLevel="0" collapsed="false">
      <c r="A894" s="2" t="n">
        <v>2124</v>
      </c>
      <c r="B894" s="2" t="s">
        <v>3274</v>
      </c>
      <c r="C894" s="2" t="s">
        <v>358</v>
      </c>
      <c r="D894" s="2" t="s">
        <v>16</v>
      </c>
      <c r="E894" s="2" t="s">
        <v>3677</v>
      </c>
      <c r="F894" s="2" t="s">
        <v>1756</v>
      </c>
      <c r="G894" s="2" t="s">
        <v>3595</v>
      </c>
      <c r="H894" s="5" t="n">
        <v>2</v>
      </c>
      <c r="I894" s="5" t="s">
        <v>51</v>
      </c>
      <c r="J894" s="5" t="s">
        <v>19</v>
      </c>
      <c r="K894" s="5" t="s">
        <v>73</v>
      </c>
      <c r="L894" s="5" t="n">
        <v>250</v>
      </c>
      <c r="M894" s="5" t="n">
        <v>500</v>
      </c>
      <c r="N894" s="6" t="n">
        <f aca="false">L894*0.6*H894</f>
        <v>300</v>
      </c>
      <c r="O894" s="6" t="n">
        <f aca="false">M894-N894</f>
        <v>200</v>
      </c>
      <c r="P894" s="7" t="n">
        <f aca="false">IF(M894=0,0,O894/M894)</f>
        <v>0.4</v>
      </c>
    </row>
    <row r="895" customFormat="false" ht="15" hidden="false" customHeight="false" outlineLevel="0" collapsed="false">
      <c r="A895" s="3" t="n">
        <v>2125</v>
      </c>
      <c r="B895" s="3" t="s">
        <v>3278</v>
      </c>
      <c r="C895" s="3" t="s">
        <v>3277</v>
      </c>
      <c r="D895" s="3" t="s">
        <v>49</v>
      </c>
      <c r="E895" s="3" t="s">
        <v>3698</v>
      </c>
      <c r="F895" s="3" t="s">
        <v>3599</v>
      </c>
      <c r="G895" s="3" t="s">
        <v>3600</v>
      </c>
      <c r="H895" s="8" t="n">
        <v>1</v>
      </c>
      <c r="I895" s="8" t="s">
        <v>18</v>
      </c>
      <c r="J895" s="8" t="s">
        <v>36</v>
      </c>
      <c r="K895" s="8" t="s">
        <v>170</v>
      </c>
      <c r="L895" s="8" t="n">
        <v>250</v>
      </c>
      <c r="M895" s="8" t="n">
        <v>250</v>
      </c>
      <c r="N895" s="6" t="n">
        <f aca="false">L895*0.6*H895</f>
        <v>150</v>
      </c>
      <c r="O895" s="6" t="n">
        <f aca="false">M895-N895</f>
        <v>100</v>
      </c>
      <c r="P895" s="7" t="n">
        <f aca="false">IF(M895=0,0,O895/M895)</f>
        <v>0.4</v>
      </c>
    </row>
    <row r="896" customFormat="false" ht="15" hidden="false" customHeight="false" outlineLevel="0" collapsed="false">
      <c r="A896" s="2" t="n">
        <v>2126</v>
      </c>
      <c r="B896" s="2" t="s">
        <v>2685</v>
      </c>
      <c r="C896" s="2" t="s">
        <v>3281</v>
      </c>
      <c r="D896" s="2" t="s">
        <v>49</v>
      </c>
      <c r="E896" s="2" t="s">
        <v>3876</v>
      </c>
      <c r="F896" s="2" t="s">
        <v>3608</v>
      </c>
      <c r="G896" s="2" t="s">
        <v>3604</v>
      </c>
      <c r="H896" s="5" t="n">
        <v>3</v>
      </c>
      <c r="I896" s="5" t="s">
        <v>97</v>
      </c>
      <c r="J896" s="5" t="s">
        <v>36</v>
      </c>
      <c r="K896" s="5" t="s">
        <v>170</v>
      </c>
      <c r="L896" s="5" t="n">
        <v>250</v>
      </c>
      <c r="M896" s="5" t="n">
        <v>750</v>
      </c>
      <c r="N896" s="6" t="n">
        <f aca="false">L896*0.6*H896</f>
        <v>450</v>
      </c>
      <c r="O896" s="6" t="n">
        <f aca="false">M896-N896</f>
        <v>300</v>
      </c>
      <c r="P896" s="7" t="n">
        <f aca="false">IF(M896=0,0,O896/M896)</f>
        <v>0.4</v>
      </c>
    </row>
    <row r="897" customFormat="false" ht="15" hidden="false" customHeight="false" outlineLevel="0" collapsed="false">
      <c r="A897" s="3" t="n">
        <v>2127</v>
      </c>
      <c r="B897" s="3" t="s">
        <v>906</v>
      </c>
      <c r="C897" s="3" t="s">
        <v>2574</v>
      </c>
      <c r="D897" s="3" t="s">
        <v>34</v>
      </c>
      <c r="E897" s="3" t="s">
        <v>3716</v>
      </c>
      <c r="F897" s="3" t="s">
        <v>2379</v>
      </c>
      <c r="G897" s="3" t="s">
        <v>3592</v>
      </c>
      <c r="H897" s="8" t="n">
        <v>3</v>
      </c>
      <c r="I897" s="8" t="s">
        <v>27</v>
      </c>
      <c r="J897" s="8" t="s">
        <v>121</v>
      </c>
      <c r="K897" s="8" t="s">
        <v>317</v>
      </c>
      <c r="L897" s="8" t="n">
        <v>300</v>
      </c>
      <c r="M897" s="8" t="n">
        <v>900</v>
      </c>
      <c r="N897" s="6" t="n">
        <f aca="false">L897*0.6*H897</f>
        <v>540</v>
      </c>
      <c r="O897" s="6" t="n">
        <f aca="false">M897-N897</f>
        <v>360</v>
      </c>
      <c r="P897" s="7" t="n">
        <f aca="false">IF(M897=0,0,O897/M897)</f>
        <v>0.4</v>
      </c>
    </row>
    <row r="898" customFormat="false" ht="15" hidden="false" customHeight="false" outlineLevel="0" collapsed="false">
      <c r="A898" s="2" t="n">
        <v>2128</v>
      </c>
      <c r="B898" s="2" t="s">
        <v>1074</v>
      </c>
      <c r="C898" s="2" t="s">
        <v>3286</v>
      </c>
      <c r="D898" s="2" t="s">
        <v>25</v>
      </c>
      <c r="E898" s="2" t="s">
        <v>3911</v>
      </c>
      <c r="F898" s="2" t="s">
        <v>3599</v>
      </c>
      <c r="G898" s="2" t="s">
        <v>3600</v>
      </c>
      <c r="H898" s="5" t="n">
        <v>1</v>
      </c>
      <c r="I898" s="5" t="s">
        <v>18</v>
      </c>
      <c r="J898" s="5" t="s">
        <v>59</v>
      </c>
      <c r="K898" s="5" t="s">
        <v>61</v>
      </c>
      <c r="L898" s="5" t="n">
        <v>800</v>
      </c>
      <c r="M898" s="5" t="n">
        <v>800</v>
      </c>
      <c r="N898" s="6" t="n">
        <f aca="false">L898*0.6*H898</f>
        <v>480</v>
      </c>
      <c r="O898" s="6" t="n">
        <f aca="false">M898-N898</f>
        <v>320</v>
      </c>
      <c r="P898" s="7" t="n">
        <f aca="false">IF(M898=0,0,O898/M898)</f>
        <v>0.4</v>
      </c>
    </row>
    <row r="899" customFormat="false" ht="15" hidden="false" customHeight="false" outlineLevel="0" collapsed="false">
      <c r="A899" s="3" t="n">
        <v>2129</v>
      </c>
      <c r="B899" s="3" t="s">
        <v>230</v>
      </c>
      <c r="C899" s="3" t="s">
        <v>101</v>
      </c>
      <c r="D899" s="3" t="s">
        <v>49</v>
      </c>
      <c r="E899" s="3" t="s">
        <v>3764</v>
      </c>
      <c r="F899" s="3" t="s">
        <v>3610</v>
      </c>
      <c r="G899" s="3" t="s">
        <v>3600</v>
      </c>
      <c r="H899" s="8" t="n">
        <v>3</v>
      </c>
      <c r="I899" s="8" t="s">
        <v>18</v>
      </c>
      <c r="J899" s="8" t="s">
        <v>59</v>
      </c>
      <c r="K899" s="8" t="s">
        <v>292</v>
      </c>
      <c r="L899" s="8" t="n">
        <v>250</v>
      </c>
      <c r="M899" s="8" t="n">
        <v>750</v>
      </c>
      <c r="N899" s="6" t="n">
        <f aca="false">L899*0.6*H899</f>
        <v>450</v>
      </c>
      <c r="O899" s="6" t="n">
        <f aca="false">M899-N899</f>
        <v>300</v>
      </c>
      <c r="P899" s="7" t="n">
        <f aca="false">IF(M899=0,0,O899/M899)</f>
        <v>0.4</v>
      </c>
    </row>
    <row r="900" customFormat="false" ht="15" hidden="false" customHeight="false" outlineLevel="0" collapsed="false">
      <c r="A900" s="2" t="n">
        <v>2130</v>
      </c>
      <c r="B900" s="2" t="s">
        <v>1090</v>
      </c>
      <c r="C900" s="2" t="s">
        <v>3291</v>
      </c>
      <c r="D900" s="2" t="s">
        <v>108</v>
      </c>
      <c r="E900" s="2" t="s">
        <v>3939</v>
      </c>
      <c r="F900" s="2" t="s">
        <v>2379</v>
      </c>
      <c r="G900" s="2" t="s">
        <v>3592</v>
      </c>
      <c r="H900" s="5" t="n">
        <v>3</v>
      </c>
      <c r="I900" s="5" t="s">
        <v>97</v>
      </c>
      <c r="J900" s="5" t="s">
        <v>52</v>
      </c>
      <c r="K900" s="5" t="s">
        <v>92</v>
      </c>
      <c r="L900" s="5" t="n">
        <v>1200</v>
      </c>
      <c r="M900" s="5" t="n">
        <v>3600</v>
      </c>
      <c r="N900" s="6" t="n">
        <f aca="false">L900*0.6*H900</f>
        <v>2160</v>
      </c>
      <c r="O900" s="6" t="n">
        <f aca="false">M900-N900</f>
        <v>1440</v>
      </c>
      <c r="P900" s="7" t="n">
        <f aca="false">IF(M900=0,0,O900/M900)</f>
        <v>0.4</v>
      </c>
    </row>
    <row r="901" customFormat="false" ht="15" hidden="false" customHeight="false" outlineLevel="0" collapsed="false">
      <c r="A901" s="3" t="n">
        <v>2131</v>
      </c>
      <c r="B901" s="3" t="s">
        <v>3296</v>
      </c>
      <c r="C901" s="3" t="s">
        <v>3295</v>
      </c>
      <c r="D901" s="3" t="s">
        <v>25</v>
      </c>
      <c r="E901" s="3" t="s">
        <v>3893</v>
      </c>
      <c r="F901" s="3" t="s">
        <v>3613</v>
      </c>
      <c r="G901" s="3" t="s">
        <v>3604</v>
      </c>
      <c r="H901" s="8" t="n">
        <v>2</v>
      </c>
      <c r="I901" s="8" t="s">
        <v>51</v>
      </c>
      <c r="J901" s="8" t="s">
        <v>52</v>
      </c>
      <c r="K901" s="8" t="s">
        <v>54</v>
      </c>
      <c r="L901" s="8" t="n">
        <v>800</v>
      </c>
      <c r="M901" s="8" t="n">
        <v>1600</v>
      </c>
      <c r="N901" s="6" t="n">
        <f aca="false">L901*0.6*H901</f>
        <v>960</v>
      </c>
      <c r="O901" s="6" t="n">
        <f aca="false">M901-N901</f>
        <v>640</v>
      </c>
      <c r="P901" s="7" t="n">
        <f aca="false">IF(M901=0,0,O901/M901)</f>
        <v>0.4</v>
      </c>
    </row>
    <row r="902" customFormat="false" ht="15" hidden="false" customHeight="false" outlineLevel="0" collapsed="false">
      <c r="A902" s="2" t="n">
        <v>2132</v>
      </c>
      <c r="B902" s="2" t="s">
        <v>3300</v>
      </c>
      <c r="C902" s="2" t="s">
        <v>3299</v>
      </c>
      <c r="D902" s="2" t="s">
        <v>108</v>
      </c>
      <c r="E902" s="2" t="s">
        <v>3871</v>
      </c>
      <c r="F902" s="2" t="s">
        <v>3613</v>
      </c>
      <c r="G902" s="2" t="s">
        <v>3604</v>
      </c>
      <c r="H902" s="5" t="n">
        <v>1</v>
      </c>
      <c r="I902" s="5" t="s">
        <v>18</v>
      </c>
      <c r="J902" s="5" t="s">
        <v>28</v>
      </c>
      <c r="K902" s="5" t="s">
        <v>30</v>
      </c>
      <c r="L902" s="5" t="n">
        <v>1200</v>
      </c>
      <c r="M902" s="5" t="n">
        <v>1200</v>
      </c>
      <c r="N902" s="6" t="n">
        <f aca="false">L902*0.6*H902</f>
        <v>720</v>
      </c>
      <c r="O902" s="6" t="n">
        <f aca="false">M902-N902</f>
        <v>480</v>
      </c>
      <c r="P902" s="7" t="n">
        <f aca="false">IF(M902=0,0,O902/M902)</f>
        <v>0.4</v>
      </c>
    </row>
    <row r="903" customFormat="false" ht="15" hidden="false" customHeight="false" outlineLevel="0" collapsed="false">
      <c r="A903" s="3" t="n">
        <v>2133</v>
      </c>
      <c r="B903" s="3" t="s">
        <v>189</v>
      </c>
      <c r="C903" s="3" t="s">
        <v>2241</v>
      </c>
      <c r="D903" s="3" t="s">
        <v>108</v>
      </c>
      <c r="E903" s="3" t="s">
        <v>3648</v>
      </c>
      <c r="F903" s="3" t="s">
        <v>3628</v>
      </c>
      <c r="G903" s="3" t="s">
        <v>3595</v>
      </c>
      <c r="H903" s="8" t="n">
        <v>2</v>
      </c>
      <c r="I903" s="8" t="s">
        <v>18</v>
      </c>
      <c r="J903" s="8" t="s">
        <v>121</v>
      </c>
      <c r="K903" s="8" t="s">
        <v>317</v>
      </c>
      <c r="L903" s="8" t="n">
        <v>1200</v>
      </c>
      <c r="M903" s="8" t="n">
        <v>2400</v>
      </c>
      <c r="N903" s="6" t="n">
        <f aca="false">L903*0.6*H903</f>
        <v>1440</v>
      </c>
      <c r="O903" s="6" t="n">
        <f aca="false">M903-N903</f>
        <v>960</v>
      </c>
      <c r="P903" s="7" t="n">
        <f aca="false">IF(M903=0,0,O903/M903)</f>
        <v>0.4</v>
      </c>
    </row>
    <row r="904" customFormat="false" ht="15" hidden="false" customHeight="false" outlineLevel="0" collapsed="false">
      <c r="A904" s="2" t="n">
        <v>2134</v>
      </c>
      <c r="B904" s="2" t="s">
        <v>3306</v>
      </c>
      <c r="C904" s="2" t="s">
        <v>3305</v>
      </c>
      <c r="D904" s="2" t="s">
        <v>34</v>
      </c>
      <c r="E904" s="2" t="s">
        <v>3830</v>
      </c>
      <c r="F904" s="2" t="s">
        <v>2379</v>
      </c>
      <c r="G904" s="2" t="s">
        <v>3592</v>
      </c>
      <c r="H904" s="5" t="n">
        <v>2</v>
      </c>
      <c r="I904" s="5" t="s">
        <v>51</v>
      </c>
      <c r="J904" s="5" t="s">
        <v>19</v>
      </c>
      <c r="K904" s="5" t="s">
        <v>176</v>
      </c>
      <c r="L904" s="5" t="n">
        <v>300</v>
      </c>
      <c r="M904" s="5" t="n">
        <v>600</v>
      </c>
      <c r="N904" s="6" t="n">
        <f aca="false">L904*0.6*H904</f>
        <v>360</v>
      </c>
      <c r="O904" s="6" t="n">
        <f aca="false">M904-N904</f>
        <v>240</v>
      </c>
      <c r="P904" s="7" t="n">
        <f aca="false">IF(M904=0,0,O904/M904)</f>
        <v>0.4</v>
      </c>
    </row>
    <row r="905" customFormat="false" ht="15" hidden="false" customHeight="false" outlineLevel="0" collapsed="false">
      <c r="A905" s="3" t="n">
        <v>2135</v>
      </c>
      <c r="B905" s="3" t="s">
        <v>173</v>
      </c>
      <c r="C905" s="3" t="s">
        <v>157</v>
      </c>
      <c r="D905" s="3" t="s">
        <v>16</v>
      </c>
      <c r="E905" s="3" t="s">
        <v>3680</v>
      </c>
      <c r="F905" s="3" t="s">
        <v>3610</v>
      </c>
      <c r="G905" s="3" t="s">
        <v>3600</v>
      </c>
      <c r="H905" s="8" t="n">
        <v>3</v>
      </c>
      <c r="I905" s="8" t="s">
        <v>51</v>
      </c>
      <c r="J905" s="8" t="s">
        <v>36</v>
      </c>
      <c r="K905" s="8" t="s">
        <v>38</v>
      </c>
      <c r="L905" s="8" t="n">
        <v>250</v>
      </c>
      <c r="M905" s="8" t="n">
        <v>750</v>
      </c>
      <c r="N905" s="6" t="n">
        <f aca="false">L905*0.6*H905</f>
        <v>450</v>
      </c>
      <c r="O905" s="6" t="n">
        <f aca="false">M905-N905</f>
        <v>300</v>
      </c>
      <c r="P905" s="7" t="n">
        <f aca="false">IF(M905=0,0,O905/M905)</f>
        <v>0.4</v>
      </c>
    </row>
    <row r="906" customFormat="false" ht="15" hidden="false" customHeight="false" outlineLevel="0" collapsed="false">
      <c r="A906" s="2" t="n">
        <v>2136</v>
      </c>
      <c r="B906" s="2" t="s">
        <v>3312</v>
      </c>
      <c r="C906" s="2" t="s">
        <v>3311</v>
      </c>
      <c r="D906" s="2" t="s">
        <v>108</v>
      </c>
      <c r="E906" s="2" t="s">
        <v>3917</v>
      </c>
      <c r="F906" s="2" t="s">
        <v>1756</v>
      </c>
      <c r="G906" s="2" t="s">
        <v>3595</v>
      </c>
      <c r="H906" s="5" t="n">
        <v>2</v>
      </c>
      <c r="I906" s="5" t="s">
        <v>18</v>
      </c>
      <c r="J906" s="5" t="s">
        <v>43</v>
      </c>
      <c r="K906" s="5" t="s">
        <v>45</v>
      </c>
      <c r="L906" s="5" t="n">
        <v>1200</v>
      </c>
      <c r="M906" s="5" t="n">
        <v>2400</v>
      </c>
      <c r="N906" s="6" t="n">
        <f aca="false">L906*0.6*H906</f>
        <v>1440</v>
      </c>
      <c r="O906" s="6" t="n">
        <f aca="false">M906-N906</f>
        <v>960</v>
      </c>
      <c r="P906" s="7" t="n">
        <f aca="false">IF(M906=0,0,O906/M906)</f>
        <v>0.4</v>
      </c>
    </row>
    <row r="907" customFormat="false" ht="15" hidden="false" customHeight="false" outlineLevel="0" collapsed="false">
      <c r="A907" s="3" t="n">
        <v>2137</v>
      </c>
      <c r="B907" s="3" t="s">
        <v>2195</v>
      </c>
      <c r="C907" s="3" t="s">
        <v>3315</v>
      </c>
      <c r="D907" s="3" t="s">
        <v>49</v>
      </c>
      <c r="E907" s="3" t="s">
        <v>3940</v>
      </c>
      <c r="F907" s="3" t="s">
        <v>3606</v>
      </c>
      <c r="G907" s="3" t="s">
        <v>3600</v>
      </c>
      <c r="H907" s="8" t="n">
        <v>3</v>
      </c>
      <c r="I907" s="8" t="s">
        <v>18</v>
      </c>
      <c r="J907" s="8" t="s">
        <v>52</v>
      </c>
      <c r="K907" s="8" t="s">
        <v>54</v>
      </c>
      <c r="L907" s="8" t="n">
        <v>250</v>
      </c>
      <c r="M907" s="8" t="n">
        <v>750</v>
      </c>
      <c r="N907" s="6" t="n">
        <f aca="false">L907*0.6*H907</f>
        <v>450</v>
      </c>
      <c r="O907" s="6" t="n">
        <f aca="false">M907-N907</f>
        <v>300</v>
      </c>
      <c r="P907" s="7" t="n">
        <f aca="false">IF(M907=0,0,O907/M907)</f>
        <v>0.4</v>
      </c>
    </row>
    <row r="908" customFormat="false" ht="15" hidden="false" customHeight="false" outlineLevel="0" collapsed="false">
      <c r="A908" s="2" t="n">
        <v>2138</v>
      </c>
      <c r="B908" s="2" t="s">
        <v>3319</v>
      </c>
      <c r="C908" s="2" t="s">
        <v>788</v>
      </c>
      <c r="D908" s="2" t="s">
        <v>34</v>
      </c>
      <c r="E908" s="2" t="s">
        <v>3812</v>
      </c>
      <c r="F908" s="2" t="s">
        <v>3599</v>
      </c>
      <c r="G908" s="2" t="s">
        <v>3600</v>
      </c>
      <c r="H908" s="5" t="n">
        <v>3</v>
      </c>
      <c r="I908" s="5" t="s">
        <v>27</v>
      </c>
      <c r="J908" s="5" t="s">
        <v>121</v>
      </c>
      <c r="K908" s="5" t="s">
        <v>123</v>
      </c>
      <c r="L908" s="5" t="n">
        <v>300</v>
      </c>
      <c r="M908" s="5" t="n">
        <v>900</v>
      </c>
      <c r="N908" s="6" t="n">
        <f aca="false">L908*0.6*H908</f>
        <v>540</v>
      </c>
      <c r="O908" s="6" t="n">
        <f aca="false">M908-N908</f>
        <v>360</v>
      </c>
      <c r="P908" s="7" t="n">
        <f aca="false">IF(M908=0,0,O908/M908)</f>
        <v>0.4</v>
      </c>
    </row>
    <row r="909" customFormat="false" ht="15" hidden="false" customHeight="false" outlineLevel="0" collapsed="false">
      <c r="A909" s="3" t="n">
        <v>2139</v>
      </c>
      <c r="B909" s="3" t="s">
        <v>3198</v>
      </c>
      <c r="C909" s="3" t="s">
        <v>3322</v>
      </c>
      <c r="D909" s="3" t="s">
        <v>108</v>
      </c>
      <c r="E909" s="3" t="s">
        <v>3787</v>
      </c>
      <c r="F909" s="3" t="s">
        <v>3591</v>
      </c>
      <c r="G909" s="3" t="s">
        <v>3592</v>
      </c>
      <c r="H909" s="8" t="n">
        <v>3</v>
      </c>
      <c r="I909" s="8" t="s">
        <v>51</v>
      </c>
      <c r="J909" s="8" t="s">
        <v>36</v>
      </c>
      <c r="K909" s="8" t="s">
        <v>192</v>
      </c>
      <c r="L909" s="8" t="n">
        <v>1200</v>
      </c>
      <c r="M909" s="8" t="n">
        <v>3600</v>
      </c>
      <c r="N909" s="6" t="n">
        <f aca="false">L909*0.6*H909</f>
        <v>2160</v>
      </c>
      <c r="O909" s="6" t="n">
        <f aca="false">M909-N909</f>
        <v>1440</v>
      </c>
      <c r="P909" s="7" t="n">
        <f aca="false">IF(M909=0,0,O909/M909)</f>
        <v>0.4</v>
      </c>
    </row>
    <row r="910" customFormat="false" ht="15" hidden="false" customHeight="false" outlineLevel="0" collapsed="false">
      <c r="A910" s="2" t="n">
        <v>2140</v>
      </c>
      <c r="B910" s="2" t="s">
        <v>1835</v>
      </c>
      <c r="C910" s="2" t="s">
        <v>1243</v>
      </c>
      <c r="D910" s="2" t="s">
        <v>49</v>
      </c>
      <c r="E910" s="2" t="s">
        <v>3891</v>
      </c>
      <c r="F910" s="2" t="s">
        <v>3606</v>
      </c>
      <c r="G910" s="2" t="s">
        <v>3600</v>
      </c>
      <c r="H910" s="5" t="n">
        <v>3</v>
      </c>
      <c r="I910" s="5" t="s">
        <v>18</v>
      </c>
      <c r="J910" s="5" t="s">
        <v>28</v>
      </c>
      <c r="K910" s="5" t="s">
        <v>30</v>
      </c>
      <c r="L910" s="5" t="n">
        <v>250</v>
      </c>
      <c r="M910" s="5" t="n">
        <v>750</v>
      </c>
      <c r="N910" s="6" t="n">
        <f aca="false">L910*0.6*H910</f>
        <v>450</v>
      </c>
      <c r="O910" s="6" t="n">
        <f aca="false">M910-N910</f>
        <v>300</v>
      </c>
      <c r="P910" s="7" t="n">
        <f aca="false">IF(M910=0,0,O910/M910)</f>
        <v>0.4</v>
      </c>
    </row>
    <row r="911" customFormat="false" ht="15" hidden="false" customHeight="false" outlineLevel="0" collapsed="false">
      <c r="A911" s="3" t="n">
        <v>2141</v>
      </c>
      <c r="B911" s="3" t="s">
        <v>1936</v>
      </c>
      <c r="C911" s="3" t="s">
        <v>3327</v>
      </c>
      <c r="D911" s="3" t="s">
        <v>25</v>
      </c>
      <c r="E911" s="3" t="s">
        <v>3661</v>
      </c>
      <c r="F911" s="3" t="s">
        <v>3599</v>
      </c>
      <c r="G911" s="3" t="s">
        <v>3600</v>
      </c>
      <c r="H911" s="8" t="n">
        <v>3</v>
      </c>
      <c r="I911" s="8" t="s">
        <v>51</v>
      </c>
      <c r="J911" s="8" t="s">
        <v>121</v>
      </c>
      <c r="K911" s="8" t="s">
        <v>123</v>
      </c>
      <c r="L911" s="8" t="n">
        <v>800</v>
      </c>
      <c r="M911" s="8" t="n">
        <v>2400</v>
      </c>
      <c r="N911" s="6" t="n">
        <f aca="false">L911*0.6*H911</f>
        <v>1440</v>
      </c>
      <c r="O911" s="6" t="n">
        <f aca="false">M911-N911</f>
        <v>960</v>
      </c>
      <c r="P911" s="7" t="n">
        <f aca="false">IF(M911=0,0,O911/M911)</f>
        <v>0.4</v>
      </c>
    </row>
    <row r="912" customFormat="false" ht="15" hidden="false" customHeight="false" outlineLevel="0" collapsed="false">
      <c r="A912" s="2" t="n">
        <v>2142</v>
      </c>
      <c r="B912" s="2" t="s">
        <v>1277</v>
      </c>
      <c r="C912" s="2" t="s">
        <v>3330</v>
      </c>
      <c r="D912" s="2" t="s">
        <v>49</v>
      </c>
      <c r="E912" s="2" t="s">
        <v>3657</v>
      </c>
      <c r="F912" s="2" t="s">
        <v>1756</v>
      </c>
      <c r="G912" s="2" t="s">
        <v>3595</v>
      </c>
      <c r="H912" s="5" t="n">
        <v>3</v>
      </c>
      <c r="I912" s="5" t="s">
        <v>18</v>
      </c>
      <c r="J912" s="5" t="s">
        <v>59</v>
      </c>
      <c r="K912" s="5" t="s">
        <v>292</v>
      </c>
      <c r="L912" s="5" t="n">
        <v>250</v>
      </c>
      <c r="M912" s="5" t="n">
        <v>750</v>
      </c>
      <c r="N912" s="6" t="n">
        <f aca="false">L912*0.6*H912</f>
        <v>450</v>
      </c>
      <c r="O912" s="6" t="n">
        <f aca="false">M912-N912</f>
        <v>300</v>
      </c>
      <c r="P912" s="7" t="n">
        <f aca="false">IF(M912=0,0,O912/M912)</f>
        <v>0.4</v>
      </c>
    </row>
    <row r="913" customFormat="false" ht="15" hidden="false" customHeight="false" outlineLevel="0" collapsed="false">
      <c r="A913" s="3" t="n">
        <v>2143</v>
      </c>
      <c r="B913" s="3" t="s">
        <v>765</v>
      </c>
      <c r="C913" s="3" t="s">
        <v>983</v>
      </c>
      <c r="D913" s="3" t="s">
        <v>34</v>
      </c>
      <c r="E913" s="3" t="s">
        <v>3941</v>
      </c>
      <c r="F913" s="3" t="s">
        <v>2379</v>
      </c>
      <c r="G913" s="3" t="s">
        <v>3592</v>
      </c>
      <c r="H913" s="8" t="n">
        <v>3</v>
      </c>
      <c r="I913" s="8" t="s">
        <v>18</v>
      </c>
      <c r="J913" s="8" t="s">
        <v>52</v>
      </c>
      <c r="K913" s="8" t="s">
        <v>54</v>
      </c>
      <c r="L913" s="8" t="n">
        <v>300</v>
      </c>
      <c r="M913" s="8" t="n">
        <v>900</v>
      </c>
      <c r="N913" s="6" t="n">
        <f aca="false">L913*0.6*H913</f>
        <v>540</v>
      </c>
      <c r="O913" s="6" t="n">
        <f aca="false">M913-N913</f>
        <v>360</v>
      </c>
      <c r="P913" s="7" t="n">
        <f aca="false">IF(M913=0,0,O913/M913)</f>
        <v>0.4</v>
      </c>
    </row>
    <row r="914" customFormat="false" ht="15" hidden="false" customHeight="false" outlineLevel="0" collapsed="false">
      <c r="A914" s="2" t="n">
        <v>2144</v>
      </c>
      <c r="B914" s="2" t="s">
        <v>900</v>
      </c>
      <c r="C914" s="2" t="s">
        <v>188</v>
      </c>
      <c r="D914" s="2" t="s">
        <v>147</v>
      </c>
      <c r="E914" s="2" t="s">
        <v>3635</v>
      </c>
      <c r="F914" s="2" t="s">
        <v>3606</v>
      </c>
      <c r="G914" s="2" t="s">
        <v>3600</v>
      </c>
      <c r="H914" s="5" t="n">
        <v>1</v>
      </c>
      <c r="I914" s="5" t="s">
        <v>51</v>
      </c>
      <c r="J914" s="5" t="s">
        <v>19</v>
      </c>
      <c r="K914" s="5" t="s">
        <v>73</v>
      </c>
      <c r="L914" s="5" t="n">
        <v>600</v>
      </c>
      <c r="M914" s="5" t="n">
        <v>600</v>
      </c>
      <c r="N914" s="6" t="n">
        <f aca="false">L914*0.6*H914</f>
        <v>360</v>
      </c>
      <c r="O914" s="6" t="n">
        <f aca="false">M914-N914</f>
        <v>240</v>
      </c>
      <c r="P914" s="7" t="n">
        <f aca="false">IF(M914=0,0,O914/M914)</f>
        <v>0.4</v>
      </c>
    </row>
    <row r="915" customFormat="false" ht="15" hidden="false" customHeight="false" outlineLevel="0" collapsed="false">
      <c r="A915" s="3" t="n">
        <v>2145</v>
      </c>
      <c r="B915" s="3" t="s">
        <v>1554</v>
      </c>
      <c r="C915" s="3" t="s">
        <v>2815</v>
      </c>
      <c r="D915" s="3" t="s">
        <v>108</v>
      </c>
      <c r="E915" s="3" t="s">
        <v>3824</v>
      </c>
      <c r="F915" s="3" t="s">
        <v>2379</v>
      </c>
      <c r="G915" s="3" t="s">
        <v>3592</v>
      </c>
      <c r="H915" s="8" t="n">
        <v>3</v>
      </c>
      <c r="I915" s="8" t="s">
        <v>51</v>
      </c>
      <c r="J915" s="8" t="s">
        <v>121</v>
      </c>
      <c r="K915" s="8" t="s">
        <v>123</v>
      </c>
      <c r="L915" s="8" t="n">
        <v>1200</v>
      </c>
      <c r="M915" s="8" t="n">
        <v>3600</v>
      </c>
      <c r="N915" s="6" t="n">
        <f aca="false">L915*0.6*H915</f>
        <v>2160</v>
      </c>
      <c r="O915" s="6" t="n">
        <f aca="false">M915-N915</f>
        <v>1440</v>
      </c>
      <c r="P915" s="7" t="n">
        <f aca="false">IF(M915=0,0,O915/M915)</f>
        <v>0.4</v>
      </c>
    </row>
    <row r="916" customFormat="false" ht="15" hidden="false" customHeight="false" outlineLevel="0" collapsed="false">
      <c r="A916" s="2" t="n">
        <v>2146</v>
      </c>
      <c r="B916" s="2" t="s">
        <v>3341</v>
      </c>
      <c r="C916" s="2" t="s">
        <v>3340</v>
      </c>
      <c r="D916" s="2" t="s">
        <v>25</v>
      </c>
      <c r="E916" s="2" t="s">
        <v>3617</v>
      </c>
      <c r="F916" s="2" t="s">
        <v>1756</v>
      </c>
      <c r="G916" s="2" t="s">
        <v>3595</v>
      </c>
      <c r="H916" s="5" t="n">
        <v>3</v>
      </c>
      <c r="I916" s="5" t="s">
        <v>18</v>
      </c>
      <c r="J916" s="5" t="s">
        <v>52</v>
      </c>
      <c r="K916" s="5" t="s">
        <v>182</v>
      </c>
      <c r="L916" s="5" t="n">
        <v>800</v>
      </c>
      <c r="M916" s="5" t="n">
        <v>2400</v>
      </c>
      <c r="N916" s="6" t="n">
        <f aca="false">L916*0.6*H916</f>
        <v>1440</v>
      </c>
      <c r="O916" s="6" t="n">
        <f aca="false">M916-N916</f>
        <v>960</v>
      </c>
      <c r="P916" s="7" t="n">
        <f aca="false">IF(M916=0,0,O916/M916)</f>
        <v>0.4</v>
      </c>
    </row>
    <row r="917" customFormat="false" ht="15" hidden="false" customHeight="false" outlineLevel="0" collapsed="false">
      <c r="A917" s="3" t="n">
        <v>2147</v>
      </c>
      <c r="B917" s="3" t="s">
        <v>3344</v>
      </c>
      <c r="C917" s="3" t="s">
        <v>535</v>
      </c>
      <c r="D917" s="3" t="s">
        <v>16</v>
      </c>
      <c r="E917" s="3" t="s">
        <v>3906</v>
      </c>
      <c r="F917" s="3" t="s">
        <v>3610</v>
      </c>
      <c r="G917" s="3" t="s">
        <v>3600</v>
      </c>
      <c r="H917" s="8" t="n">
        <v>3</v>
      </c>
      <c r="I917" s="8" t="s">
        <v>51</v>
      </c>
      <c r="J917" s="8" t="s">
        <v>52</v>
      </c>
      <c r="K917" s="8" t="s">
        <v>92</v>
      </c>
      <c r="L917" s="8" t="n">
        <v>250</v>
      </c>
      <c r="M917" s="8" t="n">
        <v>750</v>
      </c>
      <c r="N917" s="6" t="n">
        <f aca="false">L917*0.6*H917</f>
        <v>450</v>
      </c>
      <c r="O917" s="6" t="n">
        <f aca="false">M917-N917</f>
        <v>300</v>
      </c>
      <c r="P917" s="7" t="n">
        <f aca="false">IF(M917=0,0,O917/M917)</f>
        <v>0.4</v>
      </c>
    </row>
    <row r="918" customFormat="false" ht="15" hidden="false" customHeight="false" outlineLevel="0" collapsed="false">
      <c r="A918" s="2" t="n">
        <v>2148</v>
      </c>
      <c r="B918" s="2" t="s">
        <v>656</v>
      </c>
      <c r="C918" s="2" t="s">
        <v>674</v>
      </c>
      <c r="D918" s="2" t="s">
        <v>147</v>
      </c>
      <c r="E918" s="2" t="s">
        <v>3716</v>
      </c>
      <c r="F918" s="2" t="s">
        <v>2379</v>
      </c>
      <c r="G918" s="2" t="s">
        <v>3592</v>
      </c>
      <c r="H918" s="5" t="n">
        <v>2</v>
      </c>
      <c r="I918" s="5" t="s">
        <v>51</v>
      </c>
      <c r="J918" s="5" t="s">
        <v>52</v>
      </c>
      <c r="K918" s="5" t="s">
        <v>182</v>
      </c>
      <c r="L918" s="5" t="n">
        <v>600</v>
      </c>
      <c r="M918" s="5" t="n">
        <v>1200</v>
      </c>
      <c r="N918" s="6" t="n">
        <f aca="false">L918*0.6*H918</f>
        <v>720</v>
      </c>
      <c r="O918" s="6" t="n">
        <f aca="false">M918-N918</f>
        <v>480</v>
      </c>
      <c r="P918" s="7" t="n">
        <f aca="false">IF(M918=0,0,O918/M918)</f>
        <v>0.4</v>
      </c>
    </row>
    <row r="919" customFormat="false" ht="15" hidden="false" customHeight="false" outlineLevel="0" collapsed="false">
      <c r="A919" s="3" t="n">
        <v>2149</v>
      </c>
      <c r="B919" s="3" t="s">
        <v>3349</v>
      </c>
      <c r="C919" s="3" t="s">
        <v>3206</v>
      </c>
      <c r="D919" s="3" t="s">
        <v>49</v>
      </c>
      <c r="E919" s="3" t="s">
        <v>3646</v>
      </c>
      <c r="F919" s="3" t="s">
        <v>3599</v>
      </c>
      <c r="G919" s="3" t="s">
        <v>3600</v>
      </c>
      <c r="H919" s="8" t="n">
        <v>2</v>
      </c>
      <c r="I919" s="8" t="s">
        <v>51</v>
      </c>
      <c r="J919" s="8" t="s">
        <v>36</v>
      </c>
      <c r="K919" s="8" t="s">
        <v>38</v>
      </c>
      <c r="L919" s="8" t="n">
        <v>250</v>
      </c>
      <c r="M919" s="8" t="n">
        <v>500</v>
      </c>
      <c r="N919" s="6" t="n">
        <f aca="false">L919*0.6*H919</f>
        <v>300</v>
      </c>
      <c r="O919" s="6" t="n">
        <f aca="false">M919-N919</f>
        <v>200</v>
      </c>
      <c r="P919" s="7" t="n">
        <f aca="false">IF(M919=0,0,O919/M919)</f>
        <v>0.4</v>
      </c>
    </row>
    <row r="920" customFormat="false" ht="15" hidden="false" customHeight="false" outlineLevel="0" collapsed="false">
      <c r="A920" s="2" t="n">
        <v>2150</v>
      </c>
      <c r="B920" s="2" t="s">
        <v>1057</v>
      </c>
      <c r="C920" s="2" t="s">
        <v>3352</v>
      </c>
      <c r="D920" s="2" t="s">
        <v>25</v>
      </c>
      <c r="E920" s="2" t="s">
        <v>3913</v>
      </c>
      <c r="F920" s="2" t="s">
        <v>3594</v>
      </c>
      <c r="G920" s="2" t="s">
        <v>3595</v>
      </c>
      <c r="H920" s="5" t="n">
        <v>3</v>
      </c>
      <c r="I920" s="5" t="s">
        <v>18</v>
      </c>
      <c r="J920" s="5" t="s">
        <v>121</v>
      </c>
      <c r="K920" s="5" t="s">
        <v>317</v>
      </c>
      <c r="L920" s="5" t="n">
        <v>800</v>
      </c>
      <c r="M920" s="5" t="n">
        <v>2400</v>
      </c>
      <c r="N920" s="6" t="n">
        <f aca="false">L920*0.6*H920</f>
        <v>1440</v>
      </c>
      <c r="O920" s="6" t="n">
        <f aca="false">M920-N920</f>
        <v>960</v>
      </c>
      <c r="P920" s="7" t="n">
        <f aca="false">IF(M920=0,0,O920/M920)</f>
        <v>0.4</v>
      </c>
    </row>
    <row r="921" customFormat="false" ht="15" hidden="false" customHeight="false" outlineLevel="0" collapsed="false">
      <c r="A921" s="3" t="n">
        <v>2151</v>
      </c>
      <c r="B921" s="3" t="s">
        <v>3356</v>
      </c>
      <c r="C921" s="3" t="s">
        <v>3355</v>
      </c>
      <c r="D921" s="3" t="s">
        <v>34</v>
      </c>
      <c r="E921" s="3" t="s">
        <v>3700</v>
      </c>
      <c r="F921" s="3" t="s">
        <v>3599</v>
      </c>
      <c r="G921" s="3" t="s">
        <v>3600</v>
      </c>
      <c r="H921" s="8" t="n">
        <v>3</v>
      </c>
      <c r="I921" s="8" t="s">
        <v>18</v>
      </c>
      <c r="J921" s="8" t="s">
        <v>36</v>
      </c>
      <c r="K921" s="8" t="s">
        <v>170</v>
      </c>
      <c r="L921" s="8" t="n">
        <v>300</v>
      </c>
      <c r="M921" s="8" t="n">
        <v>900</v>
      </c>
      <c r="N921" s="6" t="n">
        <f aca="false">L921*0.6*H921</f>
        <v>540</v>
      </c>
      <c r="O921" s="6" t="n">
        <f aca="false">M921-N921</f>
        <v>360</v>
      </c>
      <c r="P921" s="7" t="n">
        <f aca="false">IF(M921=0,0,O921/M921)</f>
        <v>0.4</v>
      </c>
    </row>
    <row r="922" customFormat="false" ht="15" hidden="false" customHeight="false" outlineLevel="0" collapsed="false">
      <c r="A922" s="2" t="n">
        <v>2152</v>
      </c>
      <c r="B922" s="2" t="s">
        <v>3360</v>
      </c>
      <c r="C922" s="2" t="s">
        <v>3359</v>
      </c>
      <c r="D922" s="2" t="s">
        <v>108</v>
      </c>
      <c r="E922" s="2" t="s">
        <v>3605</v>
      </c>
      <c r="F922" s="2" t="s">
        <v>3606</v>
      </c>
      <c r="G922" s="2" t="s">
        <v>3600</v>
      </c>
      <c r="H922" s="5" t="n">
        <v>2</v>
      </c>
      <c r="I922" s="5" t="s">
        <v>18</v>
      </c>
      <c r="J922" s="5" t="s">
        <v>19</v>
      </c>
      <c r="K922" s="5" t="s">
        <v>73</v>
      </c>
      <c r="L922" s="5" t="n">
        <v>1200</v>
      </c>
      <c r="M922" s="5" t="n">
        <v>2400</v>
      </c>
      <c r="N922" s="6" t="n">
        <f aca="false">L922*0.6*H922</f>
        <v>1440</v>
      </c>
      <c r="O922" s="6" t="n">
        <f aca="false">M922-N922</f>
        <v>960</v>
      </c>
      <c r="P922" s="7" t="n">
        <f aca="false">IF(M922=0,0,O922/M922)</f>
        <v>0.4</v>
      </c>
    </row>
    <row r="923" customFormat="false" ht="15" hidden="false" customHeight="false" outlineLevel="0" collapsed="false">
      <c r="A923" s="3" t="n">
        <v>2153</v>
      </c>
      <c r="B923" s="3" t="s">
        <v>2781</v>
      </c>
      <c r="C923" s="3" t="s">
        <v>3363</v>
      </c>
      <c r="D923" s="3" t="s">
        <v>25</v>
      </c>
      <c r="E923" s="3" t="s">
        <v>3593</v>
      </c>
      <c r="F923" s="3" t="s">
        <v>3594</v>
      </c>
      <c r="G923" s="3" t="s">
        <v>3595</v>
      </c>
      <c r="H923" s="8" t="n">
        <v>1</v>
      </c>
      <c r="I923" s="8" t="s">
        <v>27</v>
      </c>
      <c r="J923" s="8" t="s">
        <v>36</v>
      </c>
      <c r="K923" s="8" t="s">
        <v>38</v>
      </c>
      <c r="L923" s="8" t="n">
        <v>800</v>
      </c>
      <c r="M923" s="8" t="n">
        <v>800</v>
      </c>
      <c r="N923" s="6" t="n">
        <f aca="false">L923*0.6*H923</f>
        <v>480</v>
      </c>
      <c r="O923" s="6" t="n">
        <f aca="false">M923-N923</f>
        <v>320</v>
      </c>
      <c r="P923" s="7" t="n">
        <f aca="false">IF(M923=0,0,O923/M923)</f>
        <v>0.4</v>
      </c>
    </row>
    <row r="924" customFormat="false" ht="15" hidden="false" customHeight="false" outlineLevel="0" collapsed="false">
      <c r="A924" s="2" t="n">
        <v>2154</v>
      </c>
      <c r="B924" s="2" t="s">
        <v>1151</v>
      </c>
      <c r="C924" s="2" t="s">
        <v>2153</v>
      </c>
      <c r="D924" s="2" t="s">
        <v>34</v>
      </c>
      <c r="E924" s="2" t="s">
        <v>3850</v>
      </c>
      <c r="F924" s="2" t="s">
        <v>3591</v>
      </c>
      <c r="G924" s="2" t="s">
        <v>3592</v>
      </c>
      <c r="H924" s="5" t="n">
        <v>2</v>
      </c>
      <c r="I924" s="5" t="s">
        <v>97</v>
      </c>
      <c r="J924" s="5" t="s">
        <v>43</v>
      </c>
      <c r="K924" s="5" t="s">
        <v>111</v>
      </c>
      <c r="L924" s="5" t="n">
        <v>300</v>
      </c>
      <c r="M924" s="5" t="n">
        <v>600</v>
      </c>
      <c r="N924" s="6" t="n">
        <f aca="false">L924*0.6*H924</f>
        <v>360</v>
      </c>
      <c r="O924" s="6" t="n">
        <f aca="false">M924-N924</f>
        <v>240</v>
      </c>
      <c r="P924" s="7" t="n">
        <f aca="false">IF(M924=0,0,O924/M924)</f>
        <v>0.4</v>
      </c>
    </row>
    <row r="925" customFormat="false" ht="15" hidden="false" customHeight="false" outlineLevel="0" collapsed="false">
      <c r="A925" s="3" t="n">
        <v>2155</v>
      </c>
      <c r="B925" s="3" t="s">
        <v>3045</v>
      </c>
      <c r="C925" s="3" t="s">
        <v>472</v>
      </c>
      <c r="D925" s="3" t="s">
        <v>147</v>
      </c>
      <c r="E925" s="3" t="s">
        <v>3627</v>
      </c>
      <c r="F925" s="3" t="s">
        <v>3628</v>
      </c>
      <c r="G925" s="3" t="s">
        <v>3595</v>
      </c>
      <c r="H925" s="8" t="n">
        <v>2</v>
      </c>
      <c r="I925" s="8" t="s">
        <v>18</v>
      </c>
      <c r="J925" s="8" t="s">
        <v>78</v>
      </c>
      <c r="K925" s="8" t="s">
        <v>408</v>
      </c>
      <c r="L925" s="8" t="n">
        <v>600</v>
      </c>
      <c r="M925" s="8" t="n">
        <v>1200</v>
      </c>
      <c r="N925" s="6" t="n">
        <f aca="false">L925*0.6*H925</f>
        <v>720</v>
      </c>
      <c r="O925" s="6" t="n">
        <f aca="false">M925-N925</f>
        <v>480</v>
      </c>
      <c r="P925" s="7" t="n">
        <f aca="false">IF(M925=0,0,O925/M925)</f>
        <v>0.4</v>
      </c>
    </row>
    <row r="926" customFormat="false" ht="15" hidden="false" customHeight="false" outlineLevel="0" collapsed="false">
      <c r="A926" s="2" t="n">
        <v>2156</v>
      </c>
      <c r="B926" s="2" t="s">
        <v>2624</v>
      </c>
      <c r="C926" s="2" t="s">
        <v>3005</v>
      </c>
      <c r="D926" s="2" t="s">
        <v>147</v>
      </c>
      <c r="E926" s="2" t="s">
        <v>3708</v>
      </c>
      <c r="F926" s="2" t="s">
        <v>3608</v>
      </c>
      <c r="G926" s="2" t="s">
        <v>3604</v>
      </c>
      <c r="H926" s="5" t="n">
        <v>1</v>
      </c>
      <c r="I926" s="5" t="s">
        <v>51</v>
      </c>
      <c r="J926" s="5" t="s">
        <v>121</v>
      </c>
      <c r="K926" s="5" t="s">
        <v>317</v>
      </c>
      <c r="L926" s="5" t="n">
        <v>600</v>
      </c>
      <c r="M926" s="5" t="n">
        <v>600</v>
      </c>
      <c r="N926" s="6" t="n">
        <f aca="false">L926*0.6*H926</f>
        <v>360</v>
      </c>
      <c r="O926" s="6" t="n">
        <f aca="false">M926-N926</f>
        <v>240</v>
      </c>
      <c r="P926" s="7" t="n">
        <f aca="false">IF(M926=0,0,O926/M926)</f>
        <v>0.4</v>
      </c>
    </row>
    <row r="927" customFormat="false" ht="15" hidden="false" customHeight="false" outlineLevel="0" collapsed="false">
      <c r="A927" s="3" t="n">
        <v>2157</v>
      </c>
      <c r="B927" s="3" t="s">
        <v>739</v>
      </c>
      <c r="C927" s="3" t="s">
        <v>3372</v>
      </c>
      <c r="D927" s="3" t="s">
        <v>108</v>
      </c>
      <c r="E927" s="3" t="s">
        <v>3686</v>
      </c>
      <c r="F927" s="3" t="s">
        <v>3594</v>
      </c>
      <c r="G927" s="3" t="s">
        <v>3595</v>
      </c>
      <c r="H927" s="8" t="n">
        <v>1</v>
      </c>
      <c r="I927" s="8" t="s">
        <v>18</v>
      </c>
      <c r="J927" s="8" t="s">
        <v>52</v>
      </c>
      <c r="K927" s="8" t="s">
        <v>92</v>
      </c>
      <c r="L927" s="8" t="n">
        <v>1200</v>
      </c>
      <c r="M927" s="8" t="n">
        <v>1200</v>
      </c>
      <c r="N927" s="6" t="n">
        <f aca="false">L927*0.6*H927</f>
        <v>720</v>
      </c>
      <c r="O927" s="6" t="n">
        <f aca="false">M927-N927</f>
        <v>480</v>
      </c>
      <c r="P927" s="7" t="n">
        <f aca="false">IF(M927=0,0,O927/M927)</f>
        <v>0.4</v>
      </c>
    </row>
    <row r="928" customFormat="false" ht="15" hidden="false" customHeight="false" outlineLevel="0" collapsed="false">
      <c r="A928" s="2" t="n">
        <v>2158</v>
      </c>
      <c r="B928" s="2" t="s">
        <v>3375</v>
      </c>
      <c r="C928" s="2" t="s">
        <v>439</v>
      </c>
      <c r="D928" s="2" t="s">
        <v>108</v>
      </c>
      <c r="E928" s="2" t="s">
        <v>3745</v>
      </c>
      <c r="F928" s="2" t="s">
        <v>3599</v>
      </c>
      <c r="G928" s="2" t="s">
        <v>3600</v>
      </c>
      <c r="H928" s="5" t="n">
        <v>3</v>
      </c>
      <c r="I928" s="5" t="s">
        <v>27</v>
      </c>
      <c r="J928" s="5" t="s">
        <v>121</v>
      </c>
      <c r="K928" s="5" t="s">
        <v>317</v>
      </c>
      <c r="L928" s="5" t="n">
        <v>1200</v>
      </c>
      <c r="M928" s="5" t="n">
        <v>3600</v>
      </c>
      <c r="N928" s="6" t="n">
        <f aca="false">L928*0.6*H928</f>
        <v>2160</v>
      </c>
      <c r="O928" s="6" t="n">
        <f aca="false">M928-N928</f>
        <v>1440</v>
      </c>
      <c r="P928" s="7" t="n">
        <f aca="false">IF(M928=0,0,O928/M928)</f>
        <v>0.4</v>
      </c>
    </row>
    <row r="929" customFormat="false" ht="15" hidden="false" customHeight="false" outlineLevel="0" collapsed="false">
      <c r="A929" s="3" t="n">
        <v>2159</v>
      </c>
      <c r="B929" s="3" t="s">
        <v>189</v>
      </c>
      <c r="C929" s="3" t="s">
        <v>1939</v>
      </c>
      <c r="D929" s="3" t="s">
        <v>25</v>
      </c>
      <c r="E929" s="3" t="s">
        <v>3632</v>
      </c>
      <c r="F929" s="3" t="s">
        <v>1756</v>
      </c>
      <c r="G929" s="3" t="s">
        <v>3595</v>
      </c>
      <c r="H929" s="8" t="n">
        <v>1</v>
      </c>
      <c r="I929" s="8" t="s">
        <v>18</v>
      </c>
      <c r="J929" s="8" t="s">
        <v>52</v>
      </c>
      <c r="K929" s="8" t="s">
        <v>92</v>
      </c>
      <c r="L929" s="8" t="n">
        <v>800</v>
      </c>
      <c r="M929" s="8" t="n">
        <v>800</v>
      </c>
      <c r="N929" s="6" t="n">
        <f aca="false">L929*0.6*H929</f>
        <v>480</v>
      </c>
      <c r="O929" s="6" t="n">
        <f aca="false">M929-N929</f>
        <v>320</v>
      </c>
      <c r="P929" s="7" t="n">
        <f aca="false">IF(M929=0,0,O929/M929)</f>
        <v>0.4</v>
      </c>
    </row>
    <row r="930" customFormat="false" ht="15" hidden="false" customHeight="false" outlineLevel="0" collapsed="false">
      <c r="A930" s="2" t="n">
        <v>2160</v>
      </c>
      <c r="B930" s="2" t="s">
        <v>3380</v>
      </c>
      <c r="C930" s="2" t="s">
        <v>2893</v>
      </c>
      <c r="D930" s="2" t="s">
        <v>108</v>
      </c>
      <c r="E930" s="2" t="s">
        <v>3792</v>
      </c>
      <c r="F930" s="2" t="s">
        <v>3608</v>
      </c>
      <c r="G930" s="2" t="s">
        <v>3604</v>
      </c>
      <c r="H930" s="5" t="n">
        <v>3</v>
      </c>
      <c r="I930" s="5" t="s">
        <v>18</v>
      </c>
      <c r="J930" s="5" t="s">
        <v>19</v>
      </c>
      <c r="K930" s="5" t="s">
        <v>73</v>
      </c>
      <c r="L930" s="5" t="n">
        <v>1200</v>
      </c>
      <c r="M930" s="5" t="n">
        <v>3600</v>
      </c>
      <c r="N930" s="6" t="n">
        <f aca="false">L930*0.6*H930</f>
        <v>2160</v>
      </c>
      <c r="O930" s="6" t="n">
        <f aca="false">M930-N930</f>
        <v>1440</v>
      </c>
      <c r="P930" s="7" t="n">
        <f aca="false">IF(M930=0,0,O930/M930)</f>
        <v>0.4</v>
      </c>
    </row>
    <row r="931" customFormat="false" ht="15" hidden="false" customHeight="false" outlineLevel="0" collapsed="false">
      <c r="A931" s="3" t="n">
        <v>2161</v>
      </c>
      <c r="B931" s="3" t="s">
        <v>1202</v>
      </c>
      <c r="C931" s="3" t="s">
        <v>510</v>
      </c>
      <c r="D931" s="3" t="s">
        <v>108</v>
      </c>
      <c r="E931" s="3" t="s">
        <v>3894</v>
      </c>
      <c r="F931" s="3" t="s">
        <v>3603</v>
      </c>
      <c r="G931" s="3" t="s">
        <v>3604</v>
      </c>
      <c r="H931" s="8" t="n">
        <v>2</v>
      </c>
      <c r="I931" s="8" t="s">
        <v>18</v>
      </c>
      <c r="J931" s="8" t="s">
        <v>36</v>
      </c>
      <c r="K931" s="8" t="s">
        <v>38</v>
      </c>
      <c r="L931" s="8" t="n">
        <v>1200</v>
      </c>
      <c r="M931" s="8" t="n">
        <v>2400</v>
      </c>
      <c r="N931" s="6" t="n">
        <f aca="false">L931*0.6*H931</f>
        <v>1440</v>
      </c>
      <c r="O931" s="6" t="n">
        <f aca="false">M931-N931</f>
        <v>960</v>
      </c>
      <c r="P931" s="7" t="n">
        <f aca="false">IF(M931=0,0,O931/M931)</f>
        <v>0.4</v>
      </c>
    </row>
    <row r="932" customFormat="false" ht="15" hidden="false" customHeight="false" outlineLevel="0" collapsed="false">
      <c r="A932" s="2" t="n">
        <v>2162</v>
      </c>
      <c r="B932" s="2" t="s">
        <v>1952</v>
      </c>
      <c r="C932" s="2" t="s">
        <v>3385</v>
      </c>
      <c r="D932" s="2" t="s">
        <v>49</v>
      </c>
      <c r="E932" s="2" t="s">
        <v>3887</v>
      </c>
      <c r="F932" s="2" t="s">
        <v>3628</v>
      </c>
      <c r="G932" s="2" t="s">
        <v>3595</v>
      </c>
      <c r="H932" s="5" t="n">
        <v>1</v>
      </c>
      <c r="I932" s="5" t="s">
        <v>51</v>
      </c>
      <c r="J932" s="5" t="s">
        <v>52</v>
      </c>
      <c r="K932" s="5" t="s">
        <v>92</v>
      </c>
      <c r="L932" s="5" t="n">
        <v>250</v>
      </c>
      <c r="M932" s="5" t="n">
        <v>250</v>
      </c>
      <c r="N932" s="6" t="n">
        <f aca="false">L932*0.6*H932</f>
        <v>150</v>
      </c>
      <c r="O932" s="6" t="n">
        <f aca="false">M932-N932</f>
        <v>100</v>
      </c>
      <c r="P932" s="7" t="n">
        <f aca="false">IF(M932=0,0,O932/M932)</f>
        <v>0.4</v>
      </c>
    </row>
    <row r="933" customFormat="false" ht="15" hidden="false" customHeight="false" outlineLevel="0" collapsed="false">
      <c r="A933" s="3" t="n">
        <v>2163</v>
      </c>
      <c r="B933" s="3" t="s">
        <v>1659</v>
      </c>
      <c r="C933" s="3" t="s">
        <v>2314</v>
      </c>
      <c r="D933" s="3" t="s">
        <v>25</v>
      </c>
      <c r="E933" s="3" t="s">
        <v>3640</v>
      </c>
      <c r="F933" s="3" t="s">
        <v>3613</v>
      </c>
      <c r="G933" s="3" t="s">
        <v>3604</v>
      </c>
      <c r="H933" s="8" t="n">
        <v>3</v>
      </c>
      <c r="I933" s="8" t="s">
        <v>51</v>
      </c>
      <c r="J933" s="8" t="s">
        <v>28</v>
      </c>
      <c r="K933" s="8" t="s">
        <v>30</v>
      </c>
      <c r="L933" s="8" t="n">
        <v>800</v>
      </c>
      <c r="M933" s="8" t="n">
        <v>2400</v>
      </c>
      <c r="N933" s="6" t="n">
        <f aca="false">L933*0.6*H933</f>
        <v>1440</v>
      </c>
      <c r="O933" s="6" t="n">
        <f aca="false">M933-N933</f>
        <v>960</v>
      </c>
      <c r="P933" s="7" t="n">
        <f aca="false">IF(M933=0,0,O933/M933)</f>
        <v>0.4</v>
      </c>
    </row>
    <row r="934" customFormat="false" ht="15" hidden="false" customHeight="false" outlineLevel="0" collapsed="false">
      <c r="A934" s="2" t="n">
        <v>2164</v>
      </c>
      <c r="B934" s="2" t="s">
        <v>1506</v>
      </c>
      <c r="C934" s="2" t="s">
        <v>3390</v>
      </c>
      <c r="D934" s="2" t="s">
        <v>108</v>
      </c>
      <c r="E934" s="2" t="s">
        <v>3905</v>
      </c>
      <c r="F934" s="2" t="s">
        <v>3599</v>
      </c>
      <c r="G934" s="2" t="s">
        <v>3600</v>
      </c>
      <c r="H934" s="5" t="n">
        <v>2</v>
      </c>
      <c r="I934" s="5" t="s">
        <v>27</v>
      </c>
      <c r="J934" s="5" t="s">
        <v>19</v>
      </c>
      <c r="K934" s="5" t="s">
        <v>73</v>
      </c>
      <c r="L934" s="5" t="n">
        <v>1200</v>
      </c>
      <c r="M934" s="5" t="n">
        <v>2400</v>
      </c>
      <c r="N934" s="6" t="n">
        <f aca="false">L934*0.6*H934</f>
        <v>1440</v>
      </c>
      <c r="O934" s="6" t="n">
        <f aca="false">M934-N934</f>
        <v>960</v>
      </c>
      <c r="P934" s="7" t="n">
        <f aca="false">IF(M934=0,0,O934/M934)</f>
        <v>0.4</v>
      </c>
    </row>
    <row r="935" customFormat="false" ht="15" hidden="false" customHeight="false" outlineLevel="0" collapsed="false">
      <c r="A935" s="3" t="n">
        <v>2165</v>
      </c>
      <c r="B935" s="3" t="s">
        <v>881</v>
      </c>
      <c r="C935" s="3" t="s">
        <v>3393</v>
      </c>
      <c r="D935" s="3" t="s">
        <v>16</v>
      </c>
      <c r="E935" s="3" t="s">
        <v>3690</v>
      </c>
      <c r="F935" s="3" t="s">
        <v>3594</v>
      </c>
      <c r="G935" s="3" t="s">
        <v>3595</v>
      </c>
      <c r="H935" s="8" t="n">
        <v>2</v>
      </c>
      <c r="I935" s="8" t="s">
        <v>97</v>
      </c>
      <c r="J935" s="8" t="s">
        <v>59</v>
      </c>
      <c r="K935" s="8" t="s">
        <v>99</v>
      </c>
      <c r="L935" s="8" t="n">
        <v>250</v>
      </c>
      <c r="M935" s="8" t="n">
        <v>500</v>
      </c>
      <c r="N935" s="6" t="n">
        <f aca="false">L935*0.6*H935</f>
        <v>300</v>
      </c>
      <c r="O935" s="6" t="n">
        <f aca="false">M935-N935</f>
        <v>200</v>
      </c>
      <c r="P935" s="7" t="n">
        <f aca="false">IF(M935=0,0,O935/M935)</f>
        <v>0.4</v>
      </c>
    </row>
    <row r="936" customFormat="false" ht="15" hidden="false" customHeight="false" outlineLevel="0" collapsed="false">
      <c r="A936" s="2" t="n">
        <v>2166</v>
      </c>
      <c r="B936" s="2" t="s">
        <v>3396</v>
      </c>
      <c r="C936" s="2" t="s">
        <v>1955</v>
      </c>
      <c r="D936" s="2" t="s">
        <v>147</v>
      </c>
      <c r="E936" s="2" t="s">
        <v>3714</v>
      </c>
      <c r="F936" s="2" t="s">
        <v>3603</v>
      </c>
      <c r="G936" s="2" t="s">
        <v>3604</v>
      </c>
      <c r="H936" s="5" t="n">
        <v>2</v>
      </c>
      <c r="I936" s="5" t="s">
        <v>51</v>
      </c>
      <c r="J936" s="5" t="s">
        <v>59</v>
      </c>
      <c r="K936" s="5" t="s">
        <v>61</v>
      </c>
      <c r="L936" s="5" t="n">
        <v>600</v>
      </c>
      <c r="M936" s="5" t="n">
        <v>1200</v>
      </c>
      <c r="N936" s="6" t="n">
        <f aca="false">L936*0.6*H936</f>
        <v>720</v>
      </c>
      <c r="O936" s="6" t="n">
        <f aca="false">M936-N936</f>
        <v>480</v>
      </c>
      <c r="P936" s="7" t="n">
        <f aca="false">IF(M936=0,0,O936/M936)</f>
        <v>0.4</v>
      </c>
    </row>
    <row r="937" customFormat="false" ht="15" hidden="false" customHeight="false" outlineLevel="0" collapsed="false">
      <c r="A937" s="3" t="n">
        <v>2167</v>
      </c>
      <c r="B937" s="3" t="s">
        <v>3399</v>
      </c>
      <c r="C937" s="3" t="s">
        <v>329</v>
      </c>
      <c r="D937" s="3" t="s">
        <v>147</v>
      </c>
      <c r="E937" s="3" t="s">
        <v>3895</v>
      </c>
      <c r="F937" s="3" t="s">
        <v>2379</v>
      </c>
      <c r="G937" s="3" t="s">
        <v>3592</v>
      </c>
      <c r="H937" s="8" t="n">
        <v>3</v>
      </c>
      <c r="I937" s="8" t="s">
        <v>51</v>
      </c>
      <c r="J937" s="8" t="s">
        <v>121</v>
      </c>
      <c r="K937" s="8" t="s">
        <v>123</v>
      </c>
      <c r="L937" s="8" t="n">
        <v>600</v>
      </c>
      <c r="M937" s="8" t="n">
        <v>1800</v>
      </c>
      <c r="N937" s="6" t="n">
        <f aca="false">L937*0.6*H937</f>
        <v>1080</v>
      </c>
      <c r="O937" s="6" t="n">
        <f aca="false">M937-N937</f>
        <v>720</v>
      </c>
      <c r="P937" s="7" t="n">
        <f aca="false">IF(M937=0,0,O937/M937)</f>
        <v>0.4</v>
      </c>
    </row>
    <row r="938" customFormat="false" ht="15" hidden="false" customHeight="false" outlineLevel="0" collapsed="false">
      <c r="A938" s="2" t="n">
        <v>2168</v>
      </c>
      <c r="B938" s="2" t="s">
        <v>3402</v>
      </c>
      <c r="C938" s="2" t="s">
        <v>1909</v>
      </c>
      <c r="D938" s="2" t="s">
        <v>34</v>
      </c>
      <c r="E938" s="2" t="s">
        <v>3891</v>
      </c>
      <c r="F938" s="2" t="s">
        <v>3606</v>
      </c>
      <c r="G938" s="2" t="s">
        <v>3600</v>
      </c>
      <c r="H938" s="5" t="n">
        <v>1</v>
      </c>
      <c r="I938" s="5" t="s">
        <v>97</v>
      </c>
      <c r="J938" s="5" t="s">
        <v>36</v>
      </c>
      <c r="K938" s="5" t="s">
        <v>38</v>
      </c>
      <c r="L938" s="5" t="n">
        <v>300</v>
      </c>
      <c r="M938" s="5" t="n">
        <v>300</v>
      </c>
      <c r="N938" s="6" t="n">
        <f aca="false">L938*0.6*H938</f>
        <v>180</v>
      </c>
      <c r="O938" s="6" t="n">
        <f aca="false">M938-N938</f>
        <v>120</v>
      </c>
      <c r="P938" s="7" t="n">
        <f aca="false">IF(M938=0,0,O938/M938)</f>
        <v>0.4</v>
      </c>
    </row>
    <row r="939" customFormat="false" ht="15" hidden="false" customHeight="false" outlineLevel="0" collapsed="false">
      <c r="A939" s="3" t="n">
        <v>2169</v>
      </c>
      <c r="B939" s="3" t="s">
        <v>1461</v>
      </c>
      <c r="C939" s="3" t="s">
        <v>3405</v>
      </c>
      <c r="D939" s="3" t="s">
        <v>49</v>
      </c>
      <c r="E939" s="3" t="s">
        <v>3680</v>
      </c>
      <c r="F939" s="3" t="s">
        <v>3610</v>
      </c>
      <c r="G939" s="3" t="s">
        <v>3600</v>
      </c>
      <c r="H939" s="8" t="n">
        <v>2</v>
      </c>
      <c r="I939" s="8" t="s">
        <v>18</v>
      </c>
      <c r="J939" s="8" t="s">
        <v>36</v>
      </c>
      <c r="K939" s="8" t="s">
        <v>38</v>
      </c>
      <c r="L939" s="8" t="n">
        <v>250</v>
      </c>
      <c r="M939" s="8" t="n">
        <v>500</v>
      </c>
      <c r="N939" s="6" t="n">
        <f aca="false">L939*0.6*H939</f>
        <v>300</v>
      </c>
      <c r="O939" s="6" t="n">
        <f aca="false">M939-N939</f>
        <v>200</v>
      </c>
      <c r="P939" s="7" t="n">
        <f aca="false">IF(M939=0,0,O939/M939)</f>
        <v>0.4</v>
      </c>
    </row>
    <row r="940" customFormat="false" ht="15" hidden="false" customHeight="false" outlineLevel="0" collapsed="false">
      <c r="A940" s="2" t="n">
        <v>2170</v>
      </c>
      <c r="B940" s="2" t="s">
        <v>2064</v>
      </c>
      <c r="C940" s="2" t="s">
        <v>3380</v>
      </c>
      <c r="D940" s="2" t="s">
        <v>147</v>
      </c>
      <c r="E940" s="2" t="s">
        <v>3843</v>
      </c>
      <c r="F940" s="2" t="s">
        <v>3603</v>
      </c>
      <c r="G940" s="2" t="s">
        <v>3604</v>
      </c>
      <c r="H940" s="5" t="n">
        <v>2</v>
      </c>
      <c r="I940" s="5" t="s">
        <v>18</v>
      </c>
      <c r="J940" s="5" t="s">
        <v>28</v>
      </c>
      <c r="K940" s="5" t="s">
        <v>30</v>
      </c>
      <c r="L940" s="5" t="n">
        <v>600</v>
      </c>
      <c r="M940" s="5" t="n">
        <v>1200</v>
      </c>
      <c r="N940" s="6" t="n">
        <f aca="false">L940*0.6*H940</f>
        <v>720</v>
      </c>
      <c r="O940" s="6" t="n">
        <f aca="false">M940-N940</f>
        <v>480</v>
      </c>
      <c r="P940" s="7" t="n">
        <f aca="false">IF(M940=0,0,O940/M940)</f>
        <v>0.4</v>
      </c>
    </row>
    <row r="941" customFormat="false" ht="15" hidden="false" customHeight="false" outlineLevel="0" collapsed="false">
      <c r="A941" s="3" t="n">
        <v>2171</v>
      </c>
      <c r="B941" s="3" t="s">
        <v>3411</v>
      </c>
      <c r="C941" s="3" t="s">
        <v>3410</v>
      </c>
      <c r="D941" s="3" t="s">
        <v>108</v>
      </c>
      <c r="E941" s="3" t="s">
        <v>3894</v>
      </c>
      <c r="F941" s="3" t="s">
        <v>3603</v>
      </c>
      <c r="G941" s="3" t="s">
        <v>3604</v>
      </c>
      <c r="H941" s="8" t="n">
        <v>1</v>
      </c>
      <c r="I941" s="8" t="s">
        <v>51</v>
      </c>
      <c r="J941" s="8" t="s">
        <v>19</v>
      </c>
      <c r="K941" s="8" t="s">
        <v>176</v>
      </c>
      <c r="L941" s="8" t="n">
        <v>1200</v>
      </c>
      <c r="M941" s="8" t="n">
        <v>1200</v>
      </c>
      <c r="N941" s="6" t="n">
        <f aca="false">L941*0.6*H941</f>
        <v>720</v>
      </c>
      <c r="O941" s="6" t="n">
        <f aca="false">M941-N941</f>
        <v>480</v>
      </c>
      <c r="P941" s="7" t="n">
        <f aca="false">IF(M941=0,0,O941/M941)</f>
        <v>0.4</v>
      </c>
    </row>
    <row r="942" customFormat="false" ht="15" hidden="false" customHeight="false" outlineLevel="0" collapsed="false">
      <c r="A942" s="2" t="n">
        <v>2172</v>
      </c>
      <c r="B942" s="2" t="s">
        <v>525</v>
      </c>
      <c r="C942" s="2" t="s">
        <v>2679</v>
      </c>
      <c r="D942" s="2" t="s">
        <v>34</v>
      </c>
      <c r="E942" s="2" t="s">
        <v>3708</v>
      </c>
      <c r="F942" s="2" t="s">
        <v>3608</v>
      </c>
      <c r="G942" s="2" t="s">
        <v>3604</v>
      </c>
      <c r="H942" s="5" t="n">
        <v>2</v>
      </c>
      <c r="I942" s="5" t="s">
        <v>51</v>
      </c>
      <c r="J942" s="5" t="s">
        <v>52</v>
      </c>
      <c r="K942" s="5" t="s">
        <v>92</v>
      </c>
      <c r="L942" s="5" t="n">
        <v>300</v>
      </c>
      <c r="M942" s="5" t="n">
        <v>600</v>
      </c>
      <c r="N942" s="6" t="n">
        <f aca="false">L942*0.6*H942</f>
        <v>360</v>
      </c>
      <c r="O942" s="6" t="n">
        <f aca="false">M942-N942</f>
        <v>240</v>
      </c>
      <c r="P942" s="7" t="n">
        <f aca="false">IF(M942=0,0,O942/M942)</f>
        <v>0.4</v>
      </c>
    </row>
    <row r="943" customFormat="false" ht="15" hidden="false" customHeight="false" outlineLevel="0" collapsed="false">
      <c r="A943" s="3" t="n">
        <v>2173</v>
      </c>
      <c r="B943" s="3" t="s">
        <v>1558</v>
      </c>
      <c r="C943" s="3" t="s">
        <v>2979</v>
      </c>
      <c r="D943" s="3" t="s">
        <v>49</v>
      </c>
      <c r="E943" s="3" t="s">
        <v>3673</v>
      </c>
      <c r="F943" s="3" t="s">
        <v>3610</v>
      </c>
      <c r="G943" s="3" t="s">
        <v>3600</v>
      </c>
      <c r="H943" s="8" t="n">
        <v>3</v>
      </c>
      <c r="I943" s="8" t="s">
        <v>18</v>
      </c>
      <c r="J943" s="8" t="s">
        <v>43</v>
      </c>
      <c r="K943" s="8" t="s">
        <v>111</v>
      </c>
      <c r="L943" s="8" t="n">
        <v>250</v>
      </c>
      <c r="M943" s="8" t="n">
        <v>750</v>
      </c>
      <c r="N943" s="6" t="n">
        <f aca="false">L943*0.6*H943</f>
        <v>450</v>
      </c>
      <c r="O943" s="6" t="n">
        <f aca="false">M943-N943</f>
        <v>300</v>
      </c>
      <c r="P943" s="7" t="n">
        <f aca="false">IF(M943=0,0,O943/M943)</f>
        <v>0.4</v>
      </c>
    </row>
    <row r="944" customFormat="false" ht="15" hidden="false" customHeight="false" outlineLevel="0" collapsed="false">
      <c r="A944" s="2" t="n">
        <v>2174</v>
      </c>
      <c r="B944" s="2" t="s">
        <v>2488</v>
      </c>
      <c r="C944" s="2" t="s">
        <v>1851</v>
      </c>
      <c r="D944" s="2" t="s">
        <v>147</v>
      </c>
      <c r="E944" s="2" t="s">
        <v>3942</v>
      </c>
      <c r="F944" s="2" t="s">
        <v>3610</v>
      </c>
      <c r="G944" s="2" t="s">
        <v>3600</v>
      </c>
      <c r="H944" s="5" t="n">
        <v>2</v>
      </c>
      <c r="I944" s="5" t="s">
        <v>97</v>
      </c>
      <c r="J944" s="5" t="s">
        <v>52</v>
      </c>
      <c r="K944" s="5" t="s">
        <v>92</v>
      </c>
      <c r="L944" s="5" t="n">
        <v>600</v>
      </c>
      <c r="M944" s="5" t="n">
        <v>1200</v>
      </c>
      <c r="N944" s="6" t="n">
        <f aca="false">L944*0.6*H944</f>
        <v>720</v>
      </c>
      <c r="O944" s="6" t="n">
        <f aca="false">M944-N944</f>
        <v>480</v>
      </c>
      <c r="P944" s="7" t="n">
        <f aca="false">IF(M944=0,0,O944/M944)</f>
        <v>0.4</v>
      </c>
    </row>
    <row r="945" customFormat="false" ht="15" hidden="false" customHeight="false" outlineLevel="0" collapsed="false">
      <c r="A945" s="3" t="n">
        <v>2175</v>
      </c>
      <c r="B945" s="3" t="s">
        <v>3421</v>
      </c>
      <c r="C945" s="3" t="s">
        <v>14</v>
      </c>
      <c r="D945" s="3" t="s">
        <v>108</v>
      </c>
      <c r="E945" s="3" t="s">
        <v>3798</v>
      </c>
      <c r="F945" s="3" t="s">
        <v>3625</v>
      </c>
      <c r="G945" s="3" t="s">
        <v>3592</v>
      </c>
      <c r="H945" s="8" t="n">
        <v>1</v>
      </c>
      <c r="I945" s="8" t="s">
        <v>27</v>
      </c>
      <c r="J945" s="8" t="s">
        <v>36</v>
      </c>
      <c r="K945" s="8" t="s">
        <v>192</v>
      </c>
      <c r="L945" s="8" t="n">
        <v>1200</v>
      </c>
      <c r="M945" s="8" t="n">
        <v>1200</v>
      </c>
      <c r="N945" s="6" t="n">
        <f aca="false">L945*0.6*H945</f>
        <v>720</v>
      </c>
      <c r="O945" s="6" t="n">
        <f aca="false">M945-N945</f>
        <v>480</v>
      </c>
      <c r="P945" s="7" t="n">
        <f aca="false">IF(M945=0,0,O945/M945)</f>
        <v>0.4</v>
      </c>
    </row>
    <row r="946" customFormat="false" ht="15" hidden="false" customHeight="false" outlineLevel="0" collapsed="false">
      <c r="A946" s="2" t="n">
        <v>2176</v>
      </c>
      <c r="B946" s="2" t="s">
        <v>2899</v>
      </c>
      <c r="C946" s="2" t="s">
        <v>519</v>
      </c>
      <c r="D946" s="2" t="s">
        <v>147</v>
      </c>
      <c r="E946" s="2" t="s">
        <v>3644</v>
      </c>
      <c r="F946" s="2" t="s">
        <v>3606</v>
      </c>
      <c r="G946" s="2" t="s">
        <v>3600</v>
      </c>
      <c r="H946" s="5" t="n">
        <v>3</v>
      </c>
      <c r="I946" s="5" t="s">
        <v>18</v>
      </c>
      <c r="J946" s="5" t="s">
        <v>121</v>
      </c>
      <c r="K946" s="5" t="s">
        <v>123</v>
      </c>
      <c r="L946" s="5" t="n">
        <v>600</v>
      </c>
      <c r="M946" s="5" t="n">
        <v>1800</v>
      </c>
      <c r="N946" s="6" t="n">
        <f aca="false">L946*0.6*H946</f>
        <v>1080</v>
      </c>
      <c r="O946" s="6" t="n">
        <f aca="false">M946-N946</f>
        <v>720</v>
      </c>
      <c r="P946" s="7" t="n">
        <f aca="false">IF(M946=0,0,O946/M946)</f>
        <v>0.4</v>
      </c>
    </row>
    <row r="947" customFormat="false" ht="15" hidden="false" customHeight="false" outlineLevel="0" collapsed="false">
      <c r="A947" s="3" t="n">
        <v>2177</v>
      </c>
      <c r="B947" s="3" t="s">
        <v>2916</v>
      </c>
      <c r="C947" s="3" t="s">
        <v>428</v>
      </c>
      <c r="D947" s="3" t="s">
        <v>34</v>
      </c>
      <c r="E947" s="3" t="s">
        <v>3662</v>
      </c>
      <c r="F947" s="3" t="s">
        <v>2379</v>
      </c>
      <c r="G947" s="3" t="s">
        <v>3592</v>
      </c>
      <c r="H947" s="8" t="n">
        <v>1</v>
      </c>
      <c r="I947" s="8" t="s">
        <v>51</v>
      </c>
      <c r="J947" s="8" t="s">
        <v>59</v>
      </c>
      <c r="K947" s="8" t="s">
        <v>292</v>
      </c>
      <c r="L947" s="8" t="n">
        <v>300</v>
      </c>
      <c r="M947" s="8" t="n">
        <v>300</v>
      </c>
      <c r="N947" s="6" t="n">
        <f aca="false">L947*0.6*H947</f>
        <v>180</v>
      </c>
      <c r="O947" s="6" t="n">
        <f aca="false">M947-N947</f>
        <v>120</v>
      </c>
      <c r="P947" s="7" t="n">
        <f aca="false">IF(M947=0,0,O947/M947)</f>
        <v>0.4</v>
      </c>
    </row>
    <row r="948" customFormat="false" ht="15" hidden="false" customHeight="false" outlineLevel="0" collapsed="false">
      <c r="A948" s="2" t="n">
        <v>2178</v>
      </c>
      <c r="B948" s="2" t="s">
        <v>597</v>
      </c>
      <c r="C948" s="2" t="s">
        <v>3428</v>
      </c>
      <c r="D948" s="2" t="s">
        <v>108</v>
      </c>
      <c r="E948" s="2" t="s">
        <v>3943</v>
      </c>
      <c r="F948" s="2" t="s">
        <v>3610</v>
      </c>
      <c r="G948" s="2" t="s">
        <v>3600</v>
      </c>
      <c r="H948" s="5" t="n">
        <v>2</v>
      </c>
      <c r="I948" s="5" t="s">
        <v>18</v>
      </c>
      <c r="J948" s="5" t="s">
        <v>52</v>
      </c>
      <c r="K948" s="5" t="s">
        <v>92</v>
      </c>
      <c r="L948" s="5" t="n">
        <v>1200</v>
      </c>
      <c r="M948" s="5" t="n">
        <v>2400</v>
      </c>
      <c r="N948" s="6" t="n">
        <f aca="false">L948*0.6*H948</f>
        <v>1440</v>
      </c>
      <c r="O948" s="6" t="n">
        <f aca="false">M948-N948</f>
        <v>960</v>
      </c>
      <c r="P948" s="7" t="n">
        <f aca="false">IF(M948=0,0,O948/M948)</f>
        <v>0.4</v>
      </c>
    </row>
    <row r="949" customFormat="false" ht="15" hidden="false" customHeight="false" outlineLevel="0" collapsed="false">
      <c r="A949" s="3" t="n">
        <v>2179</v>
      </c>
      <c r="B949" s="3" t="s">
        <v>3432</v>
      </c>
      <c r="C949" s="3" t="s">
        <v>106</v>
      </c>
      <c r="D949" s="3" t="s">
        <v>108</v>
      </c>
      <c r="E949" s="3" t="s">
        <v>3944</v>
      </c>
      <c r="F949" s="3" t="s">
        <v>3606</v>
      </c>
      <c r="G949" s="3" t="s">
        <v>3600</v>
      </c>
      <c r="H949" s="8" t="n">
        <v>2</v>
      </c>
      <c r="I949" s="8" t="s">
        <v>51</v>
      </c>
      <c r="J949" s="8" t="s">
        <v>59</v>
      </c>
      <c r="K949" s="8" t="s">
        <v>292</v>
      </c>
      <c r="L949" s="8" t="n">
        <v>1200</v>
      </c>
      <c r="M949" s="8" t="n">
        <v>2400</v>
      </c>
      <c r="N949" s="6" t="n">
        <f aca="false">L949*0.6*H949</f>
        <v>1440</v>
      </c>
      <c r="O949" s="6" t="n">
        <f aca="false">M949-N949</f>
        <v>960</v>
      </c>
      <c r="P949" s="7" t="n">
        <f aca="false">IF(M949=0,0,O949/M949)</f>
        <v>0.4</v>
      </c>
    </row>
    <row r="950" customFormat="false" ht="15" hidden="false" customHeight="false" outlineLevel="0" collapsed="false">
      <c r="A950" s="2" t="n">
        <v>2180</v>
      </c>
      <c r="B950" s="2" t="s">
        <v>2130</v>
      </c>
      <c r="C950" s="2" t="s">
        <v>82</v>
      </c>
      <c r="D950" s="2" t="s">
        <v>147</v>
      </c>
      <c r="E950" s="2" t="s">
        <v>3865</v>
      </c>
      <c r="F950" s="2" t="s">
        <v>1756</v>
      </c>
      <c r="G950" s="2" t="s">
        <v>3595</v>
      </c>
      <c r="H950" s="5" t="n">
        <v>1</v>
      </c>
      <c r="I950" s="5" t="s">
        <v>18</v>
      </c>
      <c r="J950" s="5" t="s">
        <v>52</v>
      </c>
      <c r="K950" s="5" t="s">
        <v>92</v>
      </c>
      <c r="L950" s="5" t="n">
        <v>600</v>
      </c>
      <c r="M950" s="5" t="n">
        <v>600</v>
      </c>
      <c r="N950" s="6" t="n">
        <f aca="false">L950*0.6*H950</f>
        <v>360</v>
      </c>
      <c r="O950" s="6" t="n">
        <f aca="false">M950-N950</f>
        <v>240</v>
      </c>
      <c r="P950" s="7" t="n">
        <f aca="false">IF(M950=0,0,O950/M950)</f>
        <v>0.4</v>
      </c>
    </row>
    <row r="951" customFormat="false" ht="15" hidden="false" customHeight="false" outlineLevel="0" collapsed="false">
      <c r="A951" s="3" t="n">
        <v>2181</v>
      </c>
      <c r="B951" s="3" t="s">
        <v>3439</v>
      </c>
      <c r="C951" s="3" t="s">
        <v>3438</v>
      </c>
      <c r="D951" s="3" t="s">
        <v>108</v>
      </c>
      <c r="E951" s="3" t="s">
        <v>3945</v>
      </c>
      <c r="F951" s="3" t="s">
        <v>2379</v>
      </c>
      <c r="G951" s="3" t="s">
        <v>3592</v>
      </c>
      <c r="H951" s="8" t="n">
        <v>1</v>
      </c>
      <c r="I951" s="8" t="s">
        <v>27</v>
      </c>
      <c r="J951" s="8" t="s">
        <v>36</v>
      </c>
      <c r="K951" s="8" t="s">
        <v>38</v>
      </c>
      <c r="L951" s="8" t="n">
        <v>1200</v>
      </c>
      <c r="M951" s="8" t="n">
        <v>1200</v>
      </c>
      <c r="N951" s="6" t="n">
        <f aca="false">L951*0.6*H951</f>
        <v>720</v>
      </c>
      <c r="O951" s="6" t="n">
        <f aca="false">M951-N951</f>
        <v>480</v>
      </c>
      <c r="P951" s="7" t="n">
        <f aca="false">IF(M951=0,0,O951/M951)</f>
        <v>0.4</v>
      </c>
    </row>
    <row r="952" customFormat="false" ht="15" hidden="false" customHeight="false" outlineLevel="0" collapsed="false">
      <c r="A952" s="2" t="n">
        <v>2182</v>
      </c>
      <c r="B952" s="2" t="s">
        <v>1936</v>
      </c>
      <c r="C952" s="2" t="s">
        <v>2359</v>
      </c>
      <c r="D952" s="2" t="s">
        <v>16</v>
      </c>
      <c r="E952" s="2" t="s">
        <v>3939</v>
      </c>
      <c r="F952" s="2" t="s">
        <v>2379</v>
      </c>
      <c r="G952" s="2" t="s">
        <v>3592</v>
      </c>
      <c r="H952" s="5" t="n">
        <v>2</v>
      </c>
      <c r="I952" s="5" t="s">
        <v>51</v>
      </c>
      <c r="J952" s="5" t="s">
        <v>36</v>
      </c>
      <c r="K952" s="5" t="s">
        <v>170</v>
      </c>
      <c r="L952" s="5" t="n">
        <v>250</v>
      </c>
      <c r="M952" s="5" t="n">
        <v>500</v>
      </c>
      <c r="N952" s="6" t="n">
        <f aca="false">L952*0.6*H952</f>
        <v>300</v>
      </c>
      <c r="O952" s="6" t="n">
        <f aca="false">M952-N952</f>
        <v>200</v>
      </c>
      <c r="P952" s="7" t="n">
        <f aca="false">IF(M952=0,0,O952/M952)</f>
        <v>0.4</v>
      </c>
    </row>
    <row r="953" customFormat="false" ht="15" hidden="false" customHeight="false" outlineLevel="0" collapsed="false">
      <c r="A953" s="3" t="n">
        <v>2183</v>
      </c>
      <c r="B953" s="3" t="s">
        <v>3446</v>
      </c>
      <c r="C953" s="3" t="s">
        <v>3445</v>
      </c>
      <c r="D953" s="3" t="s">
        <v>16</v>
      </c>
      <c r="E953" s="3" t="s">
        <v>3861</v>
      </c>
      <c r="F953" s="3" t="s">
        <v>3594</v>
      </c>
      <c r="G953" s="3" t="s">
        <v>3595</v>
      </c>
      <c r="H953" s="8" t="n">
        <v>1</v>
      </c>
      <c r="I953" s="8" t="s">
        <v>97</v>
      </c>
      <c r="J953" s="8" t="s">
        <v>36</v>
      </c>
      <c r="K953" s="8" t="s">
        <v>38</v>
      </c>
      <c r="L953" s="8" t="n">
        <v>250</v>
      </c>
      <c r="M953" s="8" t="n">
        <v>250</v>
      </c>
      <c r="N953" s="6" t="n">
        <f aca="false">L953*0.6*H953</f>
        <v>150</v>
      </c>
      <c r="O953" s="6" t="n">
        <f aca="false">M953-N953</f>
        <v>100</v>
      </c>
      <c r="P953" s="7" t="n">
        <f aca="false">IF(M953=0,0,O953/M953)</f>
        <v>0.4</v>
      </c>
    </row>
    <row r="954" customFormat="false" ht="15" hidden="false" customHeight="false" outlineLevel="0" collapsed="false">
      <c r="A954" s="2" t="n">
        <v>2184</v>
      </c>
      <c r="B954" s="2" t="s">
        <v>270</v>
      </c>
      <c r="C954" s="2" t="s">
        <v>500</v>
      </c>
      <c r="D954" s="2" t="s">
        <v>108</v>
      </c>
      <c r="E954" s="2" t="s">
        <v>3918</v>
      </c>
      <c r="F954" s="2" t="s">
        <v>3603</v>
      </c>
      <c r="G954" s="2" t="s">
        <v>3604</v>
      </c>
      <c r="H954" s="5" t="n">
        <v>1</v>
      </c>
      <c r="I954" s="5" t="s">
        <v>51</v>
      </c>
      <c r="J954" s="5" t="s">
        <v>52</v>
      </c>
      <c r="K954" s="5" t="s">
        <v>54</v>
      </c>
      <c r="L954" s="5" t="n">
        <v>1200</v>
      </c>
      <c r="M954" s="5" t="n">
        <v>1200</v>
      </c>
      <c r="N954" s="6" t="n">
        <f aca="false">L954*0.6*H954</f>
        <v>720</v>
      </c>
      <c r="O954" s="6" t="n">
        <f aca="false">M954-N954</f>
        <v>480</v>
      </c>
      <c r="P954" s="7" t="n">
        <f aca="false">IF(M954=0,0,O954/M954)</f>
        <v>0.4</v>
      </c>
    </row>
    <row r="955" customFormat="false" ht="15" hidden="false" customHeight="false" outlineLevel="0" collapsed="false">
      <c r="A955" s="3" t="n">
        <v>2185</v>
      </c>
      <c r="B955" s="3" t="s">
        <v>3052</v>
      </c>
      <c r="C955" s="3" t="s">
        <v>2346</v>
      </c>
      <c r="D955" s="3" t="s">
        <v>49</v>
      </c>
      <c r="E955" s="3" t="s">
        <v>3652</v>
      </c>
      <c r="F955" s="3" t="s">
        <v>3608</v>
      </c>
      <c r="G955" s="3" t="s">
        <v>3604</v>
      </c>
      <c r="H955" s="8" t="n">
        <v>3</v>
      </c>
      <c r="I955" s="8" t="s">
        <v>51</v>
      </c>
      <c r="J955" s="8" t="s">
        <v>59</v>
      </c>
      <c r="K955" s="8" t="s">
        <v>99</v>
      </c>
      <c r="L955" s="8" t="n">
        <v>250</v>
      </c>
      <c r="M955" s="8" t="n">
        <v>750</v>
      </c>
      <c r="N955" s="6" t="n">
        <f aca="false">L955*0.6*H955</f>
        <v>450</v>
      </c>
      <c r="O955" s="6" t="n">
        <f aca="false">M955-N955</f>
        <v>300</v>
      </c>
      <c r="P955" s="7" t="n">
        <f aca="false">IF(M955=0,0,O955/M955)</f>
        <v>0.4</v>
      </c>
    </row>
    <row r="956" customFormat="false" ht="15" hidden="false" customHeight="false" outlineLevel="0" collapsed="false">
      <c r="A956" s="2" t="n">
        <v>2186</v>
      </c>
      <c r="B956" s="2" t="s">
        <v>2130</v>
      </c>
      <c r="C956" s="2" t="s">
        <v>3453</v>
      </c>
      <c r="D956" s="2" t="s">
        <v>108</v>
      </c>
      <c r="E956" s="2" t="s">
        <v>3646</v>
      </c>
      <c r="F956" s="2" t="s">
        <v>3599</v>
      </c>
      <c r="G956" s="2" t="s">
        <v>3600</v>
      </c>
      <c r="H956" s="5" t="n">
        <v>2</v>
      </c>
      <c r="I956" s="5" t="s">
        <v>97</v>
      </c>
      <c r="J956" s="5" t="s">
        <v>78</v>
      </c>
      <c r="K956" s="5" t="s">
        <v>408</v>
      </c>
      <c r="L956" s="5" t="n">
        <v>1200</v>
      </c>
      <c r="M956" s="5" t="n">
        <v>2400</v>
      </c>
      <c r="N956" s="6" t="n">
        <f aca="false">L956*0.6*H956</f>
        <v>1440</v>
      </c>
      <c r="O956" s="6" t="n">
        <f aca="false">M956-N956</f>
        <v>960</v>
      </c>
      <c r="P956" s="7" t="n">
        <f aca="false">IF(M956=0,0,O956/M956)</f>
        <v>0.4</v>
      </c>
    </row>
    <row r="957" customFormat="false" ht="15" hidden="false" customHeight="false" outlineLevel="0" collapsed="false">
      <c r="A957" s="3" t="n">
        <v>2187</v>
      </c>
      <c r="B957" s="3" t="s">
        <v>1741</v>
      </c>
      <c r="C957" s="3" t="s">
        <v>2388</v>
      </c>
      <c r="D957" s="3" t="s">
        <v>108</v>
      </c>
      <c r="E957" s="3" t="s">
        <v>3651</v>
      </c>
      <c r="F957" s="3" t="s">
        <v>1756</v>
      </c>
      <c r="G957" s="3" t="s">
        <v>3595</v>
      </c>
      <c r="H957" s="8" t="n">
        <v>1</v>
      </c>
      <c r="I957" s="8" t="s">
        <v>18</v>
      </c>
      <c r="J957" s="8" t="s">
        <v>78</v>
      </c>
      <c r="K957" s="8" t="s">
        <v>408</v>
      </c>
      <c r="L957" s="8" t="n">
        <v>1200</v>
      </c>
      <c r="M957" s="8" t="n">
        <v>1200</v>
      </c>
      <c r="N957" s="6" t="n">
        <f aca="false">L957*0.6*H957</f>
        <v>720</v>
      </c>
      <c r="O957" s="6" t="n">
        <f aca="false">M957-N957</f>
        <v>480</v>
      </c>
      <c r="P957" s="7" t="n">
        <f aca="false">IF(M957=0,0,O957/M957)</f>
        <v>0.4</v>
      </c>
    </row>
    <row r="958" customFormat="false" ht="15" hidden="false" customHeight="false" outlineLevel="0" collapsed="false">
      <c r="A958" s="2" t="n">
        <v>2188</v>
      </c>
      <c r="B958" s="2" t="s">
        <v>724</v>
      </c>
      <c r="C958" s="2" t="s">
        <v>2038</v>
      </c>
      <c r="D958" s="2" t="s">
        <v>147</v>
      </c>
      <c r="E958" s="2" t="s">
        <v>3804</v>
      </c>
      <c r="F958" s="2" t="s">
        <v>3625</v>
      </c>
      <c r="G958" s="2" t="s">
        <v>3592</v>
      </c>
      <c r="H958" s="5" t="n">
        <v>3</v>
      </c>
      <c r="I958" s="5" t="s">
        <v>97</v>
      </c>
      <c r="J958" s="5" t="s">
        <v>43</v>
      </c>
      <c r="K958" s="5" t="s">
        <v>111</v>
      </c>
      <c r="L958" s="5" t="n">
        <v>600</v>
      </c>
      <c r="M958" s="5" t="n">
        <v>1800</v>
      </c>
      <c r="N958" s="6" t="n">
        <f aca="false">L958*0.6*H958</f>
        <v>1080</v>
      </c>
      <c r="O958" s="6" t="n">
        <f aca="false">M958-N958</f>
        <v>720</v>
      </c>
      <c r="P958" s="7" t="n">
        <f aca="false">IF(M958=0,0,O958/M958)</f>
        <v>0.4</v>
      </c>
    </row>
    <row r="959" customFormat="false" ht="15" hidden="false" customHeight="false" outlineLevel="0" collapsed="false">
      <c r="A959" s="3" t="n">
        <v>2189</v>
      </c>
      <c r="B959" s="3" t="s">
        <v>3460</v>
      </c>
      <c r="C959" s="3" t="s">
        <v>965</v>
      </c>
      <c r="D959" s="3" t="s">
        <v>108</v>
      </c>
      <c r="E959" s="3" t="s">
        <v>3859</v>
      </c>
      <c r="F959" s="3" t="s">
        <v>3603</v>
      </c>
      <c r="G959" s="3" t="s">
        <v>3604</v>
      </c>
      <c r="H959" s="8" t="n">
        <v>1</v>
      </c>
      <c r="I959" s="8" t="s">
        <v>51</v>
      </c>
      <c r="J959" s="8" t="s">
        <v>59</v>
      </c>
      <c r="K959" s="8" t="s">
        <v>99</v>
      </c>
      <c r="L959" s="8" t="n">
        <v>1200</v>
      </c>
      <c r="M959" s="8" t="n">
        <v>1200</v>
      </c>
      <c r="N959" s="6" t="n">
        <f aca="false">L959*0.6*H959</f>
        <v>720</v>
      </c>
      <c r="O959" s="6" t="n">
        <f aca="false">M959-N959</f>
        <v>480</v>
      </c>
      <c r="P959" s="7" t="n">
        <f aca="false">IF(M959=0,0,O959/M959)</f>
        <v>0.4</v>
      </c>
    </row>
    <row r="960" customFormat="false" ht="15" hidden="false" customHeight="false" outlineLevel="0" collapsed="false">
      <c r="A960" s="2" t="n">
        <v>2190</v>
      </c>
      <c r="B960" s="2" t="s">
        <v>1839</v>
      </c>
      <c r="C960" s="2" t="s">
        <v>3463</v>
      </c>
      <c r="D960" s="2" t="s">
        <v>25</v>
      </c>
      <c r="E960" s="2" t="s">
        <v>3761</v>
      </c>
      <c r="F960" s="2" t="s">
        <v>3594</v>
      </c>
      <c r="G960" s="2" t="s">
        <v>3595</v>
      </c>
      <c r="H960" s="5" t="n">
        <v>3</v>
      </c>
      <c r="I960" s="5" t="s">
        <v>18</v>
      </c>
      <c r="J960" s="5" t="s">
        <v>121</v>
      </c>
      <c r="K960" s="5" t="s">
        <v>317</v>
      </c>
      <c r="L960" s="5" t="n">
        <v>800</v>
      </c>
      <c r="M960" s="5" t="n">
        <v>2400</v>
      </c>
      <c r="N960" s="6" t="n">
        <f aca="false">L960*0.6*H960</f>
        <v>1440</v>
      </c>
      <c r="O960" s="6" t="n">
        <f aca="false">M960-N960</f>
        <v>960</v>
      </c>
      <c r="P960" s="7" t="n">
        <f aca="false">IF(M960=0,0,O960/M960)</f>
        <v>0.4</v>
      </c>
    </row>
    <row r="961" customFormat="false" ht="15" hidden="false" customHeight="false" outlineLevel="0" collapsed="false">
      <c r="A961" s="3" t="n">
        <v>2191</v>
      </c>
      <c r="B961" s="3" t="s">
        <v>320</v>
      </c>
      <c r="C961" s="3" t="s">
        <v>3466</v>
      </c>
      <c r="D961" s="3" t="s">
        <v>16</v>
      </c>
      <c r="E961" s="3" t="s">
        <v>3676</v>
      </c>
      <c r="F961" s="3" t="s">
        <v>3625</v>
      </c>
      <c r="G961" s="3" t="s">
        <v>3592</v>
      </c>
      <c r="H961" s="8" t="n">
        <v>1</v>
      </c>
      <c r="I961" s="8" t="s">
        <v>18</v>
      </c>
      <c r="J961" s="8" t="s">
        <v>36</v>
      </c>
      <c r="K961" s="8" t="s">
        <v>38</v>
      </c>
      <c r="L961" s="8" t="n">
        <v>250</v>
      </c>
      <c r="M961" s="8" t="n">
        <v>250</v>
      </c>
      <c r="N961" s="6" t="n">
        <f aca="false">L961*0.6*H961</f>
        <v>150</v>
      </c>
      <c r="O961" s="6" t="n">
        <f aca="false">M961-N961</f>
        <v>100</v>
      </c>
      <c r="P961" s="7" t="n">
        <f aca="false">IF(M961=0,0,O961/M961)</f>
        <v>0.4</v>
      </c>
    </row>
    <row r="962" customFormat="false" ht="15" hidden="false" customHeight="false" outlineLevel="0" collapsed="false">
      <c r="A962" s="2" t="n">
        <v>2192</v>
      </c>
      <c r="B962" s="2" t="s">
        <v>610</v>
      </c>
      <c r="C962" s="2" t="s">
        <v>539</v>
      </c>
      <c r="D962" s="2" t="s">
        <v>147</v>
      </c>
      <c r="E962" s="2" t="s">
        <v>3771</v>
      </c>
      <c r="F962" s="2" t="s">
        <v>3606</v>
      </c>
      <c r="G962" s="2" t="s">
        <v>3600</v>
      </c>
      <c r="H962" s="5" t="n">
        <v>2</v>
      </c>
      <c r="I962" s="5" t="s">
        <v>51</v>
      </c>
      <c r="J962" s="5" t="s">
        <v>52</v>
      </c>
      <c r="K962" s="5" t="s">
        <v>182</v>
      </c>
      <c r="L962" s="5" t="n">
        <v>600</v>
      </c>
      <c r="M962" s="5" t="n">
        <v>1200</v>
      </c>
      <c r="N962" s="6" t="n">
        <f aca="false">L962*0.6*H962</f>
        <v>720</v>
      </c>
      <c r="O962" s="6" t="n">
        <f aca="false">M962-N962</f>
        <v>480</v>
      </c>
      <c r="P962" s="7" t="n">
        <f aca="false">IF(M962=0,0,O962/M962)</f>
        <v>0.4</v>
      </c>
    </row>
    <row r="963" customFormat="false" ht="15" hidden="false" customHeight="false" outlineLevel="0" collapsed="false">
      <c r="A963" s="3" t="n">
        <v>2193</v>
      </c>
      <c r="B963" s="3" t="s">
        <v>2751</v>
      </c>
      <c r="C963" s="3" t="s">
        <v>1935</v>
      </c>
      <c r="D963" s="3" t="s">
        <v>108</v>
      </c>
      <c r="E963" s="3" t="s">
        <v>3646</v>
      </c>
      <c r="F963" s="3" t="s">
        <v>3599</v>
      </c>
      <c r="G963" s="3" t="s">
        <v>3600</v>
      </c>
      <c r="H963" s="8" t="n">
        <v>2</v>
      </c>
      <c r="I963" s="8" t="s">
        <v>51</v>
      </c>
      <c r="J963" s="8" t="s">
        <v>121</v>
      </c>
      <c r="K963" s="8" t="s">
        <v>317</v>
      </c>
      <c r="L963" s="8" t="n">
        <v>1200</v>
      </c>
      <c r="M963" s="8" t="n">
        <v>2400</v>
      </c>
      <c r="N963" s="6" t="n">
        <f aca="false">L963*0.6*H963</f>
        <v>1440</v>
      </c>
      <c r="O963" s="6" t="n">
        <f aca="false">M963-N963</f>
        <v>960</v>
      </c>
      <c r="P963" s="7" t="n">
        <f aca="false">IF(M963=0,0,O963/M963)</f>
        <v>0.4</v>
      </c>
    </row>
    <row r="964" customFormat="false" ht="15" hidden="false" customHeight="false" outlineLevel="0" collapsed="false">
      <c r="A964" s="2" t="n">
        <v>2194</v>
      </c>
      <c r="B964" s="2" t="s">
        <v>371</v>
      </c>
      <c r="C964" s="2" t="s">
        <v>2408</v>
      </c>
      <c r="D964" s="2" t="s">
        <v>34</v>
      </c>
      <c r="E964" s="2" t="s">
        <v>3935</v>
      </c>
      <c r="F964" s="2" t="s">
        <v>2379</v>
      </c>
      <c r="G964" s="2" t="s">
        <v>3592</v>
      </c>
      <c r="H964" s="5" t="n">
        <v>1</v>
      </c>
      <c r="I964" s="5" t="s">
        <v>18</v>
      </c>
      <c r="J964" s="5" t="s">
        <v>59</v>
      </c>
      <c r="K964" s="5" t="s">
        <v>292</v>
      </c>
      <c r="L964" s="5" t="n">
        <v>300</v>
      </c>
      <c r="M964" s="5" t="n">
        <v>300</v>
      </c>
      <c r="N964" s="6" t="n">
        <f aca="false">L964*0.6*H964</f>
        <v>180</v>
      </c>
      <c r="O964" s="6" t="n">
        <f aca="false">M964-N964</f>
        <v>120</v>
      </c>
      <c r="P964" s="7" t="n">
        <f aca="false">IF(M964=0,0,O964/M964)</f>
        <v>0.4</v>
      </c>
    </row>
    <row r="965" customFormat="false" ht="15" hidden="false" customHeight="false" outlineLevel="0" collapsed="false">
      <c r="A965" s="3" t="n">
        <v>2195</v>
      </c>
      <c r="B965" s="3" t="s">
        <v>391</v>
      </c>
      <c r="C965" s="3" t="s">
        <v>3132</v>
      </c>
      <c r="D965" s="3" t="s">
        <v>147</v>
      </c>
      <c r="E965" s="3" t="s">
        <v>3706</v>
      </c>
      <c r="F965" s="3" t="s">
        <v>3606</v>
      </c>
      <c r="G965" s="3" t="s">
        <v>3600</v>
      </c>
      <c r="H965" s="8" t="n">
        <v>2</v>
      </c>
      <c r="I965" s="8" t="s">
        <v>51</v>
      </c>
      <c r="J965" s="8" t="s">
        <v>19</v>
      </c>
      <c r="K965" s="8" t="s">
        <v>21</v>
      </c>
      <c r="L965" s="8" t="n">
        <v>600</v>
      </c>
      <c r="M965" s="8" t="n">
        <v>1200</v>
      </c>
      <c r="N965" s="6" t="n">
        <f aca="false">L965*0.6*H965</f>
        <v>720</v>
      </c>
      <c r="O965" s="6" t="n">
        <f aca="false">M965-N965</f>
        <v>480</v>
      </c>
      <c r="P965" s="7" t="n">
        <f aca="false">IF(M965=0,0,O965/M965)</f>
        <v>0.4</v>
      </c>
    </row>
    <row r="966" customFormat="false" ht="15" hidden="false" customHeight="false" outlineLevel="0" collapsed="false">
      <c r="A966" s="2" t="n">
        <v>2196</v>
      </c>
      <c r="B966" s="2" t="s">
        <v>752</v>
      </c>
      <c r="C966" s="2" t="s">
        <v>3477</v>
      </c>
      <c r="D966" s="2" t="s">
        <v>49</v>
      </c>
      <c r="E966" s="2" t="s">
        <v>3767</v>
      </c>
      <c r="F966" s="2" t="s">
        <v>3591</v>
      </c>
      <c r="G966" s="2" t="s">
        <v>3592</v>
      </c>
      <c r="H966" s="5" t="n">
        <v>3</v>
      </c>
      <c r="I966" s="5" t="s">
        <v>51</v>
      </c>
      <c r="J966" s="5" t="s">
        <v>43</v>
      </c>
      <c r="K966" s="5" t="s">
        <v>67</v>
      </c>
      <c r="L966" s="5" t="n">
        <v>250</v>
      </c>
      <c r="M966" s="5" t="n">
        <v>750</v>
      </c>
      <c r="N966" s="6" t="n">
        <f aca="false">L966*0.6*H966</f>
        <v>450</v>
      </c>
      <c r="O966" s="6" t="n">
        <f aca="false">M966-N966</f>
        <v>300</v>
      </c>
      <c r="P966" s="7" t="n">
        <f aca="false">IF(M966=0,0,O966/M966)</f>
        <v>0.4</v>
      </c>
    </row>
    <row r="967" customFormat="false" ht="15" hidden="false" customHeight="false" outlineLevel="0" collapsed="false">
      <c r="A967" s="3" t="n">
        <v>2197</v>
      </c>
      <c r="B967" s="3" t="s">
        <v>3090</v>
      </c>
      <c r="C967" s="3" t="s">
        <v>3480</v>
      </c>
      <c r="D967" s="3" t="s">
        <v>34</v>
      </c>
      <c r="E967" s="3" t="s">
        <v>3789</v>
      </c>
      <c r="F967" s="3" t="s">
        <v>3599</v>
      </c>
      <c r="G967" s="3" t="s">
        <v>3600</v>
      </c>
      <c r="H967" s="8" t="n">
        <v>2</v>
      </c>
      <c r="I967" s="8" t="s">
        <v>51</v>
      </c>
      <c r="J967" s="8" t="s">
        <v>52</v>
      </c>
      <c r="K967" s="8" t="s">
        <v>182</v>
      </c>
      <c r="L967" s="8" t="n">
        <v>300</v>
      </c>
      <c r="M967" s="8" t="n">
        <v>600</v>
      </c>
      <c r="N967" s="6" t="n">
        <f aca="false">L967*0.6*H967</f>
        <v>360</v>
      </c>
      <c r="O967" s="6" t="n">
        <f aca="false">M967-N967</f>
        <v>240</v>
      </c>
      <c r="P967" s="7" t="n">
        <f aca="false">IF(M967=0,0,O967/M967)</f>
        <v>0.4</v>
      </c>
    </row>
    <row r="968" customFormat="false" ht="15" hidden="false" customHeight="false" outlineLevel="0" collapsed="false">
      <c r="A968" s="2" t="n">
        <v>2198</v>
      </c>
      <c r="B968" s="2" t="s">
        <v>2067</v>
      </c>
      <c r="C968" s="2" t="s">
        <v>1788</v>
      </c>
      <c r="D968" s="2" t="s">
        <v>147</v>
      </c>
      <c r="E968" s="2" t="s">
        <v>3739</v>
      </c>
      <c r="F968" s="2" t="s">
        <v>3625</v>
      </c>
      <c r="G968" s="2" t="s">
        <v>3592</v>
      </c>
      <c r="H968" s="5" t="n">
        <v>2</v>
      </c>
      <c r="I968" s="5" t="s">
        <v>51</v>
      </c>
      <c r="J968" s="5" t="s">
        <v>121</v>
      </c>
      <c r="K968" s="5" t="s">
        <v>317</v>
      </c>
      <c r="L968" s="5" t="n">
        <v>600</v>
      </c>
      <c r="M968" s="5" t="n">
        <v>1200</v>
      </c>
      <c r="N968" s="6" t="n">
        <f aca="false">L968*0.6*H968</f>
        <v>720</v>
      </c>
      <c r="O968" s="6" t="n">
        <f aca="false">M968-N968</f>
        <v>480</v>
      </c>
      <c r="P968" s="7" t="n">
        <f aca="false">IF(M968=0,0,O968/M968)</f>
        <v>0.4</v>
      </c>
    </row>
    <row r="969" customFormat="false" ht="15" hidden="false" customHeight="false" outlineLevel="0" collapsed="false">
      <c r="A969" s="3" t="n">
        <v>2199</v>
      </c>
      <c r="B969" s="3" t="s">
        <v>3485</v>
      </c>
      <c r="C969" s="3" t="s">
        <v>353</v>
      </c>
      <c r="D969" s="3" t="s">
        <v>16</v>
      </c>
      <c r="E969" s="3" t="s">
        <v>3605</v>
      </c>
      <c r="F969" s="3" t="s">
        <v>3606</v>
      </c>
      <c r="G969" s="3" t="s">
        <v>3600</v>
      </c>
      <c r="H969" s="8" t="n">
        <v>3</v>
      </c>
      <c r="I969" s="8" t="s">
        <v>51</v>
      </c>
      <c r="J969" s="8" t="s">
        <v>59</v>
      </c>
      <c r="K969" s="8" t="s">
        <v>61</v>
      </c>
      <c r="L969" s="8" t="n">
        <v>250</v>
      </c>
      <c r="M969" s="8" t="n">
        <v>750</v>
      </c>
      <c r="N969" s="6" t="n">
        <f aca="false">L969*0.6*H969</f>
        <v>450</v>
      </c>
      <c r="O969" s="6" t="n">
        <f aca="false">M969-N969</f>
        <v>300</v>
      </c>
      <c r="P969" s="7" t="n">
        <f aca="false">IF(M969=0,0,O969/M969)</f>
        <v>0.4</v>
      </c>
    </row>
    <row r="970" customFormat="false" ht="15" hidden="false" customHeight="false" outlineLevel="0" collapsed="false">
      <c r="A970" s="2" t="n">
        <v>2200</v>
      </c>
      <c r="B970" s="2" t="s">
        <v>1428</v>
      </c>
      <c r="C970" s="2" t="s">
        <v>3488</v>
      </c>
      <c r="D970" s="2" t="s">
        <v>49</v>
      </c>
      <c r="E970" s="2" t="s">
        <v>3636</v>
      </c>
      <c r="F970" s="2" t="s">
        <v>3610</v>
      </c>
      <c r="G970" s="2" t="s">
        <v>3600</v>
      </c>
      <c r="H970" s="5" t="n">
        <v>2</v>
      </c>
      <c r="I970" s="5" t="s">
        <v>51</v>
      </c>
      <c r="J970" s="5" t="s">
        <v>28</v>
      </c>
      <c r="K970" s="5" t="s">
        <v>30</v>
      </c>
      <c r="L970" s="5" t="n">
        <v>250</v>
      </c>
      <c r="M970" s="5" t="n">
        <v>500</v>
      </c>
      <c r="N970" s="6" t="n">
        <f aca="false">L970*0.6*H970</f>
        <v>300</v>
      </c>
      <c r="O970" s="6" t="n">
        <f aca="false">M970-N970</f>
        <v>200</v>
      </c>
      <c r="P970" s="7" t="n">
        <f aca="false">IF(M970=0,0,O970/M970)</f>
        <v>0.4</v>
      </c>
    </row>
    <row r="971" customFormat="false" ht="15" hidden="false" customHeight="false" outlineLevel="0" collapsed="false">
      <c r="A971" s="3" t="n">
        <v>2201</v>
      </c>
      <c r="B971" s="3" t="s">
        <v>3491</v>
      </c>
      <c r="C971" s="3" t="s">
        <v>1698</v>
      </c>
      <c r="D971" s="3" t="s">
        <v>16</v>
      </c>
      <c r="E971" s="3" t="s">
        <v>3784</v>
      </c>
      <c r="F971" s="3" t="s">
        <v>3628</v>
      </c>
      <c r="G971" s="3" t="s">
        <v>3595</v>
      </c>
      <c r="H971" s="8" t="n">
        <v>3</v>
      </c>
      <c r="I971" s="8" t="s">
        <v>18</v>
      </c>
      <c r="J971" s="8" t="s">
        <v>52</v>
      </c>
      <c r="K971" s="8" t="s">
        <v>182</v>
      </c>
      <c r="L971" s="8" t="n">
        <v>250</v>
      </c>
      <c r="M971" s="8" t="n">
        <v>750</v>
      </c>
      <c r="N971" s="6" t="n">
        <f aca="false">L971*0.6*H971</f>
        <v>450</v>
      </c>
      <c r="O971" s="6" t="n">
        <f aca="false">M971-N971</f>
        <v>300</v>
      </c>
      <c r="P971" s="7" t="n">
        <f aca="false">IF(M971=0,0,O971/M971)</f>
        <v>0.4</v>
      </c>
    </row>
    <row r="972" customFormat="false" ht="15" hidden="false" customHeight="false" outlineLevel="0" collapsed="false">
      <c r="A972" s="2" t="n">
        <v>2202</v>
      </c>
      <c r="B972" s="2" t="s">
        <v>2343</v>
      </c>
      <c r="C972" s="2" t="s">
        <v>2267</v>
      </c>
      <c r="D972" s="2" t="s">
        <v>108</v>
      </c>
      <c r="E972" s="2" t="s">
        <v>3892</v>
      </c>
      <c r="F972" s="2" t="s">
        <v>3613</v>
      </c>
      <c r="G972" s="2" t="s">
        <v>3604</v>
      </c>
      <c r="H972" s="5" t="n">
        <v>2</v>
      </c>
      <c r="I972" s="5" t="s">
        <v>18</v>
      </c>
      <c r="J972" s="5" t="s">
        <v>78</v>
      </c>
      <c r="K972" s="5" t="s">
        <v>80</v>
      </c>
      <c r="L972" s="5" t="n">
        <v>1200</v>
      </c>
      <c r="M972" s="5" t="n">
        <v>2400</v>
      </c>
      <c r="N972" s="6" t="n">
        <f aca="false">L972*0.6*H972</f>
        <v>1440</v>
      </c>
      <c r="O972" s="6" t="n">
        <f aca="false">M972-N972</f>
        <v>960</v>
      </c>
      <c r="P972" s="7" t="n">
        <f aca="false">IF(M972=0,0,O972/M972)</f>
        <v>0.4</v>
      </c>
    </row>
    <row r="973" customFormat="false" ht="15" hidden="false" customHeight="false" outlineLevel="0" collapsed="false">
      <c r="A973" s="3" t="n">
        <v>2203</v>
      </c>
      <c r="B973" s="3" t="s">
        <v>1827</v>
      </c>
      <c r="C973" s="3" t="s">
        <v>3496</v>
      </c>
      <c r="D973" s="3" t="s">
        <v>147</v>
      </c>
      <c r="E973" s="3" t="s">
        <v>3840</v>
      </c>
      <c r="F973" s="3" t="s">
        <v>3591</v>
      </c>
      <c r="G973" s="3" t="s">
        <v>3592</v>
      </c>
      <c r="H973" s="8" t="n">
        <v>3</v>
      </c>
      <c r="I973" s="8" t="s">
        <v>51</v>
      </c>
      <c r="J973" s="8" t="s">
        <v>36</v>
      </c>
      <c r="K973" s="8" t="s">
        <v>170</v>
      </c>
      <c r="L973" s="8" t="n">
        <v>600</v>
      </c>
      <c r="M973" s="8" t="n">
        <v>1800</v>
      </c>
      <c r="N973" s="6" t="n">
        <f aca="false">L973*0.6*H973</f>
        <v>1080</v>
      </c>
      <c r="O973" s="6" t="n">
        <f aca="false">M973-N973</f>
        <v>720</v>
      </c>
      <c r="P973" s="7" t="n">
        <f aca="false">IF(M973=0,0,O973/M973)</f>
        <v>0.4</v>
      </c>
    </row>
    <row r="974" customFormat="false" ht="15" hidden="false" customHeight="false" outlineLevel="0" collapsed="false">
      <c r="A974" s="2" t="n">
        <v>2204</v>
      </c>
      <c r="B974" s="2" t="s">
        <v>601</v>
      </c>
      <c r="C974" s="2" t="s">
        <v>3499</v>
      </c>
      <c r="D974" s="2" t="s">
        <v>147</v>
      </c>
      <c r="E974" s="2" t="s">
        <v>3871</v>
      </c>
      <c r="F974" s="2" t="s">
        <v>3613</v>
      </c>
      <c r="G974" s="2" t="s">
        <v>3604</v>
      </c>
      <c r="H974" s="5" t="n">
        <v>1</v>
      </c>
      <c r="I974" s="5" t="s">
        <v>97</v>
      </c>
      <c r="J974" s="5" t="s">
        <v>36</v>
      </c>
      <c r="K974" s="5" t="s">
        <v>192</v>
      </c>
      <c r="L974" s="5" t="n">
        <v>600</v>
      </c>
      <c r="M974" s="5" t="n">
        <v>600</v>
      </c>
      <c r="N974" s="6" t="n">
        <f aca="false">L974*0.6*H974</f>
        <v>360</v>
      </c>
      <c r="O974" s="6" t="n">
        <f aca="false">M974-N974</f>
        <v>240</v>
      </c>
      <c r="P974" s="7" t="n">
        <f aca="false">IF(M974=0,0,O974/M974)</f>
        <v>0.4</v>
      </c>
    </row>
    <row r="975" customFormat="false" ht="15" hidden="false" customHeight="false" outlineLevel="0" collapsed="false">
      <c r="A975" s="3" t="n">
        <v>2205</v>
      </c>
      <c r="B975" s="3" t="s">
        <v>3503</v>
      </c>
      <c r="C975" s="3" t="s">
        <v>3502</v>
      </c>
      <c r="D975" s="3" t="s">
        <v>49</v>
      </c>
      <c r="E975" s="3" t="s">
        <v>3946</v>
      </c>
      <c r="F975" s="3" t="s">
        <v>3591</v>
      </c>
      <c r="G975" s="3" t="s">
        <v>3592</v>
      </c>
      <c r="H975" s="8" t="n">
        <v>2</v>
      </c>
      <c r="I975" s="8" t="s">
        <v>27</v>
      </c>
      <c r="J975" s="8" t="s">
        <v>43</v>
      </c>
      <c r="K975" s="8" t="s">
        <v>67</v>
      </c>
      <c r="L975" s="8" t="n">
        <v>250</v>
      </c>
      <c r="M975" s="8" t="n">
        <v>500</v>
      </c>
      <c r="N975" s="6" t="n">
        <f aca="false">L975*0.6*H975</f>
        <v>300</v>
      </c>
      <c r="O975" s="6" t="n">
        <f aca="false">M975-N975</f>
        <v>200</v>
      </c>
      <c r="P975" s="7" t="n">
        <f aca="false">IF(M975=0,0,O975/M975)</f>
        <v>0.4</v>
      </c>
    </row>
    <row r="976" customFormat="false" ht="15" hidden="false" customHeight="false" outlineLevel="0" collapsed="false">
      <c r="A976" s="2" t="n">
        <v>2206</v>
      </c>
      <c r="B976" s="2" t="s">
        <v>1082</v>
      </c>
      <c r="C976" s="2" t="s">
        <v>2646</v>
      </c>
      <c r="D976" s="2" t="s">
        <v>108</v>
      </c>
      <c r="E976" s="2" t="s">
        <v>3614</v>
      </c>
      <c r="F976" s="2" t="s">
        <v>3594</v>
      </c>
      <c r="G976" s="2" t="s">
        <v>3595</v>
      </c>
      <c r="H976" s="5" t="n">
        <v>2</v>
      </c>
      <c r="I976" s="5" t="s">
        <v>18</v>
      </c>
      <c r="J976" s="5" t="s">
        <v>59</v>
      </c>
      <c r="K976" s="5" t="s">
        <v>292</v>
      </c>
      <c r="L976" s="5" t="n">
        <v>1200</v>
      </c>
      <c r="M976" s="5" t="n">
        <v>2400</v>
      </c>
      <c r="N976" s="6" t="n">
        <f aca="false">L976*0.6*H976</f>
        <v>1440</v>
      </c>
      <c r="O976" s="6" t="n">
        <f aca="false">M976-N976</f>
        <v>960</v>
      </c>
      <c r="P976" s="7" t="n">
        <f aca="false">IF(M976=0,0,O976/M976)</f>
        <v>0.4</v>
      </c>
    </row>
    <row r="977" customFormat="false" ht="15" hidden="false" customHeight="false" outlineLevel="0" collapsed="false">
      <c r="A977" s="3" t="n">
        <v>2207</v>
      </c>
      <c r="B977" s="3" t="s">
        <v>1313</v>
      </c>
      <c r="C977" s="3" t="s">
        <v>462</v>
      </c>
      <c r="D977" s="3" t="s">
        <v>108</v>
      </c>
      <c r="E977" s="3" t="s">
        <v>3931</v>
      </c>
      <c r="F977" s="3" t="s">
        <v>3594</v>
      </c>
      <c r="G977" s="3" t="s">
        <v>3595</v>
      </c>
      <c r="H977" s="8" t="n">
        <v>1</v>
      </c>
      <c r="I977" s="8" t="s">
        <v>51</v>
      </c>
      <c r="J977" s="8" t="s">
        <v>19</v>
      </c>
      <c r="K977" s="8" t="s">
        <v>21</v>
      </c>
      <c r="L977" s="8" t="n">
        <v>1200</v>
      </c>
      <c r="M977" s="8" t="n">
        <v>1200</v>
      </c>
      <c r="N977" s="6" t="n">
        <f aca="false">L977*0.6*H977</f>
        <v>720</v>
      </c>
      <c r="O977" s="6" t="n">
        <f aca="false">M977-N977</f>
        <v>480</v>
      </c>
      <c r="P977" s="7" t="n">
        <f aca="false">IF(M977=0,0,O977/M977)</f>
        <v>0.4</v>
      </c>
    </row>
    <row r="978" customFormat="false" ht="15" hidden="false" customHeight="false" outlineLevel="0" collapsed="false">
      <c r="A978" s="2" t="n">
        <v>2208</v>
      </c>
      <c r="B978" s="2" t="s">
        <v>3511</v>
      </c>
      <c r="C978" s="2" t="s">
        <v>3253</v>
      </c>
      <c r="D978" s="2" t="s">
        <v>34</v>
      </c>
      <c r="E978" s="2" t="s">
        <v>3935</v>
      </c>
      <c r="F978" s="2" t="s">
        <v>2379</v>
      </c>
      <c r="G978" s="2" t="s">
        <v>3592</v>
      </c>
      <c r="H978" s="5" t="n">
        <v>3</v>
      </c>
      <c r="I978" s="5" t="s">
        <v>18</v>
      </c>
      <c r="J978" s="5" t="s">
        <v>121</v>
      </c>
      <c r="K978" s="5" t="s">
        <v>123</v>
      </c>
      <c r="L978" s="5" t="n">
        <v>300</v>
      </c>
      <c r="M978" s="5" t="n">
        <v>900</v>
      </c>
      <c r="N978" s="6" t="n">
        <f aca="false">L978*0.6*H978</f>
        <v>540</v>
      </c>
      <c r="O978" s="6" t="n">
        <f aca="false">M978-N978</f>
        <v>360</v>
      </c>
      <c r="P978" s="7" t="n">
        <f aca="false">IF(M978=0,0,O978/M978)</f>
        <v>0.4</v>
      </c>
    </row>
    <row r="979" customFormat="false" ht="15" hidden="false" customHeight="false" outlineLevel="0" collapsed="false">
      <c r="A979" s="3" t="n">
        <v>2209</v>
      </c>
      <c r="B979" s="3" t="s">
        <v>3514</v>
      </c>
      <c r="C979" s="3" t="s">
        <v>1135</v>
      </c>
      <c r="D979" s="3" t="s">
        <v>49</v>
      </c>
      <c r="E979" s="3" t="s">
        <v>3713</v>
      </c>
      <c r="F979" s="3" t="s">
        <v>3613</v>
      </c>
      <c r="G979" s="3" t="s">
        <v>3604</v>
      </c>
      <c r="H979" s="8" t="n">
        <v>3</v>
      </c>
      <c r="I979" s="8" t="s">
        <v>18</v>
      </c>
      <c r="J979" s="8" t="s">
        <v>36</v>
      </c>
      <c r="K979" s="8" t="s">
        <v>192</v>
      </c>
      <c r="L979" s="8" t="n">
        <v>250</v>
      </c>
      <c r="M979" s="8" t="n">
        <v>750</v>
      </c>
      <c r="N979" s="6" t="n">
        <f aca="false">L979*0.6*H979</f>
        <v>450</v>
      </c>
      <c r="O979" s="6" t="n">
        <f aca="false">M979-N979</f>
        <v>300</v>
      </c>
      <c r="P979" s="7" t="n">
        <f aca="false">IF(M979=0,0,O979/M979)</f>
        <v>0.4</v>
      </c>
    </row>
    <row r="980" customFormat="false" ht="15" hidden="false" customHeight="false" outlineLevel="0" collapsed="false">
      <c r="A980" s="2" t="n">
        <v>2210</v>
      </c>
      <c r="B980" s="2" t="s">
        <v>2371</v>
      </c>
      <c r="C980" s="2" t="s">
        <v>500</v>
      </c>
      <c r="D980" s="2" t="s">
        <v>108</v>
      </c>
      <c r="E980" s="2" t="s">
        <v>3947</v>
      </c>
      <c r="F980" s="2" t="s">
        <v>3625</v>
      </c>
      <c r="G980" s="2" t="s">
        <v>3592</v>
      </c>
      <c r="H980" s="5" t="n">
        <v>3</v>
      </c>
      <c r="I980" s="5" t="s">
        <v>18</v>
      </c>
      <c r="J980" s="5" t="s">
        <v>59</v>
      </c>
      <c r="K980" s="5" t="s">
        <v>61</v>
      </c>
      <c r="L980" s="5" t="n">
        <v>1200</v>
      </c>
      <c r="M980" s="5" t="n">
        <v>3600</v>
      </c>
      <c r="N980" s="6" t="n">
        <f aca="false">L980*0.6*H980</f>
        <v>2160</v>
      </c>
      <c r="O980" s="6" t="n">
        <f aca="false">M980-N980</f>
        <v>1440</v>
      </c>
      <c r="P980" s="7" t="n">
        <f aca="false">IF(M980=0,0,O980/M980)</f>
        <v>0.4</v>
      </c>
    </row>
    <row r="981" customFormat="false" ht="15" hidden="false" customHeight="false" outlineLevel="0" collapsed="false">
      <c r="A981" s="3" t="n">
        <v>2211</v>
      </c>
      <c r="B981" s="3" t="s">
        <v>220</v>
      </c>
      <c r="C981" s="3" t="s">
        <v>674</v>
      </c>
      <c r="D981" s="3" t="s">
        <v>147</v>
      </c>
      <c r="E981" s="3" t="s">
        <v>3679</v>
      </c>
      <c r="F981" s="3" t="s">
        <v>3628</v>
      </c>
      <c r="G981" s="3" t="s">
        <v>3595</v>
      </c>
      <c r="H981" s="8" t="n">
        <v>1</v>
      </c>
      <c r="I981" s="8" t="s">
        <v>51</v>
      </c>
      <c r="J981" s="8" t="s">
        <v>78</v>
      </c>
      <c r="K981" s="8" t="s">
        <v>86</v>
      </c>
      <c r="L981" s="8" t="n">
        <v>600</v>
      </c>
      <c r="M981" s="8" t="n">
        <v>600</v>
      </c>
      <c r="N981" s="6" t="n">
        <f aca="false">L981*0.6*H981</f>
        <v>360</v>
      </c>
      <c r="O981" s="6" t="n">
        <f aca="false">M981-N981</f>
        <v>240</v>
      </c>
      <c r="P981" s="7" t="n">
        <f aca="false">IF(M981=0,0,O981/M981)</f>
        <v>0.4</v>
      </c>
    </row>
    <row r="982" customFormat="false" ht="15" hidden="false" customHeight="false" outlineLevel="0" collapsed="false">
      <c r="A982" s="2" t="n">
        <v>2212</v>
      </c>
      <c r="B982" s="2" t="s">
        <v>2760</v>
      </c>
      <c r="C982" s="2" t="s">
        <v>1780</v>
      </c>
      <c r="D982" s="2" t="s">
        <v>25</v>
      </c>
      <c r="E982" s="2" t="s">
        <v>3823</v>
      </c>
      <c r="F982" s="2" t="s">
        <v>3594</v>
      </c>
      <c r="G982" s="2" t="s">
        <v>3595</v>
      </c>
      <c r="H982" s="5" t="n">
        <v>2</v>
      </c>
      <c r="I982" s="5" t="s">
        <v>51</v>
      </c>
      <c r="J982" s="5" t="s">
        <v>78</v>
      </c>
      <c r="K982" s="5" t="s">
        <v>408</v>
      </c>
      <c r="L982" s="5" t="n">
        <v>800</v>
      </c>
      <c r="M982" s="5" t="n">
        <v>1600</v>
      </c>
      <c r="N982" s="6" t="n">
        <f aca="false">L982*0.6*H982</f>
        <v>960</v>
      </c>
      <c r="O982" s="6" t="n">
        <f aca="false">M982-N982</f>
        <v>640</v>
      </c>
      <c r="P982" s="7" t="n">
        <f aca="false">IF(M982=0,0,O982/M982)</f>
        <v>0.4</v>
      </c>
    </row>
    <row r="983" customFormat="false" ht="15" hidden="false" customHeight="false" outlineLevel="0" collapsed="false">
      <c r="A983" s="3" t="n">
        <v>2213</v>
      </c>
      <c r="B983" s="3" t="s">
        <v>1047</v>
      </c>
      <c r="C983" s="3" t="s">
        <v>3524</v>
      </c>
      <c r="D983" s="3" t="s">
        <v>108</v>
      </c>
      <c r="E983" s="3" t="s">
        <v>3802</v>
      </c>
      <c r="F983" s="3" t="s">
        <v>3613</v>
      </c>
      <c r="G983" s="3" t="s">
        <v>3604</v>
      </c>
      <c r="H983" s="8" t="n">
        <v>2</v>
      </c>
      <c r="I983" s="8" t="s">
        <v>97</v>
      </c>
      <c r="J983" s="8" t="s">
        <v>121</v>
      </c>
      <c r="K983" s="8" t="s">
        <v>123</v>
      </c>
      <c r="L983" s="8" t="n">
        <v>1200</v>
      </c>
      <c r="M983" s="8" t="n">
        <v>2400</v>
      </c>
      <c r="N983" s="6" t="n">
        <f aca="false">L983*0.6*H983</f>
        <v>1440</v>
      </c>
      <c r="O983" s="6" t="n">
        <f aca="false">M983-N983</f>
        <v>960</v>
      </c>
      <c r="P983" s="7" t="n">
        <f aca="false">IF(M983=0,0,O983/M983)</f>
        <v>0.4</v>
      </c>
    </row>
    <row r="984" customFormat="false" ht="15" hidden="false" customHeight="false" outlineLevel="0" collapsed="false">
      <c r="A984" s="2" t="n">
        <v>2214</v>
      </c>
      <c r="B984" s="2" t="s">
        <v>828</v>
      </c>
      <c r="C984" s="2" t="s">
        <v>1698</v>
      </c>
      <c r="D984" s="2" t="s">
        <v>25</v>
      </c>
      <c r="E984" s="2" t="s">
        <v>3843</v>
      </c>
      <c r="F984" s="2" t="s">
        <v>3603</v>
      </c>
      <c r="G984" s="2" t="s">
        <v>3604</v>
      </c>
      <c r="H984" s="5" t="n">
        <v>1</v>
      </c>
      <c r="I984" s="5" t="s">
        <v>51</v>
      </c>
      <c r="J984" s="5" t="s">
        <v>59</v>
      </c>
      <c r="K984" s="5" t="s">
        <v>292</v>
      </c>
      <c r="L984" s="5" t="n">
        <v>800</v>
      </c>
      <c r="M984" s="5" t="n">
        <v>800</v>
      </c>
      <c r="N984" s="6" t="n">
        <f aca="false">L984*0.6*H984</f>
        <v>480</v>
      </c>
      <c r="O984" s="6" t="n">
        <f aca="false">M984-N984</f>
        <v>320</v>
      </c>
      <c r="P984" s="7" t="n">
        <f aca="false">IF(M984=0,0,O984/M984)</f>
        <v>0.4</v>
      </c>
    </row>
    <row r="985" customFormat="false" ht="15" hidden="false" customHeight="false" outlineLevel="0" collapsed="false">
      <c r="A985" s="3" t="n">
        <v>2215</v>
      </c>
      <c r="B985" s="3" t="s">
        <v>3529</v>
      </c>
      <c r="C985" s="3" t="s">
        <v>2670</v>
      </c>
      <c r="D985" s="3" t="s">
        <v>16</v>
      </c>
      <c r="E985" s="3" t="s">
        <v>3869</v>
      </c>
      <c r="F985" s="3" t="s">
        <v>3608</v>
      </c>
      <c r="G985" s="3" t="s">
        <v>3604</v>
      </c>
      <c r="H985" s="8" t="n">
        <v>2</v>
      </c>
      <c r="I985" s="8" t="s">
        <v>51</v>
      </c>
      <c r="J985" s="8" t="s">
        <v>43</v>
      </c>
      <c r="K985" s="8" t="s">
        <v>111</v>
      </c>
      <c r="L985" s="8" t="n">
        <v>250</v>
      </c>
      <c r="M985" s="8" t="n">
        <v>500</v>
      </c>
      <c r="N985" s="6" t="n">
        <f aca="false">L985*0.6*H985</f>
        <v>300</v>
      </c>
      <c r="O985" s="6" t="n">
        <f aca="false">M985-N985</f>
        <v>200</v>
      </c>
      <c r="P985" s="7" t="n">
        <f aca="false">IF(M985=0,0,O985/M985)</f>
        <v>0.4</v>
      </c>
    </row>
    <row r="986" customFormat="false" ht="15" hidden="false" customHeight="false" outlineLevel="0" collapsed="false">
      <c r="A986" s="2" t="n">
        <v>2216</v>
      </c>
      <c r="B986" s="2" t="s">
        <v>3532</v>
      </c>
      <c r="C986" s="2" t="s">
        <v>1979</v>
      </c>
      <c r="D986" s="2" t="s">
        <v>34</v>
      </c>
      <c r="E986" s="2" t="s">
        <v>3618</v>
      </c>
      <c r="F986" s="2" t="s">
        <v>3610</v>
      </c>
      <c r="G986" s="2" t="s">
        <v>3600</v>
      </c>
      <c r="H986" s="5" t="n">
        <v>3</v>
      </c>
      <c r="I986" s="5" t="s">
        <v>51</v>
      </c>
      <c r="J986" s="5" t="s">
        <v>19</v>
      </c>
      <c r="K986" s="5" t="s">
        <v>73</v>
      </c>
      <c r="L986" s="5" t="n">
        <v>300</v>
      </c>
      <c r="M986" s="5" t="n">
        <v>900</v>
      </c>
      <c r="N986" s="6" t="n">
        <f aca="false">L986*0.6*H986</f>
        <v>540</v>
      </c>
      <c r="O986" s="6" t="n">
        <f aca="false">M986-N986</f>
        <v>360</v>
      </c>
      <c r="P986" s="7" t="n">
        <f aca="false">IF(M986=0,0,O986/M986)</f>
        <v>0.4</v>
      </c>
    </row>
    <row r="987" customFormat="false" ht="15" hidden="false" customHeight="false" outlineLevel="0" collapsed="false">
      <c r="A987" s="3" t="n">
        <v>2217</v>
      </c>
      <c r="B987" s="3" t="s">
        <v>2216</v>
      </c>
      <c r="C987" s="3" t="s">
        <v>69</v>
      </c>
      <c r="D987" s="3" t="s">
        <v>108</v>
      </c>
      <c r="E987" s="3" t="s">
        <v>3634</v>
      </c>
      <c r="F987" s="3" t="s">
        <v>3610</v>
      </c>
      <c r="G987" s="3" t="s">
        <v>3600</v>
      </c>
      <c r="H987" s="8" t="n">
        <v>2</v>
      </c>
      <c r="I987" s="8" t="s">
        <v>51</v>
      </c>
      <c r="J987" s="8" t="s">
        <v>28</v>
      </c>
      <c r="K987" s="8" t="s">
        <v>30</v>
      </c>
      <c r="L987" s="8" t="n">
        <v>1200</v>
      </c>
      <c r="M987" s="8" t="n">
        <v>2400</v>
      </c>
      <c r="N987" s="6" t="n">
        <f aca="false">L987*0.6*H987</f>
        <v>1440</v>
      </c>
      <c r="O987" s="6" t="n">
        <f aca="false">M987-N987</f>
        <v>960</v>
      </c>
      <c r="P987" s="7" t="n">
        <f aca="false">IF(M987=0,0,O987/M987)</f>
        <v>0.4</v>
      </c>
    </row>
    <row r="988" customFormat="false" ht="15" hidden="false" customHeight="false" outlineLevel="0" collapsed="false">
      <c r="A988" s="2" t="n">
        <v>2218</v>
      </c>
      <c r="B988" s="2" t="s">
        <v>1773</v>
      </c>
      <c r="C988" s="2" t="s">
        <v>2114</v>
      </c>
      <c r="D988" s="2" t="s">
        <v>108</v>
      </c>
      <c r="E988" s="2" t="s">
        <v>3887</v>
      </c>
      <c r="F988" s="2" t="s">
        <v>3628</v>
      </c>
      <c r="G988" s="2" t="s">
        <v>3595</v>
      </c>
      <c r="H988" s="5" t="n">
        <v>1</v>
      </c>
      <c r="I988" s="5" t="s">
        <v>18</v>
      </c>
      <c r="J988" s="5" t="s">
        <v>28</v>
      </c>
      <c r="K988" s="5" t="s">
        <v>30</v>
      </c>
      <c r="L988" s="5" t="n">
        <v>1200</v>
      </c>
      <c r="M988" s="5" t="n">
        <v>1200</v>
      </c>
      <c r="N988" s="6" t="n">
        <f aca="false">L988*0.6*H988</f>
        <v>720</v>
      </c>
      <c r="O988" s="6" t="n">
        <f aca="false">M988-N988</f>
        <v>480</v>
      </c>
      <c r="P988" s="7" t="n">
        <f aca="false">IF(M988=0,0,O988/M988)</f>
        <v>0.4</v>
      </c>
    </row>
    <row r="989" customFormat="false" ht="15" hidden="false" customHeight="false" outlineLevel="0" collapsed="false">
      <c r="A989" s="3" t="n">
        <v>2219</v>
      </c>
      <c r="B989" s="3" t="s">
        <v>3540</v>
      </c>
      <c r="C989" s="3" t="s">
        <v>3539</v>
      </c>
      <c r="D989" s="3" t="s">
        <v>108</v>
      </c>
      <c r="E989" s="3" t="s">
        <v>3761</v>
      </c>
      <c r="F989" s="3" t="s">
        <v>3594</v>
      </c>
      <c r="G989" s="3" t="s">
        <v>3595</v>
      </c>
      <c r="H989" s="8" t="n">
        <v>3</v>
      </c>
      <c r="I989" s="8" t="s">
        <v>51</v>
      </c>
      <c r="J989" s="8" t="s">
        <v>43</v>
      </c>
      <c r="K989" s="8" t="s">
        <v>111</v>
      </c>
      <c r="L989" s="8" t="n">
        <v>1200</v>
      </c>
      <c r="M989" s="8" t="n">
        <v>3600</v>
      </c>
      <c r="N989" s="6" t="n">
        <f aca="false">L989*0.6*H989</f>
        <v>2160</v>
      </c>
      <c r="O989" s="6" t="n">
        <f aca="false">M989-N989</f>
        <v>1440</v>
      </c>
      <c r="P989" s="7" t="n">
        <f aca="false">IF(M989=0,0,O989/M989)</f>
        <v>0.4</v>
      </c>
    </row>
    <row r="990" customFormat="false" ht="15" hidden="false" customHeight="false" outlineLevel="0" collapsed="false">
      <c r="A990" s="2" t="n">
        <v>2220</v>
      </c>
      <c r="B990" s="2" t="s">
        <v>3544</v>
      </c>
      <c r="C990" s="2" t="s">
        <v>3543</v>
      </c>
      <c r="D990" s="2" t="s">
        <v>34</v>
      </c>
      <c r="E990" s="2" t="s">
        <v>3881</v>
      </c>
      <c r="F990" s="2" t="s">
        <v>3594</v>
      </c>
      <c r="G990" s="2" t="s">
        <v>3595</v>
      </c>
      <c r="H990" s="5" t="n">
        <v>3</v>
      </c>
      <c r="I990" s="5" t="s">
        <v>51</v>
      </c>
      <c r="J990" s="5" t="s">
        <v>121</v>
      </c>
      <c r="K990" s="5" t="s">
        <v>123</v>
      </c>
      <c r="L990" s="5" t="n">
        <v>300</v>
      </c>
      <c r="M990" s="5" t="n">
        <v>900</v>
      </c>
      <c r="N990" s="6" t="n">
        <f aca="false">L990*0.6*H990</f>
        <v>540</v>
      </c>
      <c r="O990" s="6" t="n">
        <f aca="false">M990-N990</f>
        <v>360</v>
      </c>
      <c r="P990" s="7" t="n">
        <f aca="false">IF(M990=0,0,O990/M990)</f>
        <v>0.4</v>
      </c>
    </row>
    <row r="991" customFormat="false" ht="15" hidden="false" customHeight="false" outlineLevel="0" collapsed="false">
      <c r="A991" s="3" t="n">
        <v>2221</v>
      </c>
      <c r="B991" s="3" t="s">
        <v>2765</v>
      </c>
      <c r="C991" s="3" t="s">
        <v>3547</v>
      </c>
      <c r="D991" s="3" t="s">
        <v>108</v>
      </c>
      <c r="E991" s="3" t="s">
        <v>3658</v>
      </c>
      <c r="F991" s="3" t="s">
        <v>3606</v>
      </c>
      <c r="G991" s="3" t="s">
        <v>3600</v>
      </c>
      <c r="H991" s="8" t="n">
        <v>3</v>
      </c>
      <c r="I991" s="8" t="s">
        <v>51</v>
      </c>
      <c r="J991" s="8" t="s">
        <v>52</v>
      </c>
      <c r="K991" s="8" t="s">
        <v>182</v>
      </c>
      <c r="L991" s="8" t="n">
        <v>1200</v>
      </c>
      <c r="M991" s="8" t="n">
        <v>3600</v>
      </c>
      <c r="N991" s="6" t="n">
        <f aca="false">L991*0.6*H991</f>
        <v>2160</v>
      </c>
      <c r="O991" s="6" t="n">
        <f aca="false">M991-N991</f>
        <v>1440</v>
      </c>
      <c r="P991" s="7" t="n">
        <f aca="false">IF(M991=0,0,O991/M991)</f>
        <v>0.4</v>
      </c>
    </row>
    <row r="992" customFormat="false" ht="15" hidden="false" customHeight="false" outlineLevel="0" collapsed="false">
      <c r="A992" s="2" t="n">
        <v>2222</v>
      </c>
      <c r="B992" s="2" t="s">
        <v>2612</v>
      </c>
      <c r="C992" s="2" t="s">
        <v>2416</v>
      </c>
      <c r="D992" s="2" t="s">
        <v>108</v>
      </c>
      <c r="E992" s="2" t="s">
        <v>3663</v>
      </c>
      <c r="F992" s="2" t="s">
        <v>3625</v>
      </c>
      <c r="G992" s="2" t="s">
        <v>3592</v>
      </c>
      <c r="H992" s="5" t="n">
        <v>3</v>
      </c>
      <c r="I992" s="5" t="s">
        <v>18</v>
      </c>
      <c r="J992" s="5" t="s">
        <v>19</v>
      </c>
      <c r="K992" s="5" t="s">
        <v>73</v>
      </c>
      <c r="L992" s="5" t="n">
        <v>1200</v>
      </c>
      <c r="M992" s="5" t="n">
        <v>3600</v>
      </c>
      <c r="N992" s="6" t="n">
        <f aca="false">L992*0.6*H992</f>
        <v>2160</v>
      </c>
      <c r="O992" s="6" t="n">
        <f aca="false">M992-N992</f>
        <v>1440</v>
      </c>
      <c r="P992" s="7" t="n">
        <f aca="false">IF(M992=0,0,O992/M992)</f>
        <v>0.4</v>
      </c>
    </row>
    <row r="993" customFormat="false" ht="15" hidden="false" customHeight="false" outlineLevel="0" collapsed="false">
      <c r="A993" s="3" t="n">
        <v>2223</v>
      </c>
      <c r="B993" s="3" t="s">
        <v>358</v>
      </c>
      <c r="C993" s="3" t="s">
        <v>3552</v>
      </c>
      <c r="D993" s="3" t="s">
        <v>34</v>
      </c>
      <c r="E993" s="3" t="s">
        <v>3683</v>
      </c>
      <c r="F993" s="3" t="s">
        <v>1756</v>
      </c>
      <c r="G993" s="3" t="s">
        <v>3595</v>
      </c>
      <c r="H993" s="8" t="n">
        <v>2</v>
      </c>
      <c r="I993" s="8" t="s">
        <v>51</v>
      </c>
      <c r="J993" s="8" t="s">
        <v>121</v>
      </c>
      <c r="K993" s="8" t="s">
        <v>123</v>
      </c>
      <c r="L993" s="8" t="n">
        <v>300</v>
      </c>
      <c r="M993" s="8" t="n">
        <v>600</v>
      </c>
      <c r="N993" s="6" t="n">
        <f aca="false">L993*0.6*H993</f>
        <v>360</v>
      </c>
      <c r="O993" s="6" t="n">
        <f aca="false">M993-N993</f>
        <v>240</v>
      </c>
      <c r="P993" s="7" t="n">
        <f aca="false">IF(M993=0,0,O993/M993)</f>
        <v>0.4</v>
      </c>
    </row>
    <row r="994" customFormat="false" ht="15" hidden="false" customHeight="false" outlineLevel="0" collapsed="false">
      <c r="A994" s="2" t="n">
        <v>2224</v>
      </c>
      <c r="B994" s="2" t="s">
        <v>2147</v>
      </c>
      <c r="C994" s="2" t="s">
        <v>2262</v>
      </c>
      <c r="D994" s="2" t="s">
        <v>49</v>
      </c>
      <c r="E994" s="2" t="s">
        <v>3909</v>
      </c>
      <c r="F994" s="2" t="s">
        <v>3591</v>
      </c>
      <c r="G994" s="2" t="s">
        <v>3592</v>
      </c>
      <c r="H994" s="5" t="n">
        <v>2</v>
      </c>
      <c r="I994" s="5" t="s">
        <v>18</v>
      </c>
      <c r="J994" s="5" t="s">
        <v>78</v>
      </c>
      <c r="K994" s="5" t="s">
        <v>408</v>
      </c>
      <c r="L994" s="5" t="n">
        <v>250</v>
      </c>
      <c r="M994" s="5" t="n">
        <v>500</v>
      </c>
      <c r="N994" s="6" t="n">
        <f aca="false">L994*0.6*H994</f>
        <v>300</v>
      </c>
      <c r="O994" s="6" t="n">
        <f aca="false">M994-N994</f>
        <v>200</v>
      </c>
      <c r="P994" s="7" t="n">
        <f aca="false">IF(M994=0,0,O994/M994)</f>
        <v>0.4</v>
      </c>
    </row>
    <row r="995" customFormat="false" ht="15" hidden="false" customHeight="false" outlineLevel="0" collapsed="false">
      <c r="A995" s="3" t="n">
        <v>2225</v>
      </c>
      <c r="B995" s="3" t="s">
        <v>2723</v>
      </c>
      <c r="C995" s="3" t="s">
        <v>2109</v>
      </c>
      <c r="D995" s="3" t="s">
        <v>147</v>
      </c>
      <c r="E995" s="3" t="s">
        <v>3798</v>
      </c>
      <c r="F995" s="3" t="s">
        <v>3625</v>
      </c>
      <c r="G995" s="3" t="s">
        <v>3592</v>
      </c>
      <c r="H995" s="8" t="n">
        <v>1</v>
      </c>
      <c r="I995" s="8" t="s">
        <v>18</v>
      </c>
      <c r="J995" s="8" t="s">
        <v>19</v>
      </c>
      <c r="K995" s="8" t="s">
        <v>21</v>
      </c>
      <c r="L995" s="8" t="n">
        <v>600</v>
      </c>
      <c r="M995" s="8" t="n">
        <v>600</v>
      </c>
      <c r="N995" s="6" t="n">
        <f aca="false">L995*0.6*H995</f>
        <v>360</v>
      </c>
      <c r="O995" s="6" t="n">
        <f aca="false">M995-N995</f>
        <v>240</v>
      </c>
      <c r="P995" s="7" t="n">
        <f aca="false">IF(M995=0,0,O995/M995)</f>
        <v>0.4</v>
      </c>
    </row>
    <row r="996" customFormat="false" ht="15" hidden="false" customHeight="false" outlineLevel="0" collapsed="false">
      <c r="A996" s="2" t="n">
        <v>2226</v>
      </c>
      <c r="B996" s="2" t="s">
        <v>3503</v>
      </c>
      <c r="C996" s="2" t="s">
        <v>3559</v>
      </c>
      <c r="D996" s="2" t="s">
        <v>147</v>
      </c>
      <c r="E996" s="2" t="s">
        <v>3626</v>
      </c>
      <c r="F996" s="2" t="s">
        <v>3613</v>
      </c>
      <c r="G996" s="2" t="s">
        <v>3604</v>
      </c>
      <c r="H996" s="5" t="n">
        <v>1</v>
      </c>
      <c r="I996" s="5" t="s">
        <v>18</v>
      </c>
      <c r="J996" s="5" t="s">
        <v>36</v>
      </c>
      <c r="K996" s="5" t="s">
        <v>170</v>
      </c>
      <c r="L996" s="5" t="n">
        <v>600</v>
      </c>
      <c r="M996" s="5" t="n">
        <v>600</v>
      </c>
      <c r="N996" s="6" t="n">
        <f aca="false">L996*0.6*H996</f>
        <v>360</v>
      </c>
      <c r="O996" s="6" t="n">
        <f aca="false">M996-N996</f>
        <v>240</v>
      </c>
      <c r="P996" s="7" t="n">
        <f aca="false">IF(M996=0,0,O996/M996)</f>
        <v>0.4</v>
      </c>
    </row>
    <row r="997" customFormat="false" ht="15" hidden="false" customHeight="false" outlineLevel="0" collapsed="false">
      <c r="A997" s="3" t="n">
        <v>2227</v>
      </c>
      <c r="B997" s="3" t="s">
        <v>3562</v>
      </c>
      <c r="C997" s="3" t="s">
        <v>1130</v>
      </c>
      <c r="D997" s="3" t="s">
        <v>108</v>
      </c>
      <c r="E997" s="3" t="s">
        <v>3636</v>
      </c>
      <c r="F997" s="3" t="s">
        <v>3610</v>
      </c>
      <c r="G997" s="3" t="s">
        <v>3600</v>
      </c>
      <c r="H997" s="8" t="n">
        <v>3</v>
      </c>
      <c r="I997" s="8" t="s">
        <v>51</v>
      </c>
      <c r="J997" s="8" t="s">
        <v>52</v>
      </c>
      <c r="K997" s="8" t="s">
        <v>92</v>
      </c>
      <c r="L997" s="8" t="n">
        <v>1200</v>
      </c>
      <c r="M997" s="8" t="n">
        <v>3600</v>
      </c>
      <c r="N997" s="6" t="n">
        <f aca="false">L997*0.6*H997</f>
        <v>2160</v>
      </c>
      <c r="O997" s="6" t="n">
        <f aca="false">M997-N997</f>
        <v>1440</v>
      </c>
      <c r="P997" s="7" t="n">
        <f aca="false">IF(M997=0,0,O997/M997)</f>
        <v>0.4</v>
      </c>
    </row>
    <row r="998" customFormat="false" ht="15" hidden="false" customHeight="false" outlineLevel="0" collapsed="false">
      <c r="A998" s="2" t="n">
        <v>2228</v>
      </c>
      <c r="B998" s="2" t="s">
        <v>3267</v>
      </c>
      <c r="C998" s="2" t="s">
        <v>3565</v>
      </c>
      <c r="D998" s="2" t="s">
        <v>147</v>
      </c>
      <c r="E998" s="2" t="s">
        <v>3757</v>
      </c>
      <c r="F998" s="2" t="s">
        <v>3625</v>
      </c>
      <c r="G998" s="2" t="s">
        <v>3592</v>
      </c>
      <c r="H998" s="5" t="n">
        <v>1</v>
      </c>
      <c r="I998" s="5" t="s">
        <v>97</v>
      </c>
      <c r="J998" s="5" t="s">
        <v>43</v>
      </c>
      <c r="K998" s="5" t="s">
        <v>111</v>
      </c>
      <c r="L998" s="5" t="n">
        <v>600</v>
      </c>
      <c r="M998" s="5" t="n">
        <v>600</v>
      </c>
      <c r="N998" s="6" t="n">
        <f aca="false">L998*0.6*H998</f>
        <v>360</v>
      </c>
      <c r="O998" s="6" t="n">
        <f aca="false">M998-N998</f>
        <v>240</v>
      </c>
      <c r="P998" s="7" t="n">
        <f aca="false">IF(M998=0,0,O998/M998)</f>
        <v>0.4</v>
      </c>
    </row>
    <row r="999" customFormat="false" ht="15" hidden="false" customHeight="false" outlineLevel="0" collapsed="false">
      <c r="A999" s="3" t="n">
        <v>2229</v>
      </c>
      <c r="B999" s="3" t="s">
        <v>1376</v>
      </c>
      <c r="C999" s="3" t="s">
        <v>3568</v>
      </c>
      <c r="D999" s="3" t="s">
        <v>108</v>
      </c>
      <c r="E999" s="3" t="s">
        <v>3796</v>
      </c>
      <c r="F999" s="3" t="s">
        <v>2379</v>
      </c>
      <c r="G999" s="3" t="s">
        <v>3592</v>
      </c>
      <c r="H999" s="8" t="n">
        <v>3</v>
      </c>
      <c r="I999" s="8" t="s">
        <v>51</v>
      </c>
      <c r="J999" s="8" t="s">
        <v>19</v>
      </c>
      <c r="K999" s="8" t="s">
        <v>21</v>
      </c>
      <c r="L999" s="8" t="n">
        <v>1200</v>
      </c>
      <c r="M999" s="8" t="n">
        <v>3600</v>
      </c>
      <c r="N999" s="6" t="n">
        <f aca="false">L999*0.6*H999</f>
        <v>2160</v>
      </c>
      <c r="O999" s="6" t="n">
        <f aca="false">M999-N999</f>
        <v>1440</v>
      </c>
      <c r="P999" s="7" t="n">
        <f aca="false">IF(M999=0,0,O999/M999)</f>
        <v>0.4</v>
      </c>
    </row>
    <row r="1000" customFormat="false" ht="15" hidden="false" customHeight="false" outlineLevel="0" collapsed="false">
      <c r="A1000" s="2" t="n">
        <v>2230</v>
      </c>
      <c r="B1000" s="2" t="s">
        <v>891</v>
      </c>
      <c r="C1000" s="2" t="s">
        <v>3322</v>
      </c>
      <c r="D1000" s="2" t="s">
        <v>108</v>
      </c>
      <c r="E1000" s="2" t="s">
        <v>3820</v>
      </c>
      <c r="F1000" s="2" t="s">
        <v>3591</v>
      </c>
      <c r="G1000" s="2" t="s">
        <v>3592</v>
      </c>
      <c r="H1000" s="5" t="n">
        <v>2</v>
      </c>
      <c r="I1000" s="5" t="s">
        <v>51</v>
      </c>
      <c r="J1000" s="5" t="s">
        <v>59</v>
      </c>
      <c r="K1000" s="5" t="s">
        <v>61</v>
      </c>
      <c r="L1000" s="5" t="n">
        <v>1200</v>
      </c>
      <c r="M1000" s="5" t="n">
        <v>2400</v>
      </c>
      <c r="N1000" s="6" t="n">
        <f aca="false">L1000*0.6*H1000</f>
        <v>1440</v>
      </c>
      <c r="O1000" s="6" t="n">
        <f aca="false">M1000-N1000</f>
        <v>960</v>
      </c>
      <c r="P1000" s="7" t="n">
        <f aca="false">IF(M1000=0,0,O1000/M1000)</f>
        <v>0.4</v>
      </c>
    </row>
    <row r="1001" customFormat="false" ht="15" hidden="false" customHeight="false" outlineLevel="0" collapsed="false">
      <c r="A1001" s="3" t="n">
        <v>2231</v>
      </c>
      <c r="B1001" s="3" t="s">
        <v>2819</v>
      </c>
      <c r="C1001" s="3" t="s">
        <v>3573</v>
      </c>
      <c r="D1001" s="3" t="s">
        <v>49</v>
      </c>
      <c r="E1001" s="3" t="s">
        <v>3875</v>
      </c>
      <c r="F1001" s="3" t="s">
        <v>3613</v>
      </c>
      <c r="G1001" s="3" t="s">
        <v>3604</v>
      </c>
      <c r="H1001" s="8" t="n">
        <v>1</v>
      </c>
      <c r="I1001" s="8" t="s">
        <v>18</v>
      </c>
      <c r="J1001" s="8" t="s">
        <v>59</v>
      </c>
      <c r="K1001" s="8" t="s">
        <v>61</v>
      </c>
      <c r="L1001" s="8" t="n">
        <v>250</v>
      </c>
      <c r="M1001" s="8" t="n">
        <v>250</v>
      </c>
      <c r="N1001" s="6" t="n">
        <f aca="false">L1001*0.6*H1001</f>
        <v>150</v>
      </c>
      <c r="O1001" s="6" t="n">
        <f aca="false">M1001-N1001</f>
        <v>100</v>
      </c>
      <c r="P1001" s="7" t="n">
        <f aca="false">IF(M1001=0,0,O1001/M1001)</f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4"/>
  </cols>
  <sheetData>
    <row r="2" customFormat="false" ht="29.15" hidden="false" customHeight="false" outlineLevel="0" collapsed="false">
      <c r="B2" s="9" t="s">
        <v>3948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B3" s="10" t="s">
        <v>3949</v>
      </c>
      <c r="C3" s="10"/>
      <c r="D3" s="10"/>
      <c r="E3" s="10"/>
      <c r="F3" s="10"/>
      <c r="G3" s="10"/>
      <c r="H3" s="10"/>
      <c r="I3" s="10"/>
      <c r="J3" s="10"/>
      <c r="K3" s="10"/>
    </row>
    <row r="5" customFormat="false" ht="22.05" hidden="false" customHeight="false" outlineLevel="0" collapsed="false">
      <c r="B5" s="11" t="s">
        <v>3950</v>
      </c>
      <c r="C5" s="12" t="n">
        <f aca="false">SUM(2_Clean_Data!M:M)</f>
        <v>1304750</v>
      </c>
      <c r="D5" s="11" t="s">
        <v>3951</v>
      </c>
      <c r="E5" s="13" t="n">
        <f aca="false">COUNTA(2_Clean_Data!A:A)-1</f>
        <v>1000</v>
      </c>
      <c r="F5" s="11" t="s">
        <v>3952</v>
      </c>
      <c r="G5" s="12" t="n">
        <f aca="false">AVERAGE(2_Clean_Data!M:M)</f>
        <v>1304.75</v>
      </c>
      <c r="H5" s="11" t="s">
        <v>3953</v>
      </c>
      <c r="I5" s="12" t="n">
        <f aca="false">SUM(2_Clean_Data!O:O)</f>
        <v>521900</v>
      </c>
      <c r="J5" s="11" t="s">
        <v>3954</v>
      </c>
      <c r="K5" s="14" t="n">
        <f aca="false">SUM(2_Clean_Data!O:O)/SUM(2_Clean_Data!M:M)</f>
        <v>0.4</v>
      </c>
    </row>
    <row r="8" customFormat="false" ht="17.35" hidden="false" customHeight="false" outlineLevel="0" collapsed="false">
      <c r="B8" s="15" t="s">
        <v>3955</v>
      </c>
      <c r="I8" s="15" t="s">
        <v>3956</v>
      </c>
    </row>
    <row r="9" customFormat="false" ht="15" hidden="false" customHeight="false" outlineLevel="0" collapsed="false">
      <c r="B9" s="16" t="s">
        <v>3</v>
      </c>
      <c r="C9" s="16" t="s">
        <v>3957</v>
      </c>
      <c r="D9" s="16" t="s">
        <v>3958</v>
      </c>
      <c r="E9" s="16" t="s">
        <v>3959</v>
      </c>
      <c r="F9" s="16" t="s">
        <v>3960</v>
      </c>
      <c r="G9" s="16" t="s">
        <v>3961</v>
      </c>
      <c r="I9" s="16" t="s">
        <v>7</v>
      </c>
      <c r="J9" s="16" t="s">
        <v>3957</v>
      </c>
      <c r="K9" s="16" t="s">
        <v>3958</v>
      </c>
      <c r="L9" s="16" t="s">
        <v>3962</v>
      </c>
    </row>
    <row r="10" customFormat="false" ht="15" hidden="false" customHeight="false" outlineLevel="0" collapsed="false">
      <c r="B10" s="6" t="s">
        <v>108</v>
      </c>
      <c r="C10" s="17" t="n">
        <v>651600</v>
      </c>
      <c r="D10" s="6" t="n">
        <v>265</v>
      </c>
      <c r="E10" s="6" t="n">
        <v>543</v>
      </c>
      <c r="F10" s="17" t="n">
        <f aca="false">C10/D10</f>
        <v>2458.8679245283</v>
      </c>
      <c r="G10" s="7" t="n">
        <f aca="false">C10/SUM(C10:C16)</f>
        <v>0.249703008239126</v>
      </c>
      <c r="I10" s="6" t="s">
        <v>121</v>
      </c>
      <c r="J10" s="17" t="n">
        <v>187050</v>
      </c>
      <c r="K10" s="6" t="n">
        <v>133</v>
      </c>
      <c r="L10" s="7" t="n">
        <f aca="false">J10/SUM(J10:J17)</f>
        <v>0.143360797087565</v>
      </c>
    </row>
    <row r="11" customFormat="false" ht="15" hidden="false" customHeight="false" outlineLevel="0" collapsed="false">
      <c r="B11" s="6" t="s">
        <v>25</v>
      </c>
      <c r="C11" s="17" t="n">
        <v>233600</v>
      </c>
      <c r="D11" s="6" t="n">
        <v>140</v>
      </c>
      <c r="E11" s="6" t="n">
        <v>292</v>
      </c>
      <c r="F11" s="17" t="n">
        <f aca="false">C11/D11</f>
        <v>1668.57142857143</v>
      </c>
      <c r="G11" s="7" t="n">
        <f aca="false">C11/SUM(C10:C16)</f>
        <v>0.0895190649549722</v>
      </c>
      <c r="I11" s="6" t="s">
        <v>36</v>
      </c>
      <c r="J11" s="17" t="n">
        <v>171650</v>
      </c>
      <c r="K11" s="6" t="n">
        <v>136</v>
      </c>
      <c r="L11" s="7" t="n">
        <f aca="false">J11/SUM(J10:J17)</f>
        <v>0.13155776968768</v>
      </c>
    </row>
    <row r="12" customFormat="false" ht="15" hidden="false" customHeight="false" outlineLevel="0" collapsed="false">
      <c r="B12" s="6" t="s">
        <v>147</v>
      </c>
      <c r="C12" s="17" t="n">
        <v>165600</v>
      </c>
      <c r="D12" s="6" t="n">
        <v>135</v>
      </c>
      <c r="E12" s="6" t="n">
        <v>276</v>
      </c>
      <c r="F12" s="17" t="n">
        <f aca="false">C12/D12</f>
        <v>1226.66666666667</v>
      </c>
      <c r="G12" s="7" t="n">
        <f aca="false">C12/SUM(C10:C16)</f>
        <v>0.0634604330331481</v>
      </c>
      <c r="I12" s="6" t="s">
        <v>19</v>
      </c>
      <c r="J12" s="17" t="n">
        <v>167000</v>
      </c>
      <c r="K12" s="6" t="n">
        <v>128</v>
      </c>
      <c r="L12" s="7" t="n">
        <f aca="false">J12/SUM(J10:J17)</f>
        <v>0.127993868557195</v>
      </c>
    </row>
    <row r="13" customFormat="false" ht="15" hidden="false" customHeight="false" outlineLevel="0" collapsed="false">
      <c r="B13" s="6" t="s">
        <v>34</v>
      </c>
      <c r="C13" s="17" t="n">
        <v>95700</v>
      </c>
      <c r="D13" s="6" t="n">
        <v>150</v>
      </c>
      <c r="E13" s="6" t="n">
        <v>319</v>
      </c>
      <c r="F13" s="17" t="n">
        <f aca="false">C13/D13</f>
        <v>638</v>
      </c>
      <c r="G13" s="7" t="n">
        <f aca="false">C13/SUM(C10:C16)</f>
        <v>0.0366736922782142</v>
      </c>
      <c r="I13" s="6" t="s">
        <v>52</v>
      </c>
      <c r="J13" s="17" t="n">
        <v>165800</v>
      </c>
      <c r="K13" s="6" t="n">
        <v>129</v>
      </c>
      <c r="L13" s="7" t="n">
        <f aca="false">J13/SUM(J10:J17)</f>
        <v>0.127074152136425</v>
      </c>
    </row>
    <row r="14" customFormat="false" ht="15" hidden="false" customHeight="false" outlineLevel="0" collapsed="false">
      <c r="B14" s="6" t="s">
        <v>49</v>
      </c>
      <c r="C14" s="17" t="n">
        <v>81750</v>
      </c>
      <c r="D14" s="6" t="n">
        <v>158</v>
      </c>
      <c r="E14" s="6" t="n">
        <v>327</v>
      </c>
      <c r="F14" s="17" t="n">
        <f aca="false">C14/D14</f>
        <v>517.405063291139</v>
      </c>
      <c r="G14" s="7" t="n">
        <f aca="false">C14/SUM(C10:C16)</f>
        <v>0.0313278405824871</v>
      </c>
      <c r="I14" s="6" t="s">
        <v>43</v>
      </c>
      <c r="J14" s="17" t="n">
        <v>164450</v>
      </c>
      <c r="K14" s="6" t="n">
        <v>132</v>
      </c>
      <c r="L14" s="7" t="n">
        <f aca="false">J14/SUM(J10:J17)</f>
        <v>0.126039471163058</v>
      </c>
    </row>
    <row r="15" customFormat="false" ht="15" hidden="false" customHeight="false" outlineLevel="0" collapsed="false">
      <c r="B15" s="6" t="s">
        <v>16</v>
      </c>
      <c r="C15" s="17" t="n">
        <v>76500</v>
      </c>
      <c r="D15" s="6" t="n">
        <v>152</v>
      </c>
      <c r="E15" s="6" t="n">
        <v>306</v>
      </c>
      <c r="F15" s="17" t="n">
        <f aca="false">C15/D15</f>
        <v>503.289473684211</v>
      </c>
      <c r="G15" s="7" t="n">
        <f aca="false">C15/SUM(C10:C16)</f>
        <v>0.0293159609120521</v>
      </c>
      <c r="I15" s="6" t="s">
        <v>59</v>
      </c>
      <c r="J15" s="17" t="n">
        <v>156950</v>
      </c>
      <c r="K15" s="6" t="n">
        <v>119</v>
      </c>
      <c r="L15" s="7" t="n">
        <f aca="false">J15/SUM(J10:J17)</f>
        <v>0.120291243533244</v>
      </c>
    </row>
    <row r="16" customFormat="false" ht="15" hidden="false" customHeight="false" outlineLevel="0" collapsed="false">
      <c r="B16" s="18" t="s">
        <v>3963</v>
      </c>
      <c r="C16" s="19" t="n">
        <f aca="false">SUM(C10:C15)</f>
        <v>1304750</v>
      </c>
      <c r="D16" s="18" t="n">
        <f aca="false">SUM(D10:D15)</f>
        <v>1000</v>
      </c>
      <c r="E16" s="18" t="n">
        <f aca="false">SUM(E10:E15)</f>
        <v>2063</v>
      </c>
      <c r="F16" s="20"/>
      <c r="G16" s="20"/>
      <c r="I16" s="6" t="s">
        <v>28</v>
      </c>
      <c r="J16" s="17" t="n">
        <v>151750</v>
      </c>
      <c r="K16" s="6" t="n">
        <v>115</v>
      </c>
      <c r="L16" s="7" t="n">
        <f aca="false">J16/SUM(J10:J17)</f>
        <v>0.116305805709906</v>
      </c>
    </row>
    <row r="17" customFormat="false" ht="15" hidden="false" customHeight="false" outlineLevel="0" collapsed="false">
      <c r="I17" s="6" t="s">
        <v>78</v>
      </c>
      <c r="J17" s="17" t="n">
        <v>140100</v>
      </c>
      <c r="K17" s="6" t="n">
        <v>108</v>
      </c>
      <c r="L17" s="7" t="n">
        <f aca="false">J17/SUM(J10:J17)</f>
        <v>0.107376892124928</v>
      </c>
    </row>
    <row r="20" customFormat="false" ht="17.35" hidden="false" customHeight="false" outlineLevel="0" collapsed="false">
      <c r="B20" s="15" t="s">
        <v>3964</v>
      </c>
      <c r="I20" s="15" t="s">
        <v>3965</v>
      </c>
    </row>
    <row r="21" customFormat="false" ht="15" hidden="false" customHeight="false" outlineLevel="0" collapsed="false">
      <c r="B21" s="21" t="s">
        <v>3582</v>
      </c>
      <c r="C21" s="21" t="s">
        <v>3957</v>
      </c>
      <c r="D21" s="21" t="s">
        <v>3958</v>
      </c>
      <c r="E21" s="21" t="s">
        <v>3960</v>
      </c>
      <c r="F21" s="21" t="s">
        <v>3966</v>
      </c>
      <c r="I21" s="21" t="s">
        <v>3967</v>
      </c>
      <c r="J21" s="21" t="s">
        <v>3968</v>
      </c>
      <c r="K21" s="21" t="s">
        <v>3957</v>
      </c>
      <c r="L21" s="21" t="s">
        <v>3969</v>
      </c>
    </row>
    <row r="22" customFormat="false" ht="15" hidden="false" customHeight="false" outlineLevel="0" collapsed="false">
      <c r="B22" s="6" t="s">
        <v>3604</v>
      </c>
      <c r="C22" s="17" t="n">
        <v>323850</v>
      </c>
      <c r="D22" s="6" t="n">
        <v>246</v>
      </c>
      <c r="E22" s="17" t="n">
        <f aca="false">C22/D22</f>
        <v>1316.46341463415</v>
      </c>
      <c r="F22" s="6" t="s">
        <v>3970</v>
      </c>
      <c r="I22" s="6" t="s">
        <v>18</v>
      </c>
      <c r="J22" s="6" t="n">
        <v>400</v>
      </c>
      <c r="K22" s="17" t="n">
        <v>527700</v>
      </c>
      <c r="L22" s="7" t="n">
        <f aca="false">J22/SUM(J22:J25)</f>
        <v>0.4</v>
      </c>
    </row>
    <row r="23" customFormat="false" ht="15" hidden="false" customHeight="false" outlineLevel="0" collapsed="false">
      <c r="B23" s="6" t="s">
        <v>3592</v>
      </c>
      <c r="C23" s="17" t="n">
        <v>293950</v>
      </c>
      <c r="D23" s="6" t="n">
        <v>231</v>
      </c>
      <c r="E23" s="17" t="n">
        <f aca="false">C23/D23</f>
        <v>1272.51082251082</v>
      </c>
      <c r="F23" s="22" t="n">
        <f aca="false">(C23-C22)/C22</f>
        <v>-0.0923266944573105</v>
      </c>
      <c r="I23" s="6" t="s">
        <v>51</v>
      </c>
      <c r="J23" s="6" t="n">
        <v>387</v>
      </c>
      <c r="K23" s="17" t="n">
        <v>513550</v>
      </c>
      <c r="L23" s="7" t="n">
        <f aca="false">J23/SUM(J22:J25)</f>
        <v>0.387</v>
      </c>
    </row>
    <row r="24" customFormat="false" ht="15" hidden="false" customHeight="false" outlineLevel="0" collapsed="false">
      <c r="B24" s="6" t="s">
        <v>3595</v>
      </c>
      <c r="C24" s="17" t="n">
        <v>340950</v>
      </c>
      <c r="D24" s="6" t="n">
        <v>267</v>
      </c>
      <c r="E24" s="17" t="n">
        <f aca="false">C24/D24</f>
        <v>1276.96629213483</v>
      </c>
      <c r="F24" s="22" t="n">
        <f aca="false">(C24-C23)/C23</f>
        <v>0.159891137948631</v>
      </c>
      <c r="I24" s="6" t="s">
        <v>27</v>
      </c>
      <c r="J24" s="6" t="n">
        <v>110</v>
      </c>
      <c r="K24" s="17" t="n">
        <v>133950</v>
      </c>
      <c r="L24" s="7" t="n">
        <f aca="false">J24/SUM(J22:J25)</f>
        <v>0.11</v>
      </c>
    </row>
    <row r="25" customFormat="false" ht="15" hidden="false" customHeight="false" outlineLevel="0" collapsed="false">
      <c r="B25" s="6" t="s">
        <v>3600</v>
      </c>
      <c r="C25" s="17" t="n">
        <v>346000</v>
      </c>
      <c r="D25" s="6" t="n">
        <v>256</v>
      </c>
      <c r="E25" s="17" t="n">
        <f aca="false">C25/D25</f>
        <v>1351.5625</v>
      </c>
      <c r="F25" s="22" t="n">
        <f aca="false">(C25-C24)/C24</f>
        <v>0.0148115559466197</v>
      </c>
      <c r="I25" s="6" t="s">
        <v>97</v>
      </c>
      <c r="J25" s="6" t="n">
        <v>103</v>
      </c>
      <c r="K25" s="17" t="n">
        <v>129550</v>
      </c>
      <c r="L25" s="7" t="n">
        <f aca="false">J25/SUM(J22:J25)</f>
        <v>0.103</v>
      </c>
    </row>
    <row r="29" customFormat="false" ht="17.35" hidden="false" customHeight="false" outlineLevel="0" collapsed="false">
      <c r="B29" s="15" t="s">
        <v>3971</v>
      </c>
    </row>
    <row r="30" customFormat="false" ht="15" hidden="false" customHeight="false" outlineLevel="0" collapsed="false">
      <c r="B30" s="21" t="s">
        <v>3581</v>
      </c>
      <c r="C30" s="21" t="s">
        <v>3957</v>
      </c>
      <c r="D30" s="21" t="s">
        <v>3958</v>
      </c>
    </row>
    <row r="31" customFormat="false" ht="15" hidden="false" customHeight="false" outlineLevel="0" collapsed="false">
      <c r="B31" s="6" t="s">
        <v>3972</v>
      </c>
      <c r="C31" s="17" t="n">
        <v>102450</v>
      </c>
      <c r="D31" s="6" t="n">
        <v>73</v>
      </c>
    </row>
    <row r="32" customFormat="false" ht="15" hidden="false" customHeight="false" outlineLevel="0" collapsed="false">
      <c r="B32" s="6" t="s">
        <v>3973</v>
      </c>
      <c r="C32" s="17" t="n">
        <v>89450</v>
      </c>
      <c r="D32" s="6" t="n">
        <v>78</v>
      </c>
    </row>
    <row r="33" customFormat="false" ht="15" hidden="false" customHeight="false" outlineLevel="0" collapsed="false">
      <c r="B33" s="6" t="s">
        <v>3974</v>
      </c>
      <c r="C33" s="17" t="n">
        <v>131950</v>
      </c>
      <c r="D33" s="6" t="n">
        <v>95</v>
      </c>
    </row>
    <row r="34" customFormat="false" ht="15" hidden="false" customHeight="false" outlineLevel="0" collapsed="false">
      <c r="B34" s="6" t="s">
        <v>3975</v>
      </c>
      <c r="C34" s="17" t="n">
        <v>95250</v>
      </c>
      <c r="D34" s="6" t="n">
        <v>72</v>
      </c>
    </row>
    <row r="35" customFormat="false" ht="15" hidden="false" customHeight="false" outlineLevel="0" collapsed="false">
      <c r="B35" s="6" t="s">
        <v>3591</v>
      </c>
      <c r="C35" s="17" t="n">
        <v>95800</v>
      </c>
      <c r="D35" s="6" t="n">
        <v>77</v>
      </c>
    </row>
    <row r="36" customFormat="false" ht="15" hidden="false" customHeight="false" outlineLevel="0" collapsed="false">
      <c r="B36" s="6" t="s">
        <v>3976</v>
      </c>
      <c r="C36" s="17" t="n">
        <v>102900</v>
      </c>
      <c r="D36" s="6" t="n">
        <v>82</v>
      </c>
    </row>
    <row r="37" customFormat="false" ht="15" hidden="false" customHeight="false" outlineLevel="0" collapsed="false">
      <c r="B37" s="6" t="s">
        <v>3977</v>
      </c>
      <c r="C37" s="17" t="n">
        <v>107200</v>
      </c>
      <c r="D37" s="6" t="n">
        <v>87</v>
      </c>
    </row>
    <row r="38" customFormat="false" ht="15" hidden="false" customHeight="false" outlineLevel="0" collapsed="false">
      <c r="B38" s="6" t="s">
        <v>3978</v>
      </c>
      <c r="C38" s="17" t="n">
        <v>118900</v>
      </c>
      <c r="D38" s="6" t="n">
        <v>97</v>
      </c>
    </row>
    <row r="39" customFormat="false" ht="15" hidden="false" customHeight="false" outlineLevel="0" collapsed="false">
      <c r="B39" s="6" t="s">
        <v>3979</v>
      </c>
      <c r="C39" s="17" t="n">
        <v>114850</v>
      </c>
      <c r="D39" s="6" t="n">
        <v>83</v>
      </c>
    </row>
    <row r="40" customFormat="false" ht="15" hidden="false" customHeight="false" outlineLevel="0" collapsed="false">
      <c r="B40" s="6" t="s">
        <v>3980</v>
      </c>
      <c r="C40" s="17" t="n">
        <v>112100</v>
      </c>
      <c r="D40" s="6" t="n">
        <v>80</v>
      </c>
    </row>
    <row r="41" customFormat="false" ht="15" hidden="false" customHeight="false" outlineLevel="0" collapsed="false">
      <c r="B41" s="6" t="s">
        <v>3981</v>
      </c>
      <c r="C41" s="17" t="n">
        <v>114450</v>
      </c>
      <c r="D41" s="6" t="n">
        <v>94</v>
      </c>
    </row>
    <row r="42" customFormat="false" ht="15" hidden="false" customHeight="false" outlineLevel="0" collapsed="false">
      <c r="B42" s="6" t="s">
        <v>3982</v>
      </c>
      <c r="C42" s="17" t="n">
        <v>119450</v>
      </c>
      <c r="D42" s="6" t="n">
        <v>82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23" t="s">
        <v>3983</v>
      </c>
    </row>
    <row r="4" customFormat="false" ht="15" hidden="false" customHeight="false" outlineLevel="0" collapsed="false">
      <c r="B4" s="24" t="s">
        <v>3984</v>
      </c>
    </row>
    <row r="5" customFormat="false" ht="15" hidden="false" customHeight="true" outlineLevel="0" collapsed="false">
      <c r="B5" s="25" t="s">
        <v>3985</v>
      </c>
      <c r="C5" s="25"/>
      <c r="D5" s="25"/>
      <c r="E5" s="25"/>
      <c r="F5" s="25"/>
      <c r="G5" s="25"/>
      <c r="H5" s="25"/>
      <c r="I5" s="25"/>
      <c r="J5" s="25"/>
      <c r="K5" s="25"/>
    </row>
    <row r="7" customFormat="false" ht="15" hidden="false" customHeight="false" outlineLevel="0" collapsed="false">
      <c r="B7" s="24" t="s">
        <v>3986</v>
      </c>
    </row>
    <row r="8" customFormat="false" ht="15" hidden="false" customHeight="true" outlineLevel="0" collapsed="false">
      <c r="B8" s="25" t="s">
        <v>3987</v>
      </c>
      <c r="C8" s="25"/>
      <c r="D8" s="25"/>
      <c r="E8" s="25"/>
      <c r="F8" s="25"/>
      <c r="G8" s="25"/>
      <c r="H8" s="25"/>
      <c r="I8" s="25"/>
      <c r="J8" s="25"/>
      <c r="K8" s="25"/>
    </row>
    <row r="10" customFormat="false" ht="15" hidden="false" customHeight="false" outlineLevel="0" collapsed="false">
      <c r="B10" s="24" t="s">
        <v>3988</v>
      </c>
    </row>
    <row r="11" customFormat="false" ht="15" hidden="false" customHeight="true" outlineLevel="0" collapsed="false">
      <c r="B11" s="25" t="s">
        <v>3989</v>
      </c>
      <c r="C11" s="25"/>
      <c r="D11" s="25"/>
      <c r="E11" s="25"/>
      <c r="F11" s="25"/>
      <c r="G11" s="25"/>
      <c r="H11" s="25"/>
      <c r="I11" s="25"/>
      <c r="J11" s="25"/>
      <c r="K11" s="25"/>
    </row>
    <row r="13" customFormat="false" ht="15" hidden="false" customHeight="false" outlineLevel="0" collapsed="false">
      <c r="B13" s="24" t="s">
        <v>3990</v>
      </c>
    </row>
    <row r="14" customFormat="false" ht="15" hidden="false" customHeight="true" outlineLevel="0" collapsed="false">
      <c r="B14" s="25" t="s">
        <v>3991</v>
      </c>
      <c r="C14" s="25"/>
      <c r="D14" s="25"/>
      <c r="E14" s="25"/>
      <c r="F14" s="25"/>
      <c r="G14" s="25"/>
      <c r="H14" s="25"/>
      <c r="I14" s="25"/>
      <c r="J14" s="25"/>
      <c r="K14" s="25"/>
    </row>
    <row r="16" customFormat="false" ht="15" hidden="false" customHeight="false" outlineLevel="0" collapsed="false">
      <c r="B16" s="24" t="s">
        <v>3992</v>
      </c>
    </row>
    <row r="17" customFormat="false" ht="15" hidden="false" customHeight="true" outlineLevel="0" collapsed="false">
      <c r="B17" s="25" t="s">
        <v>3993</v>
      </c>
      <c r="C17" s="25"/>
      <c r="D17" s="25"/>
      <c r="E17" s="25"/>
      <c r="F17" s="25"/>
      <c r="G17" s="25"/>
      <c r="H17" s="25"/>
      <c r="I17" s="25"/>
      <c r="J17" s="25"/>
      <c r="K17" s="25"/>
    </row>
    <row r="19" customFormat="false" ht="15" hidden="false" customHeight="false" outlineLevel="0" collapsed="false">
      <c r="B19" s="24" t="s">
        <v>3994</v>
      </c>
    </row>
    <row r="20" customFormat="false" ht="15" hidden="false" customHeight="true" outlineLevel="0" collapsed="false">
      <c r="B20" s="25" t="s">
        <v>3995</v>
      </c>
      <c r="C20" s="25"/>
      <c r="D20" s="25"/>
      <c r="E20" s="25"/>
      <c r="F20" s="25"/>
      <c r="G20" s="25"/>
      <c r="H20" s="25"/>
      <c r="I20" s="25"/>
      <c r="J20" s="25"/>
      <c r="K20" s="25"/>
    </row>
    <row r="22" customFormat="false" ht="15" hidden="false" customHeight="false" outlineLevel="0" collapsed="false">
      <c r="B22" s="24" t="s">
        <v>3996</v>
      </c>
    </row>
    <row r="23" customFormat="false" ht="15" hidden="false" customHeight="true" outlineLevel="0" collapsed="false">
      <c r="B23" s="25" t="s">
        <v>3997</v>
      </c>
      <c r="C23" s="25"/>
      <c r="D23" s="25"/>
      <c r="E23" s="25"/>
      <c r="F23" s="25"/>
      <c r="G23" s="25"/>
      <c r="H23" s="25"/>
      <c r="I23" s="25"/>
      <c r="J23" s="25"/>
      <c r="K23" s="25"/>
    </row>
    <row r="25" customFormat="false" ht="15" hidden="false" customHeight="false" outlineLevel="0" collapsed="false">
      <c r="B25" s="24" t="s">
        <v>3998</v>
      </c>
    </row>
    <row r="26" customFormat="false" ht="15" hidden="false" customHeight="true" outlineLevel="0" collapsed="false">
      <c r="B26" s="25" t="s">
        <v>3999</v>
      </c>
      <c r="C26" s="25"/>
      <c r="D26" s="25"/>
      <c r="E26" s="25"/>
      <c r="F26" s="25"/>
      <c r="G26" s="25"/>
      <c r="H26" s="25"/>
      <c r="I26" s="25"/>
      <c r="J26" s="25"/>
      <c r="K26" s="25"/>
    </row>
  </sheetData>
  <mergeCells count="8">
    <mergeCell ref="B5:K5"/>
    <mergeCell ref="B8:K8"/>
    <mergeCell ref="B11:K11"/>
    <mergeCell ref="B14:K14"/>
    <mergeCell ref="B17:K17"/>
    <mergeCell ref="B20:K20"/>
    <mergeCell ref="B23:K23"/>
    <mergeCell ref="B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2026-01-15T03:52:18Z</dcterms:created>
  <dc:creator>openpyxl</dc:creator>
  <dc:description/>
  <dc:language>en-US</dc:language>
  <cp:lastModifiedBy/>
  <dcterms:modified xsi:type="dcterms:W3CDTF">2026-01-15T03:53:45Z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